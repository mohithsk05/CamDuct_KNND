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AB5A6A3C-96BA-4DF4-935A-2E04DE3863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mercial" sheetId="1" r:id="rId1"/>
    <sheet name="Technical" sheetId="2" r:id="rId2"/>
    <sheet name="PO" sheetId="5" r:id="rId3"/>
    <sheet name="Offer" sheetId="6" r:id="rId4"/>
  </sheets>
  <calcPr calcId="191029"/>
</workbook>
</file>

<file path=xl/calcChain.xml><?xml version="1.0" encoding="utf-8"?>
<calcChain xmlns="http://schemas.openxmlformats.org/spreadsheetml/2006/main">
  <c r="H31" i="1" l="1"/>
  <c r="H30" i="1"/>
  <c r="H29" i="1"/>
  <c r="H28" i="1"/>
  <c r="H27" i="1"/>
  <c r="H26" i="1"/>
  <c r="H25" i="1"/>
  <c r="H24" i="1"/>
  <c r="H34" i="1" l="1"/>
  <c r="H33" i="1"/>
  <c r="H32" i="1"/>
  <c r="H23" i="1"/>
  <c r="H35" i="1"/>
  <c r="H21" i="1"/>
  <c r="H22" i="1"/>
  <c r="H20" i="1"/>
  <c r="H37" i="1" l="1"/>
  <c r="H38" i="1" l="1"/>
  <c r="H39" i="1" s="1"/>
</calcChain>
</file>

<file path=xl/sharedStrings.xml><?xml version="1.0" encoding="utf-8"?>
<sst xmlns="http://schemas.openxmlformats.org/spreadsheetml/2006/main" count="208" uniqueCount="161">
  <si>
    <t>ORDER TRANSMITTAL FORM (Commercial)</t>
  </si>
  <si>
    <t>OTF NO :</t>
  </si>
  <si>
    <t>Date</t>
  </si>
  <si>
    <t xml:space="preserve">BILL TO ADDRESS </t>
  </si>
  <si>
    <t>SHIP TO ADDRESS</t>
  </si>
  <si>
    <t>Contact person:-</t>
  </si>
  <si>
    <t xml:space="preserve">Contact person:- </t>
  </si>
  <si>
    <t xml:space="preserve">Contact Nos:- </t>
  </si>
  <si>
    <t>Contact Nos:-</t>
  </si>
  <si>
    <t>CUSTOMER'S /LOI NO. &amp; DATE :</t>
  </si>
  <si>
    <t>Additional details .if any transaction applicable</t>
  </si>
  <si>
    <t>CONSIGNEE'S GST NO :</t>
  </si>
  <si>
    <t>Ex-wks -Delivery at Site</t>
  </si>
  <si>
    <t>CONSIGNEE'S ECC NO :</t>
  </si>
  <si>
    <t>S.NO.</t>
  </si>
  <si>
    <t>DESCRIPTION OF GOODS</t>
  </si>
  <si>
    <t>QUANTITY (sqmtr)</t>
  </si>
  <si>
    <t>UNIT RATE ( Rs)</t>
  </si>
  <si>
    <t>TOTAL  ( Rs)</t>
  </si>
  <si>
    <t>Total - Basic  Value</t>
  </si>
  <si>
    <t>Total  invoice value-supply</t>
  </si>
  <si>
    <t xml:space="preserve">Freight : </t>
  </si>
  <si>
    <t>Extra @ Actual</t>
  </si>
  <si>
    <t>Special instructions if any;</t>
  </si>
  <si>
    <t xml:space="preserve">Insurance : </t>
  </si>
  <si>
    <t>NA</t>
  </si>
  <si>
    <t xml:space="preserve">Unloading: </t>
  </si>
  <si>
    <t>By Customer</t>
  </si>
  <si>
    <t>Material(Priority- 1/Priority-2)</t>
  </si>
  <si>
    <t xml:space="preserve">TERMS &amp; CONDITIONS </t>
  </si>
  <si>
    <t>1. Payment term:</t>
  </si>
  <si>
    <t>Supply order</t>
  </si>
  <si>
    <t>Service order(In case of site Installation)</t>
  </si>
  <si>
    <t>i)</t>
  </si>
  <si>
    <t>Not Applicable</t>
  </si>
  <si>
    <t>ii)</t>
  </si>
  <si>
    <t>iii)</t>
  </si>
  <si>
    <t xml:space="preserve">2. Transportation &amp; Packing &amp; Forwarding: </t>
  </si>
  <si>
    <t>(Special instructions if any)</t>
  </si>
  <si>
    <t>3. Delivery period:</t>
  </si>
  <si>
    <t>NIL</t>
  </si>
  <si>
    <t>3. Warranty period:</t>
  </si>
  <si>
    <t>NOTES:</t>
  </si>
  <si>
    <t>List of Attachments:</t>
  </si>
  <si>
    <t>1. Purchase Order / LOI with draft order</t>
  </si>
  <si>
    <r>
      <t>YES</t>
    </r>
    <r>
      <rPr>
        <sz val="10"/>
        <rFont val="Arial"/>
        <family val="2"/>
      </rPr>
      <t xml:space="preserve"> </t>
    </r>
  </si>
  <si>
    <t>2. Entry form (SEZ form)</t>
  </si>
  <si>
    <t>NO</t>
  </si>
  <si>
    <t xml:space="preserve">3. OTF-Technical </t>
  </si>
  <si>
    <t>Order prepared by :</t>
  </si>
  <si>
    <t>Approved by:</t>
  </si>
  <si>
    <t>Date:-</t>
  </si>
  <si>
    <t>Order Transmittal Form : OTF (Non-commercial)</t>
  </si>
  <si>
    <r>
      <t xml:space="preserve">Customer &amp; order details
</t>
    </r>
    <r>
      <rPr>
        <b/>
        <sz val="11"/>
        <color indexed="9"/>
        <rFont val="Calibri"/>
        <family val="2"/>
      </rPr>
      <t>(For commercial details such as price, payment terms etc. refer to "OTF-Commercial" form)</t>
    </r>
  </si>
  <si>
    <t xml:space="preserve">Customer name: </t>
  </si>
  <si>
    <t xml:space="preserve">Dispatch adress: </t>
  </si>
  <si>
    <t xml:space="preserve">Purchase Order No : </t>
  </si>
  <si>
    <t xml:space="preserve">Date : </t>
  </si>
  <si>
    <t>ST/VAT Details</t>
  </si>
  <si>
    <t>Cam Duct reference no.</t>
  </si>
  <si>
    <t>Factory order acceptance no.</t>
  </si>
  <si>
    <t>Nil</t>
  </si>
  <si>
    <t>Product</t>
  </si>
  <si>
    <t xml:space="preserve">Freight </t>
  </si>
  <si>
    <t xml:space="preserve">Drawing reference  No.
</t>
  </si>
  <si>
    <t>Transit Insurance:</t>
  </si>
  <si>
    <t xml:space="preserve">  By Cam Duct / By Customer</t>
  </si>
  <si>
    <t>Specific commercial requirements if any /Remarks</t>
  </si>
  <si>
    <t>Drawing approved by:</t>
  </si>
  <si>
    <t>General specification of Sheet</t>
  </si>
  <si>
    <t xml:space="preserve">a)Product : Standard / Non standard </t>
  </si>
  <si>
    <t>Standard</t>
  </si>
  <si>
    <t xml:space="preserve"> b)SWG :</t>
  </si>
  <si>
    <t>If Non Standard,  Specify:</t>
  </si>
  <si>
    <t>Type of order: Supply of Factory Fabricated BoX Type  Duct  as per Drawing/Specification(qty as per drawing)</t>
  </si>
  <si>
    <t>CAMDUCT xls</t>
  </si>
  <si>
    <t>GSS TDF DUCT</t>
  </si>
  <si>
    <t>EXTRA</t>
  </si>
  <si>
    <t>Transportation</t>
  </si>
  <si>
    <t>Output CGST</t>
  </si>
  <si>
    <t>Jindal/AMNS</t>
  </si>
  <si>
    <t>120GSM</t>
  </si>
  <si>
    <t>Sqm</t>
  </si>
  <si>
    <t>45  DAYS credit period</t>
  </si>
  <si>
    <t xml:space="preserve"> KNND Associates Pvt Ltd</t>
  </si>
  <si>
    <t xml:space="preserve"> No-125, Richpalpuri, Hapur Road</t>
  </si>
  <si>
    <t>Chandrapuri, Ghaziabad,</t>
  </si>
  <si>
    <t>Uttar Pradesh, 201001</t>
  </si>
  <si>
    <t xml:space="preserve"> Tata Consultancy Services Limited,,</t>
  </si>
  <si>
    <t xml:space="preserve"> Sector -157, Noida, Distt. Gautam</t>
  </si>
  <si>
    <t>Buddha Nagar ,  Noida</t>
  </si>
  <si>
    <t>GST - 09AAACR4849R1ZJ,</t>
  </si>
  <si>
    <t xml:space="preserve"> Uttar Pradesh, 201310</t>
  </si>
  <si>
    <t>Mr Deepak Rao</t>
  </si>
  <si>
    <t>Shodhan</t>
  </si>
  <si>
    <t>UP/0167/2025-26-16020 - TCS Noida Low Side</t>
  </si>
  <si>
    <t xml:space="preserve"> 09AABCK3022G1ZX</t>
  </si>
  <si>
    <t>18%</t>
  </si>
  <si>
    <t xml:space="preserve">IGST Tax value </t>
  </si>
  <si>
    <t>Naveen Kumar S</t>
  </si>
  <si>
    <t>UP/0048/2026-27-16020 - TCS Noida - Lowside</t>
  </si>
  <si>
    <t>NAVEEN S</t>
  </si>
  <si>
    <t>Qty and Price for KNND - TCS Noida project</t>
  </si>
  <si>
    <t>HCD ACCOUNTS</t>
  </si>
  <si>
    <r>
      <t>​</t>
    </r>
    <r>
      <rPr>
        <sz val="9"/>
        <color rgb="FF242424"/>
        <rFont val="Inherit"/>
      </rPr>
      <t>B Sandeep Kumar Purchase &lt;purchase@knndassociates.com&gt;;</t>
    </r>
    <r>
      <rPr>
        <sz val="9"/>
        <color rgb="FF424242"/>
        <rFont val="Inherit"/>
      </rPr>
      <t>​</t>
    </r>
    <r>
      <rPr>
        <sz val="9"/>
        <color rgb="FF242424"/>
        <rFont val="Inherit"/>
      </rPr>
      <t>Deepak Rao &lt;deepakrao@knndassociates.com&gt;;</t>
    </r>
    <r>
      <rPr>
        <sz val="9"/>
        <color rgb="FF424242"/>
        <rFont val="Inherit"/>
      </rPr>
      <t>​</t>
    </r>
    <r>
      <rPr>
        <sz val="9"/>
        <color rgb="FF242424"/>
        <rFont val="Inherit"/>
      </rPr>
      <t>KARTHIKEYA S R &lt;karthikeya.s.r@knndassociates.com&gt;</t>
    </r>
    <r>
      <rPr>
        <sz val="9"/>
        <color rgb="FF424242"/>
        <rFont val="Inherit"/>
      </rPr>
      <t>​</t>
    </r>
  </si>
  <si>
    <r>
      <t>​</t>
    </r>
    <r>
      <rPr>
        <sz val="9"/>
        <color rgb="FF242424"/>
        <rFont val="Inherit"/>
      </rPr>
      <t>DEEPAK K.V;</t>
    </r>
    <r>
      <rPr>
        <sz val="9"/>
        <color rgb="FF424242"/>
        <rFont val="Inherit"/>
      </rPr>
      <t>​</t>
    </r>
    <r>
      <rPr>
        <sz val="9"/>
        <color rgb="FF242424"/>
        <rFont val="Inherit"/>
      </rPr>
      <t>Director;</t>
    </r>
    <r>
      <rPr>
        <sz val="9"/>
        <color rgb="FF424242"/>
        <rFont val="Inherit"/>
      </rPr>
      <t>​</t>
    </r>
    <r>
      <rPr>
        <sz val="9"/>
        <color rgb="FF242424"/>
        <rFont val="Inherit"/>
      </rPr>
      <t>HCD PLANNING</t>
    </r>
    <r>
      <rPr>
        <sz val="9"/>
        <color rgb="FF424242"/>
        <rFont val="Inherit"/>
      </rPr>
      <t>​</t>
    </r>
  </si>
  <si>
    <t>Dear Sir,</t>
  </si>
  <si>
    <t>Please find the KNND TCS Noida project price and quantity listed below.</t>
  </si>
  <si>
    <t></t>
  </si>
  <si>
    <t>SL</t>
  </si>
  <si>
    <t>Unit</t>
  </si>
  <si>
    <t>Qty</t>
  </si>
  <si>
    <t>Price</t>
  </si>
  <si>
    <t>Total</t>
  </si>
  <si>
    <t>Factory Fabricated Rectangular Duct 24G</t>
  </si>
  <si>
    <t>       4,57,250</t>
  </si>
  <si>
    <t>Factory Fabricated Rectangular Duct 22G</t>
  </si>
  <si>
    <t>       2,53,750</t>
  </si>
  <si>
    <t>Factory Fabricated Rectangular Duct 20G</t>
  </si>
  <si>
    <t>       2,48,000</t>
  </si>
  <si>
    <t>Factory Fabricated Rectangular Duct 18G</t>
  </si>
  <si>
    <t>       7,00,000</t>
  </si>
  <si>
    <t>Factory Fabricated Spiral Oval Duct 24G</t>
  </si>
  <si>
    <t>       8,45,000</t>
  </si>
  <si>
    <t>Factory Fabricated Spiral Oval Duct 22G</t>
  </si>
  <si>
    <t>       8,36,000</t>
  </si>
  <si>
    <t>Factory Fabricated Spiral Oval Duct 20G</t>
  </si>
  <si>
    <t>       1,28,000</t>
  </si>
  <si>
    <t>Factory Fabricated Oval Coupling 20G</t>
  </si>
  <si>
    <t>       2,48,200</t>
  </si>
  <si>
    <t>13mm Aluminium Foil Insulation</t>
  </si>
  <si>
    <t>       2,43,750</t>
  </si>
  <si>
    <t>19mm Aluminium Foil Insulation</t>
  </si>
  <si>
    <t>       2,37,000</t>
  </si>
  <si>
    <t>25mm Aluminium Foil Insulation</t>
  </si>
  <si>
    <t>       1,39,500</t>
  </si>
  <si>
    <t>10mm Acoustic Insulation</t>
  </si>
  <si>
    <t>       3,29,000</t>
  </si>
  <si>
    <t>9mm Thermal Insulation</t>
  </si>
  <si>
    <t>       5,04,000</t>
  </si>
  <si>
    <t>13mm Aluminium Foil FlangeInsulation</t>
  </si>
  <si>
    <t>          34,000</t>
  </si>
  <si>
    <t>Aluminium Tape</t>
  </si>
  <si>
    <t>Nos</t>
  </si>
  <si>
    <t>            8,000</t>
  </si>
  <si>
    <t>Regards,</t>
  </si>
  <si>
    <t>Cam Duct India Pvt Ltd</t>
  </si>
  <si>
    <r>
      <t>From:</t>
    </r>
    <r>
      <rPr>
        <sz val="11"/>
        <color rgb="FF000000"/>
        <rFont val="Calibri"/>
        <family val="2"/>
      </rPr>
      <t> HCD PLANNING &lt;hcd.planning@camduct.in&gt;</t>
    </r>
  </si>
  <si>
    <r>
      <t>Sent:</t>
    </r>
    <r>
      <rPr>
        <sz val="11"/>
        <color rgb="FF000000"/>
        <rFont val="Calibri"/>
        <family val="2"/>
      </rPr>
      <t> Wednesday, May 27, 2026 3:11 PM</t>
    </r>
  </si>
  <si>
    <r>
      <t>To:</t>
    </r>
    <r>
      <rPr>
        <sz val="11"/>
        <color rgb="FF000000"/>
        <rFont val="Calibri"/>
        <family val="2"/>
      </rPr>
      <t> B Sandeep Kumar Purchase &lt;purchase@knndassociates.com&gt;; Deepak Rao &lt;deepakrao@knndassociates.com&gt;</t>
    </r>
  </si>
  <si>
    <r>
      <t>Cc:</t>
    </r>
    <r>
      <rPr>
        <sz val="11"/>
        <color rgb="FF000000"/>
        <rFont val="Calibri"/>
        <family val="2"/>
      </rPr>
      <t> HCD ACCOUNTS &lt;hcd.accounts@camduct.in&gt;; DEEPAK K.V &lt;sales@camduct.in&gt;; Director &lt;Director@camduct.in&gt;</t>
    </r>
  </si>
  <si>
    <r>
      <t>Subject:</t>
    </r>
    <r>
      <rPr>
        <sz val="11"/>
        <color rgb="FF000000"/>
        <rFont val="Calibri"/>
        <family val="2"/>
      </rPr>
      <t> Qty for KNND ) TCS HIGH SIDE - Toilet Area Ducts</t>
    </r>
  </si>
  <si>
    <r>
      <t>               Pls find the qty for below mailed drawing ( </t>
    </r>
    <r>
      <rPr>
        <b/>
        <sz val="12"/>
        <color rgb="FF000000"/>
        <rFont val="Aptos"/>
        <family val="2"/>
      </rPr>
      <t>TCS Noida Cafeteria &amp; Welcome Block GF,1F &amp; 2F Toilet Exhaust Duct</t>
    </r>
    <r>
      <rPr>
        <sz val="12"/>
        <color rgb="FF000000"/>
        <rFont val="Aptos"/>
        <family val="2"/>
      </rPr>
      <t> ).</t>
    </r>
  </si>
  <si>
    <t>                 24g TDF with 13mm Alu.Foil Thermal Insulation            ----- 500 Sqm</t>
  </si>
  <si>
    <t>                24g TDF with 25mm Alu.Foil Thermal Insulation               ----- 40 Sqm</t>
  </si>
  <si>
    <t>                24g TDF with 13mm Alu.Foil Thermal + 10mm Acoustic ----- 20 Sqm</t>
  </si>
  <si>
    <t>                24g TDF with 25mm Alu.Foil Thermal + 10mm Acoustic ----- 30 Sqm </t>
  </si>
  <si>
    <t>               13mm Alu.Foil Thermal Flange Insulation                          ------ 110 Sqm</t>
  </si>
  <si>
    <r>
      <t>                </t>
    </r>
    <r>
      <rPr>
        <b/>
        <sz val="12"/>
        <color rgb="FF000000"/>
        <rFont val="Aptos"/>
        <family val="2"/>
      </rPr>
      <t>Aluminium Tape                                                                               -------- 100 Nos</t>
    </r>
  </si>
  <si>
    <t>              Thanks &amp; Regards</t>
  </si>
  <si>
    <t>                          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</si>
</sst>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yy;@"/>
    <numFmt numFmtId="166" formatCode="0.000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indexed="9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b/>
      <sz val="9"/>
      <name val="Verdana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alibri"/>
      <family val="2"/>
      <scheme val="minor"/>
    </font>
    <font>
      <b/>
      <sz val="8"/>
      <name val="Arial"/>
      <family val="2"/>
    </font>
    <font>
      <sz val="11"/>
      <color indexed="8"/>
      <name val="Calibri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u/>
      <sz val="12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6"/>
      <color indexed="62"/>
      <name val="Calibri"/>
      <family val="2"/>
    </font>
    <font>
      <b/>
      <sz val="14"/>
      <color indexed="9"/>
      <name val="Calibri"/>
      <family val="2"/>
    </font>
    <font>
      <b/>
      <sz val="11"/>
      <color indexed="9"/>
      <name val="Calibri"/>
      <family val="2"/>
    </font>
    <font>
      <b/>
      <sz val="14"/>
      <color indexed="30"/>
      <name val="Calibri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9"/>
      <color theme="1"/>
      <name val="Verdana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Verdana"/>
      <family val="2"/>
    </font>
    <font>
      <b/>
      <sz val="10"/>
      <name val="Verdana"/>
      <family val="2"/>
    </font>
    <font>
      <b/>
      <sz val="11"/>
      <color rgb="FFFF0000"/>
      <name val="Arial"/>
      <family val="2"/>
    </font>
    <font>
      <sz val="14"/>
      <color rgb="FF0B1E59"/>
      <name val="Arial"/>
      <family val="2"/>
    </font>
    <font>
      <sz val="11"/>
      <color rgb="FFFFC000"/>
      <name val="Calibri"/>
      <family val="2"/>
      <scheme val="minor"/>
    </font>
    <font>
      <sz val="11"/>
      <color rgb="FF242424"/>
      <name val="Inherit"/>
    </font>
    <font>
      <sz val="15"/>
      <color rgb="FF242424"/>
      <name val="FluentSystemIcons"/>
    </font>
    <font>
      <sz val="9"/>
      <color rgb="FF242424"/>
      <name val="Inherit"/>
    </font>
    <font>
      <sz val="9"/>
      <color rgb="FF424242"/>
      <name val="Inherit"/>
    </font>
    <font>
      <sz val="11"/>
      <color rgb="FF242424"/>
      <name val="Inherit"/>
    </font>
    <font>
      <sz val="12"/>
      <color rgb="FF000000"/>
      <name val="Aptos"/>
      <family val="2"/>
    </font>
    <font>
      <b/>
      <sz val="9"/>
      <color rgb="FFFFFFFF"/>
      <name val="Inherit"/>
    </font>
    <font>
      <sz val="9"/>
      <color rgb="FF000000"/>
      <name val="Calibri"/>
      <family val="2"/>
    </font>
    <font>
      <b/>
      <sz val="9"/>
      <color rgb="FF000000"/>
      <name val="Inherit"/>
    </font>
    <font>
      <b/>
      <sz val="12"/>
      <color rgb="FF174E86"/>
      <name val="Aptos"/>
      <family val="2"/>
    </font>
    <font>
      <b/>
      <sz val="12"/>
      <color rgb="FF000000"/>
      <name val="Aptos"/>
      <family val="2"/>
    </font>
    <font>
      <b/>
      <i/>
      <sz val="12"/>
      <color rgb="FF0C64C0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8" fillId="0" borderId="0"/>
    <xf numFmtId="0" fontId="37" fillId="0" borderId="0" applyNumberFormat="0" applyFill="0" applyBorder="0" applyAlignment="0" applyProtection="0">
      <alignment vertical="top"/>
      <protection locked="0"/>
    </xf>
  </cellStyleXfs>
  <cellXfs count="259">
    <xf numFmtId="0" fontId="0" fillId="0" borderId="0" xfId="0"/>
    <xf numFmtId="0" fontId="8" fillId="0" borderId="0" xfId="0" applyFont="1"/>
    <xf numFmtId="0" fontId="12" fillId="0" borderId="8" xfId="0" applyFont="1" applyBorder="1" applyAlignment="1">
      <alignment vertical="center" wrapText="1"/>
    </xf>
    <xf numFmtId="165" fontId="13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0" borderId="0" xfId="0" applyFont="1"/>
    <xf numFmtId="0" fontId="0" fillId="0" borderId="7" xfId="0" applyBorder="1"/>
    <xf numFmtId="0" fontId="14" fillId="0" borderId="0" xfId="0" applyFont="1"/>
    <xf numFmtId="0" fontId="18" fillId="0" borderId="0" xfId="2"/>
    <xf numFmtId="0" fontId="35" fillId="0" borderId="0" xfId="2" applyFont="1"/>
    <xf numFmtId="0" fontId="18" fillId="0" borderId="7" xfId="2" applyBorder="1"/>
    <xf numFmtId="0" fontId="18" fillId="12" borderId="14" xfId="2" applyFill="1" applyBorder="1"/>
    <xf numFmtId="0" fontId="18" fillId="0" borderId="6" xfId="2" applyBorder="1"/>
    <xf numFmtId="0" fontId="18" fillId="0" borderId="7" xfId="2" applyBorder="1" applyAlignment="1">
      <alignment horizontal="center"/>
    </xf>
    <xf numFmtId="0" fontId="18" fillId="0" borderId="6" xfId="2" applyBorder="1" applyAlignment="1">
      <alignment vertical="top"/>
    </xf>
    <xf numFmtId="0" fontId="18" fillId="0" borderId="0" xfId="2" applyAlignment="1">
      <alignment vertical="top"/>
    </xf>
    <xf numFmtId="0" fontId="35" fillId="0" borderId="0" xfId="2" applyFont="1" applyAlignment="1">
      <alignment vertical="center"/>
    </xf>
    <xf numFmtId="0" fontId="18" fillId="0" borderId="0" xfId="2" applyAlignment="1">
      <alignment horizontal="center"/>
    </xf>
    <xf numFmtId="0" fontId="18" fillId="0" borderId="6" xfId="2" applyBorder="1" applyAlignment="1">
      <alignment horizontal="center"/>
    </xf>
    <xf numFmtId="0" fontId="18" fillId="0" borderId="0" xfId="1" applyNumberFormat="1" applyFont="1" applyFill="1" applyBorder="1" applyAlignment="1">
      <alignment horizontal="right"/>
    </xf>
    <xf numFmtId="0" fontId="18" fillId="0" borderId="0" xfId="2" applyAlignment="1">
      <alignment horizontal="right"/>
    </xf>
    <xf numFmtId="0" fontId="36" fillId="0" borderId="0" xfId="2" applyFont="1"/>
    <xf numFmtId="0" fontId="18" fillId="0" borderId="8" xfId="2" applyBorder="1"/>
    <xf numFmtId="0" fontId="18" fillId="0" borderId="9" xfId="2" applyBorder="1"/>
    <xf numFmtId="0" fontId="36" fillId="0" borderId="9" xfId="2" applyFont="1" applyBorder="1"/>
    <xf numFmtId="0" fontId="18" fillId="0" borderId="9" xfId="2" applyBorder="1" applyAlignment="1">
      <alignment horizontal="center"/>
    </xf>
    <xf numFmtId="0" fontId="18" fillId="0" borderId="10" xfId="2" applyBorder="1" applyAlignment="1">
      <alignment horizontal="center"/>
    </xf>
    <xf numFmtId="0" fontId="12" fillId="0" borderId="0" xfId="0" applyFont="1" applyAlignment="1">
      <alignment vertical="center"/>
    </xf>
    <xf numFmtId="0" fontId="33" fillId="0" borderId="0" xfId="2" applyFont="1" applyAlignment="1">
      <alignment horizontal="center" vertical="center"/>
    </xf>
    <xf numFmtId="0" fontId="35" fillId="0" borderId="7" xfId="2" applyFont="1" applyBorder="1"/>
    <xf numFmtId="0" fontId="34" fillId="0" borderId="0" xfId="0" applyFont="1"/>
    <xf numFmtId="0" fontId="36" fillId="0" borderId="6" xfId="2" applyFont="1" applyBorder="1"/>
    <xf numFmtId="0" fontId="41" fillId="14" borderId="14" xfId="0" applyFont="1" applyFill="1" applyBorder="1"/>
    <xf numFmtId="2" fontId="36" fillId="0" borderId="11" xfId="1" applyNumberFormat="1" applyFont="1" applyFill="1" applyBorder="1" applyAlignment="1">
      <alignment horizontal="right"/>
    </xf>
    <xf numFmtId="0" fontId="36" fillId="0" borderId="14" xfId="2" applyFont="1" applyBorder="1" applyAlignment="1">
      <alignment horizontal="center"/>
    </xf>
    <xf numFmtId="0" fontId="36" fillId="0" borderId="0" xfId="2" applyFont="1" applyAlignment="1">
      <alignment horizontal="center"/>
    </xf>
    <xf numFmtId="0" fontId="36" fillId="0" borderId="7" xfId="2" applyFont="1" applyBorder="1" applyAlignment="1">
      <alignment horizontal="center"/>
    </xf>
    <xf numFmtId="0" fontId="16" fillId="0" borderId="0" xfId="0" applyFont="1"/>
    <xf numFmtId="0" fontId="12" fillId="0" borderId="7" xfId="0" applyFont="1" applyBorder="1"/>
    <xf numFmtId="0" fontId="10" fillId="0" borderId="6" xfId="0" applyFont="1" applyBorder="1"/>
    <xf numFmtId="0" fontId="10" fillId="0" borderId="14" xfId="0" applyFont="1" applyBorder="1" applyAlignment="1">
      <alignment horizontal="left"/>
    </xf>
    <xf numFmtId="0" fontId="11" fillId="0" borderId="14" xfId="0" applyFont="1" applyBorder="1"/>
    <xf numFmtId="0" fontId="46" fillId="0" borderId="0" xfId="0" applyFont="1" applyAlignment="1">
      <alignment vertical="center"/>
    </xf>
    <xf numFmtId="0" fontId="47" fillId="0" borderId="0" xfId="0" applyFont="1"/>
    <xf numFmtId="0" fontId="45" fillId="0" borderId="0" xfId="0" applyFont="1"/>
    <xf numFmtId="0" fontId="4" fillId="3" borderId="14" xfId="0" applyFont="1" applyFill="1" applyBorder="1" applyAlignment="1">
      <alignment vertical="center" wrapText="1"/>
    </xf>
    <xf numFmtId="0" fontId="7" fillId="3" borderId="14" xfId="0" applyFont="1" applyFill="1" applyBorder="1"/>
    <xf numFmtId="165" fontId="5" fillId="3" borderId="14" xfId="0" applyNumberFormat="1" applyFont="1" applyFill="1" applyBorder="1" applyAlignment="1">
      <alignment horizontal="right" vertical="center" wrapText="1"/>
    </xf>
    <xf numFmtId="0" fontId="2" fillId="0" borderId="14" xfId="0" applyFont="1" applyBorder="1"/>
    <xf numFmtId="0" fontId="0" fillId="0" borderId="14" xfId="0" applyBorder="1"/>
    <xf numFmtId="0" fontId="44" fillId="0" borderId="14" xfId="0" applyFont="1" applyBorder="1"/>
    <xf numFmtId="0" fontId="12" fillId="0" borderId="14" xfId="0" applyFont="1" applyBorder="1" applyAlignment="1">
      <alignment vertical="center" wrapText="1"/>
    </xf>
    <xf numFmtId="0" fontId="10" fillId="0" borderId="14" xfId="0" applyFont="1" applyBorder="1"/>
    <xf numFmtId="0" fontId="12" fillId="0" borderId="14" xfId="0" applyFont="1" applyBorder="1"/>
    <xf numFmtId="0" fontId="15" fillId="0" borderId="14" xfId="0" applyFont="1" applyBorder="1" applyAlignment="1">
      <alignment vertical="top" wrapText="1"/>
    </xf>
    <xf numFmtId="0" fontId="2" fillId="0" borderId="14" xfId="0" applyFont="1" applyBorder="1" applyAlignment="1">
      <alignment horizontal="left"/>
    </xf>
    <xf numFmtId="0" fontId="2" fillId="0" borderId="14" xfId="0" applyFont="1" applyBorder="1" applyAlignment="1">
      <alignment horizontal="center" vertical="center" wrapText="1"/>
    </xf>
    <xf numFmtId="165" fontId="13" fillId="0" borderId="14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8" fillId="0" borderId="14" xfId="0" applyFont="1" applyBorder="1"/>
    <xf numFmtId="0" fontId="38" fillId="0" borderId="14" xfId="0" applyFont="1" applyBorder="1" applyAlignment="1">
      <alignment horizontal="center"/>
    </xf>
    <xf numFmtId="164" fontId="42" fillId="0" borderId="14" xfId="1" applyFont="1" applyBorder="1"/>
    <xf numFmtId="164" fontId="0" fillId="0" borderId="14" xfId="1" applyFont="1" applyBorder="1"/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8" fillId="0" borderId="14" xfId="0" applyFont="1" applyBorder="1"/>
    <xf numFmtId="0" fontId="12" fillId="0" borderId="14" xfId="0" applyFont="1" applyBorder="1" applyAlignment="1">
      <alignment horizontal="center"/>
    </xf>
    <xf numFmtId="164" fontId="6" fillId="0" borderId="14" xfId="1" applyFont="1" applyBorder="1"/>
    <xf numFmtId="49" fontId="19" fillId="5" borderId="14" xfId="0" applyNumberFormat="1" applyFont="1" applyFill="1" applyBorder="1" applyAlignment="1">
      <alignment horizontal="center"/>
    </xf>
    <xf numFmtId="164" fontId="19" fillId="7" borderId="14" xfId="1" applyFont="1" applyFill="1" applyBorder="1" applyAlignment="1">
      <alignment vertical="center" wrapText="1"/>
    </xf>
    <xf numFmtId="0" fontId="6" fillId="0" borderId="14" xfId="0" applyFont="1" applyBorder="1"/>
    <xf numFmtId="0" fontId="6" fillId="0" borderId="14" xfId="0" applyFont="1" applyBorder="1" applyAlignment="1">
      <alignment horizontal="center"/>
    </xf>
    <xf numFmtId="0" fontId="25" fillId="8" borderId="14" xfId="0" applyFont="1" applyFill="1" applyBorder="1" applyAlignment="1">
      <alignment vertical="center" wrapText="1"/>
    </xf>
    <xf numFmtId="0" fontId="24" fillId="0" borderId="14" xfId="0" applyFont="1" applyBorder="1" applyAlignment="1">
      <alignment horizontal="left"/>
    </xf>
    <xf numFmtId="0" fontId="25" fillId="0" borderId="14" xfId="0" applyFont="1" applyBorder="1" applyAlignment="1">
      <alignment vertical="center" wrapText="1"/>
    </xf>
    <xf numFmtId="0" fontId="38" fillId="0" borderId="15" xfId="0" applyFont="1" applyBorder="1" applyAlignment="1">
      <alignment horizontal="left"/>
    </xf>
    <xf numFmtId="0" fontId="38" fillId="0" borderId="11" xfId="0" applyFont="1" applyBorder="1" applyAlignment="1">
      <alignment horizontal="left"/>
    </xf>
    <xf numFmtId="0" fontId="38" fillId="0" borderId="16" xfId="0" applyFont="1" applyBorder="1" applyAlignment="1">
      <alignment horizontal="left"/>
    </xf>
    <xf numFmtId="0" fontId="0" fillId="0" borderId="0" xfId="0" applyAlignment="1">
      <alignment horizontal="center"/>
    </xf>
    <xf numFmtId="0" fontId="6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" vertical="center" wrapText="1"/>
    </xf>
    <xf numFmtId="0" fontId="24" fillId="8" borderId="14" xfId="0" applyFont="1" applyFill="1" applyBorder="1" applyAlignment="1">
      <alignment horizontal="left"/>
    </xf>
    <xf numFmtId="0" fontId="12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right" vertical="center"/>
    </xf>
    <xf numFmtId="0" fontId="22" fillId="0" borderId="14" xfId="0" applyFont="1" applyBorder="1" applyAlignment="1">
      <alignment horizontal="left" vertical="top" wrapText="1"/>
    </xf>
    <xf numFmtId="0" fontId="23" fillId="0" borderId="14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right" vertical="center" wrapText="1"/>
    </xf>
    <xf numFmtId="0" fontId="20" fillId="0" borderId="14" xfId="0" applyFont="1" applyBorder="1" applyAlignment="1">
      <alignment horizontal="left" vertical="top" wrapText="1"/>
    </xf>
    <xf numFmtId="0" fontId="21" fillId="0" borderId="14" xfId="0" quotePrefix="1" applyFont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left" vertical="center" wrapText="1"/>
    </xf>
    <xf numFmtId="0" fontId="9" fillId="6" borderId="14" xfId="0" applyFont="1" applyFill="1" applyBorder="1" applyAlignment="1">
      <alignment horizontal="left" wrapText="1"/>
    </xf>
    <xf numFmtId="0" fontId="12" fillId="6" borderId="14" xfId="0" applyFont="1" applyFill="1" applyBorder="1" applyAlignment="1">
      <alignment horizontal="left" vertical="center"/>
    </xf>
    <xf numFmtId="0" fontId="12" fillId="0" borderId="14" xfId="0" applyFont="1" applyBorder="1" applyAlignment="1">
      <alignment horizontal="left"/>
    </xf>
    <xf numFmtId="0" fontId="2" fillId="0" borderId="14" xfId="0" applyFont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 wrapText="1"/>
    </xf>
    <xf numFmtId="0" fontId="13" fillId="5" borderId="14" xfId="0" applyFont="1" applyFill="1" applyBorder="1" applyAlignment="1">
      <alignment horizontal="left" vertical="center" wrapText="1"/>
    </xf>
    <xf numFmtId="0" fontId="2" fillId="5" borderId="14" xfId="0" applyFont="1" applyFill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top" wrapText="1"/>
    </xf>
    <xf numFmtId="0" fontId="4" fillId="5" borderId="14" xfId="0" applyFont="1" applyFill="1" applyBorder="1" applyAlignment="1">
      <alignment horizontal="left"/>
    </xf>
    <xf numFmtId="0" fontId="4" fillId="5" borderId="14" xfId="0" applyFont="1" applyFill="1" applyBorder="1" applyAlignment="1">
      <alignment horizontal="left" vertical="center" wrapText="1"/>
    </xf>
    <xf numFmtId="0" fontId="9" fillId="5" borderId="14" xfId="0" applyFont="1" applyFill="1" applyBorder="1" applyAlignment="1">
      <alignment horizontal="left" vertical="center" wrapText="1"/>
    </xf>
    <xf numFmtId="0" fontId="9" fillId="5" borderId="14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9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43" fillId="0" borderId="14" xfId="0" applyFont="1" applyBorder="1" applyAlignment="1">
      <alignment horizontal="left" wrapText="1"/>
    </xf>
    <xf numFmtId="0" fontId="43" fillId="0" borderId="14" xfId="0" applyFont="1" applyBorder="1" applyAlignment="1">
      <alignment horizontal="left"/>
    </xf>
    <xf numFmtId="0" fontId="40" fillId="0" borderId="14" xfId="3" applyFont="1" applyBorder="1" applyAlignment="1" applyProtection="1">
      <alignment horizontal="left"/>
    </xf>
    <xf numFmtId="0" fontId="39" fillId="0" borderId="14" xfId="0" applyFont="1" applyBorder="1" applyAlignment="1">
      <alignment horizontal="left"/>
    </xf>
    <xf numFmtId="0" fontId="18" fillId="0" borderId="6" xfId="2" applyBorder="1" applyAlignment="1">
      <alignment horizontal="left" vertical="top" wrapText="1"/>
    </xf>
    <xf numFmtId="0" fontId="18" fillId="0" borderId="0" xfId="2" applyAlignment="1">
      <alignment horizontal="left" vertical="top" wrapText="1"/>
    </xf>
    <xf numFmtId="166" fontId="35" fillId="0" borderId="0" xfId="2" applyNumberFormat="1" applyFont="1" applyAlignment="1">
      <alignment horizontal="left"/>
    </xf>
    <xf numFmtId="0" fontId="31" fillId="11" borderId="4" xfId="2" applyFont="1" applyFill="1" applyBorder="1" applyAlignment="1">
      <alignment horizontal="center" vertical="center"/>
    </xf>
    <xf numFmtId="0" fontId="31" fillId="11" borderId="1" xfId="2" applyFont="1" applyFill="1" applyBorder="1" applyAlignment="1">
      <alignment horizontal="center" vertical="center"/>
    </xf>
    <xf numFmtId="0" fontId="31" fillId="11" borderId="5" xfId="2" applyFont="1" applyFill="1" applyBorder="1" applyAlignment="1">
      <alignment horizontal="center" vertical="center"/>
    </xf>
    <xf numFmtId="0" fontId="18" fillId="0" borderId="0" xfId="2" applyAlignment="1">
      <alignment horizontal="center"/>
    </xf>
    <xf numFmtId="0" fontId="18" fillId="0" borderId="0" xfId="2" applyAlignment="1">
      <alignment horizontal="left"/>
    </xf>
    <xf numFmtId="0" fontId="18" fillId="0" borderId="7" xfId="2" applyBorder="1" applyAlignment="1">
      <alignment horizontal="left"/>
    </xf>
    <xf numFmtId="0" fontId="35" fillId="0" borderId="0" xfId="2" applyFont="1" applyAlignment="1">
      <alignment horizontal="left"/>
    </xf>
    <xf numFmtId="0" fontId="35" fillId="0" borderId="0" xfId="2" applyFont="1" applyAlignment="1">
      <alignment horizontal="center"/>
    </xf>
    <xf numFmtId="0" fontId="35" fillId="0" borderId="7" xfId="2" applyFont="1" applyBorder="1" applyAlignment="1">
      <alignment horizontal="center"/>
    </xf>
    <xf numFmtId="0" fontId="24" fillId="12" borderId="2" xfId="0" applyFont="1" applyFill="1" applyBorder="1" applyAlignment="1">
      <alignment horizontal="left" vertical="center"/>
    </xf>
    <xf numFmtId="0" fontId="24" fillId="12" borderId="12" xfId="0" applyFont="1" applyFill="1" applyBorder="1" applyAlignment="1">
      <alignment horizontal="left" vertical="center"/>
    </xf>
    <xf numFmtId="0" fontId="24" fillId="12" borderId="13" xfId="0" applyFont="1" applyFill="1" applyBorder="1" applyAlignment="1">
      <alignment horizontal="left" vertical="center"/>
    </xf>
    <xf numFmtId="0" fontId="25" fillId="12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8" fillId="0" borderId="6" xfId="2" applyBorder="1" applyAlignment="1">
      <alignment horizontal="left"/>
    </xf>
    <xf numFmtId="0" fontId="4" fillId="0" borderId="0" xfId="0" applyFont="1" applyAlignment="1">
      <alignment horizontal="left"/>
    </xf>
    <xf numFmtId="0" fontId="18" fillId="12" borderId="18" xfId="2" applyFill="1" applyBorder="1" applyAlignment="1">
      <alignment horizontal="center"/>
    </xf>
    <xf numFmtId="0" fontId="18" fillId="12" borderId="14" xfId="2" applyFill="1" applyBorder="1" applyAlignment="1">
      <alignment horizontal="center"/>
    </xf>
    <xf numFmtId="0" fontId="12" fillId="13" borderId="15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vertical="center"/>
    </xf>
    <xf numFmtId="0" fontId="12" fillId="13" borderId="16" xfId="0" applyFont="1" applyFill="1" applyBorder="1" applyAlignment="1">
      <alignment horizontal="center" vertical="center"/>
    </xf>
    <xf numFmtId="0" fontId="11" fillId="13" borderId="15" xfId="0" applyFont="1" applyFill="1" applyBorder="1" applyAlignment="1">
      <alignment horizontal="center"/>
    </xf>
    <xf numFmtId="0" fontId="11" fillId="13" borderId="11" xfId="0" applyFont="1" applyFill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40" fillId="0" borderId="6" xfId="3" applyFont="1" applyBorder="1" applyAlignment="1" applyProtection="1">
      <alignment horizontal="left"/>
    </xf>
    <xf numFmtId="0" fontId="39" fillId="0" borderId="0" xfId="0" applyFont="1" applyAlignment="1">
      <alignment horizontal="left"/>
    </xf>
    <xf numFmtId="0" fontId="39" fillId="0" borderId="7" xfId="0" applyFont="1" applyBorder="1" applyAlignment="1">
      <alignment horizontal="left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7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34" fillId="0" borderId="9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0" fillId="10" borderId="4" xfId="2" applyFont="1" applyFill="1" applyBorder="1" applyAlignment="1">
      <alignment horizontal="center" vertical="center"/>
    </xf>
    <xf numFmtId="0" fontId="30" fillId="10" borderId="1" xfId="2" applyFont="1" applyFill="1" applyBorder="1" applyAlignment="1">
      <alignment horizontal="center" vertical="center"/>
    </xf>
    <xf numFmtId="0" fontId="30" fillId="10" borderId="5" xfId="2" applyFont="1" applyFill="1" applyBorder="1" applyAlignment="1">
      <alignment horizontal="center" vertical="center"/>
    </xf>
    <xf numFmtId="0" fontId="31" fillId="11" borderId="6" xfId="2" applyFont="1" applyFill="1" applyBorder="1" applyAlignment="1">
      <alignment horizontal="center" vertical="center" wrapText="1"/>
    </xf>
    <xf numFmtId="0" fontId="31" fillId="11" borderId="0" xfId="2" applyFont="1" applyFill="1" applyAlignment="1">
      <alignment horizontal="center" vertical="center"/>
    </xf>
    <xf numFmtId="0" fontId="31" fillId="11" borderId="7" xfId="2" applyFont="1" applyFill="1" applyBorder="1" applyAlignment="1">
      <alignment horizontal="center" vertical="center"/>
    </xf>
    <xf numFmtId="0" fontId="33" fillId="0" borderId="6" xfId="2" applyFont="1" applyBorder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33" fillId="0" borderId="7" xfId="2" applyFont="1" applyBorder="1" applyAlignment="1">
      <alignment horizontal="center" vertical="center"/>
    </xf>
    <xf numFmtId="0" fontId="26" fillId="9" borderId="19" xfId="0" applyFont="1" applyFill="1" applyBorder="1" applyAlignment="1">
      <alignment vertical="center"/>
    </xf>
    <xf numFmtId="0" fontId="26" fillId="9" borderId="20" xfId="0" applyFont="1" applyFill="1" applyBorder="1" applyAlignment="1">
      <alignment vertical="center"/>
    </xf>
    <xf numFmtId="0" fontId="26" fillId="9" borderId="21" xfId="0" applyFont="1" applyFill="1" applyBorder="1" applyAlignment="1">
      <alignment vertical="center"/>
    </xf>
    <xf numFmtId="0" fontId="20" fillId="0" borderId="19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8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27" fillId="0" borderId="4" xfId="0" applyFont="1" applyBorder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6" fillId="0" borderId="0" xfId="0" applyFont="1"/>
    <xf numFmtId="0" fontId="6" fillId="0" borderId="1" xfId="0" applyFont="1" applyBorder="1" applyAlignment="1">
      <alignment horizontal="center"/>
    </xf>
    <xf numFmtId="2" fontId="6" fillId="0" borderId="7" xfId="0" applyNumberFormat="1" applyFont="1" applyBorder="1"/>
    <xf numFmtId="0" fontId="28" fillId="0" borderId="6" xfId="0" applyFont="1" applyBorder="1"/>
    <xf numFmtId="0" fontId="27" fillId="0" borderId="6" xfId="0" applyFont="1" applyBorder="1" applyAlignment="1">
      <alignment horizontal="left" vertical="top"/>
    </xf>
    <xf numFmtId="0" fontId="27" fillId="0" borderId="0" xfId="0" applyFont="1" applyAlignment="1">
      <alignment horizontal="left" vertical="top"/>
    </xf>
    <xf numFmtId="0" fontId="6" fillId="0" borderId="7" xfId="0" applyFont="1" applyBorder="1"/>
    <xf numFmtId="0" fontId="28" fillId="0" borderId="6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28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29" fillId="0" borderId="4" xfId="0" applyFont="1" applyBorder="1"/>
    <xf numFmtId="0" fontId="6" fillId="0" borderId="1" xfId="0" applyFont="1" applyBorder="1"/>
    <xf numFmtId="0" fontId="6" fillId="0" borderId="5" xfId="0" applyFont="1" applyBorder="1"/>
    <xf numFmtId="0" fontId="0" fillId="0" borderId="10" xfId="0" applyBorder="1"/>
    <xf numFmtId="0" fontId="0" fillId="0" borderId="1" xfId="0" applyBorder="1"/>
    <xf numFmtId="0" fontId="0" fillId="0" borderId="5" xfId="0" applyBorder="1"/>
    <xf numFmtId="0" fontId="28" fillId="0" borderId="6" xfId="0" applyFont="1" applyBorder="1" applyAlignment="1">
      <alignment horizontal="left"/>
    </xf>
    <xf numFmtId="0" fontId="28" fillId="0" borderId="0" xfId="0" applyFont="1" applyAlignment="1">
      <alignment horizontal="left"/>
    </xf>
    <xf numFmtId="0" fontId="0" fillId="0" borderId="6" xfId="0" applyBorder="1"/>
    <xf numFmtId="0" fontId="9" fillId="5" borderId="19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0" fontId="13" fillId="0" borderId="3" xfId="0" applyFont="1" applyBorder="1" applyAlignment="1">
      <alignment horizontal="right"/>
    </xf>
    <xf numFmtId="0" fontId="9" fillId="5" borderId="3" xfId="0" applyFont="1" applyFill="1" applyBorder="1"/>
    <xf numFmtId="0" fontId="6" fillId="0" borderId="3" xfId="0" applyFont="1" applyBorder="1"/>
    <xf numFmtId="0" fontId="2" fillId="0" borderId="0" xfId="0" applyFont="1"/>
    <xf numFmtId="0" fontId="4" fillId="5" borderId="19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165" fontId="13" fillId="0" borderId="3" xfId="0" applyNumberFormat="1" applyFont="1" applyBorder="1" applyAlignment="1">
      <alignment horizontal="right" vertical="center" wrapText="1"/>
    </xf>
    <xf numFmtId="0" fontId="13" fillId="5" borderId="3" xfId="0" applyFont="1" applyFill="1" applyBorder="1"/>
    <xf numFmtId="165" fontId="6" fillId="0" borderId="3" xfId="0" applyNumberFormat="1" applyFont="1" applyBorder="1" applyAlignment="1">
      <alignment horizontal="right" vertical="center" wrapText="1"/>
    </xf>
    <xf numFmtId="0" fontId="0" fillId="0" borderId="8" xfId="0" applyBorder="1"/>
    <xf numFmtId="0" fontId="0" fillId="0" borderId="9" xfId="0" applyBorder="1"/>
    <xf numFmtId="0" fontId="0" fillId="0" borderId="0" xfId="0" applyAlignment="1">
      <alignment vertical="center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4" fillId="15" borderId="31" xfId="0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0" fillId="0" borderId="0" xfId="0" applyAlignment="1"/>
    <xf numFmtId="0" fontId="49" fillId="0" borderId="0" xfId="0" applyFont="1" applyAlignment="1">
      <alignment vertical="center"/>
    </xf>
    <xf numFmtId="0" fontId="53" fillId="0" borderId="0" xfId="0" applyFont="1" applyAlignment="1">
      <alignment horizontal="left" vertical="center"/>
    </xf>
    <xf numFmtId="0" fontId="54" fillId="15" borderId="30" xfId="0" applyFont="1" applyFill="1" applyBorder="1" applyAlignment="1">
      <alignment horizontal="center" vertical="center"/>
    </xf>
    <xf numFmtId="0" fontId="55" fillId="14" borderId="32" xfId="0" applyFont="1" applyFill="1" applyBorder="1" applyAlignment="1">
      <alignment horizontal="center" vertical="center"/>
    </xf>
    <xf numFmtId="0" fontId="55" fillId="14" borderId="33" xfId="0" applyFont="1" applyFill="1" applyBorder="1" applyAlignment="1">
      <alignment horizontal="left" vertical="center"/>
    </xf>
    <xf numFmtId="0" fontId="55" fillId="14" borderId="33" xfId="0" applyFont="1" applyFill="1" applyBorder="1" applyAlignment="1">
      <alignment horizontal="center" vertical="center"/>
    </xf>
    <xf numFmtId="0" fontId="56" fillId="0" borderId="33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0" fontId="42" fillId="0" borderId="0" xfId="0" applyFont="1" applyAlignment="1">
      <alignment vertical="center" readingOrder="1"/>
    </xf>
    <xf numFmtId="0" fontId="52" fillId="0" borderId="0" xfId="0" applyFont="1" applyAlignment="1">
      <alignment vertical="center" readingOrder="1"/>
    </xf>
    <xf numFmtId="0" fontId="53" fillId="0" borderId="0" xfId="0" applyFont="1" applyAlignment="1">
      <alignment horizontal="left" vertical="center" readingOrder="1"/>
    </xf>
    <xf numFmtId="0" fontId="58" fillId="0" borderId="0" xfId="0" applyFont="1" applyAlignment="1">
      <alignment horizontal="left" vertical="center" readingOrder="1"/>
    </xf>
    <xf numFmtId="0" fontId="53" fillId="0" borderId="0" xfId="0" applyFont="1" applyAlignment="1">
      <alignment vertical="center" readingOrder="1"/>
    </xf>
    <xf numFmtId="0" fontId="59" fillId="0" borderId="0" xfId="0" applyFont="1" applyAlignment="1">
      <alignment horizontal="left" vertical="center" readingOrder="1"/>
    </xf>
    <xf numFmtId="0" fontId="38" fillId="0" borderId="15" xfId="0" applyFont="1" applyBorder="1" applyAlignment="1"/>
    <xf numFmtId="0" fontId="38" fillId="0" borderId="11" xfId="0" applyFont="1" applyBorder="1" applyAlignment="1"/>
    <xf numFmtId="0" fontId="38" fillId="0" borderId="16" xfId="0" applyFont="1" applyBorder="1" applyAlignment="1"/>
  </cellXfs>
  <cellStyles count="4">
    <cellStyle name="Comma" xfId="1" builtinId="3"/>
    <cellStyle name="Hyperlink" xfId="3" builtinId="8"/>
    <cellStyle name="Normal" xfId="0" builtinId="0"/>
    <cellStyle name="Normal_Technical trasnmittal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142875</xdr:colOff>
      <xdr:row>2</xdr:row>
      <xdr:rowOff>123825</xdr:rowOff>
    </xdr:from>
    <xdr:to>
      <xdr:col>5</xdr:col>
      <xdr:colOff>257175</xdr:colOff>
      <xdr:row>4</xdr:row>
      <xdr:rowOff>140970</xdr:rowOff>
    </xdr:to>
    <xdr:pic>
      <xdr:nvPicPr>
        <xdr:cNvPr id="4" name="Picture 3" descr="C:\Users\BALA\AppData\Local\Temp\Rar$DIa8500.39814\Camduct Logo JPG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971550"/>
          <a:ext cx="2409825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1022247</xdr:colOff>
      <xdr:row>4</xdr:row>
      <xdr:rowOff>142875</xdr:rowOff>
    </xdr:from>
    <xdr:to>
      <xdr:col>7</xdr:col>
      <xdr:colOff>59385</xdr:colOff>
      <xdr:row>9</xdr:row>
      <xdr:rowOff>142875</xdr:rowOff>
    </xdr:to>
    <xdr:pic>
      <xdr:nvPicPr>
        <xdr:cNvPr id="4" name="Picture 3" descr="C:\Users\BALA\AppData\Local\Temp\Rar$DIa8500.39814\Camduct Logo JPG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1672" y="1085850"/>
          <a:ext cx="3037638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477082</xdr:colOff>
      <xdr:row>44</xdr:row>
      <xdr:rowOff>163118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F89C2-5550-1D84-C5A0-E3AD78A98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63482" cy="8545118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0</xdr:row>
      <xdr:rowOff>0</xdr:rowOff>
    </xdr:from>
    <xdr:to>
      <xdr:col>19</xdr:col>
      <xdr:colOff>362780</xdr:colOff>
      <xdr:row>44</xdr:row>
      <xdr:rowOff>77381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F9DEF3-B0D3-C3B7-0D92-B7D5EDB47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0" y="0"/>
          <a:ext cx="5944430" cy="8459381"/>
        </a:xfrm>
        <a:prstGeom prst="rect">
          <a:avLst/>
        </a:prstGeom>
      </xdr:spPr>
    </xdr:pic>
    <xdr:clientData/>
  </xdr:twoCellAnchor>
  <xdr:twoCellAnchor editAs="oneCell">
    <xdr:from>
      <xdr:col>19</xdr:col>
      <xdr:colOff>476250</xdr:colOff>
      <xdr:row>0</xdr:row>
      <xdr:rowOff>0</xdr:rowOff>
    </xdr:from>
    <xdr:to>
      <xdr:col>29</xdr:col>
      <xdr:colOff>353259</xdr:colOff>
      <xdr:row>45</xdr:row>
      <xdr:rowOff>10723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204722-1D63-6F0D-AB96-36140439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58650" y="0"/>
          <a:ext cx="5973009" cy="858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85"/>
  <sheetViews>
    <sheetView showGridLines="0" tabSelected="1" zoomScaleNormal="100" workbookViewId="0">
      <selection activeCell="D12" sqref="D12"/>
    </sheetView>
  </sheetViews>
  <sheetFormatPr defaultRowHeight="15"/>
  <cols>
    <col min="1" max="1" width="3" customWidth="1"/>
    <col min="2" max="2" width="9.140625" customWidth="1"/>
    <col min="3" max="3" width="12.28515625" customWidth="1"/>
    <col min="4" max="4" width="24" customWidth="1"/>
    <col min="5" max="5" width="34.42578125" customWidth="1"/>
    <col min="6" max="6" width="24" customWidth="1"/>
    <col min="7" max="7" width="15.42578125" customWidth="1"/>
    <col min="8" max="8" width="35.7109375" customWidth="1"/>
  </cols>
  <sheetData>
    <row r="1" spans="2:13" ht="36.75" customHeight="1">
      <c r="B1" s="110" t="s">
        <v>0</v>
      </c>
      <c r="C1" s="110"/>
      <c r="D1" s="110"/>
      <c r="E1" s="110"/>
      <c r="F1" s="110"/>
      <c r="G1" s="110"/>
      <c r="H1" s="110"/>
    </row>
    <row r="2" spans="2:13" s="1" customFormat="1" ht="30" customHeight="1">
      <c r="B2" s="45" t="s">
        <v>1</v>
      </c>
      <c r="C2" s="111">
        <v>70021</v>
      </c>
      <c r="D2" s="111"/>
      <c r="E2" s="112"/>
      <c r="F2" s="112"/>
      <c r="G2" s="46" t="s">
        <v>2</v>
      </c>
      <c r="H2" s="47">
        <v>46181</v>
      </c>
    </row>
    <row r="3" spans="2:13" ht="22.5" customHeight="1">
      <c r="B3" s="113" t="s">
        <v>3</v>
      </c>
      <c r="C3" s="114"/>
      <c r="D3" s="114"/>
      <c r="E3" s="112"/>
      <c r="F3" s="112"/>
      <c r="G3" s="115" t="s">
        <v>4</v>
      </c>
      <c r="H3" s="115"/>
    </row>
    <row r="4" spans="2:13" ht="24.75" customHeight="1">
      <c r="B4" s="116" t="s">
        <v>84</v>
      </c>
      <c r="C4" s="116"/>
      <c r="D4" s="116"/>
      <c r="E4" s="112"/>
      <c r="F4" s="112"/>
      <c r="G4" s="117" t="s">
        <v>88</v>
      </c>
      <c r="H4" s="118"/>
    </row>
    <row r="5" spans="2:13" ht="12.75" customHeight="1">
      <c r="B5" s="116" t="s">
        <v>85</v>
      </c>
      <c r="C5" s="116"/>
      <c r="D5" s="116"/>
      <c r="E5" s="112"/>
      <c r="F5" s="112"/>
      <c r="G5" s="48" t="s">
        <v>89</v>
      </c>
      <c r="H5" s="49"/>
    </row>
    <row r="6" spans="2:13" ht="12.75" customHeight="1">
      <c r="B6" s="116" t="s">
        <v>86</v>
      </c>
      <c r="C6" s="116"/>
      <c r="D6" s="116"/>
      <c r="E6" s="112"/>
      <c r="F6" s="112"/>
      <c r="G6" s="117" t="s">
        <v>90</v>
      </c>
      <c r="H6" s="118"/>
    </row>
    <row r="7" spans="2:13" ht="12.75" customHeight="1">
      <c r="B7" s="116" t="s">
        <v>87</v>
      </c>
      <c r="C7" s="116"/>
      <c r="D7" s="116"/>
      <c r="E7" s="112"/>
      <c r="F7" s="112"/>
      <c r="G7" s="50" t="s">
        <v>91</v>
      </c>
      <c r="H7" s="40"/>
    </row>
    <row r="8" spans="2:13" ht="12.75" customHeight="1">
      <c r="B8" s="119"/>
      <c r="C8" s="120"/>
      <c r="D8" s="120"/>
      <c r="E8" s="112"/>
      <c r="F8" s="112"/>
      <c r="G8" s="40" t="s">
        <v>92</v>
      </c>
      <c r="H8" s="41"/>
    </row>
    <row r="9" spans="2:13">
      <c r="B9" s="51"/>
      <c r="C9" s="81"/>
      <c r="D9" s="81"/>
      <c r="E9" s="112"/>
      <c r="F9" s="112"/>
      <c r="G9" s="52"/>
      <c r="H9" s="53"/>
    </row>
    <row r="10" spans="2:13" ht="16.5" customHeight="1">
      <c r="B10" s="103" t="s">
        <v>5</v>
      </c>
      <c r="C10" s="104"/>
      <c r="D10" s="105" t="s">
        <v>93</v>
      </c>
      <c r="E10" s="105"/>
      <c r="F10" s="106" t="s">
        <v>6</v>
      </c>
      <c r="G10" s="106"/>
      <c r="H10" s="54" t="s">
        <v>94</v>
      </c>
      <c r="I10" s="44"/>
      <c r="J10" s="42"/>
      <c r="K10" s="43"/>
    </row>
    <row r="11" spans="2:13" ht="15.75">
      <c r="B11" s="107" t="s">
        <v>7</v>
      </c>
      <c r="C11" s="108"/>
      <c r="D11" s="98"/>
      <c r="E11" s="98"/>
      <c r="F11" s="109" t="s">
        <v>8</v>
      </c>
      <c r="G11" s="109"/>
      <c r="H11" s="55">
        <v>9845595107</v>
      </c>
    </row>
    <row r="12" spans="2:13" s="4" customFormat="1" ht="50.25" customHeight="1">
      <c r="B12" s="95" t="s">
        <v>9</v>
      </c>
      <c r="C12" s="95"/>
      <c r="D12" s="56" t="s">
        <v>100</v>
      </c>
      <c r="E12" s="57">
        <v>46171</v>
      </c>
      <c r="F12" s="96" t="s">
        <v>10</v>
      </c>
      <c r="G12" s="96"/>
      <c r="H12" s="96"/>
      <c r="I12"/>
      <c r="M12"/>
    </row>
    <row r="13" spans="2:13" ht="24" customHeight="1">
      <c r="B13" s="97" t="s">
        <v>11</v>
      </c>
      <c r="C13" s="97"/>
      <c r="D13" s="98" t="s">
        <v>96</v>
      </c>
      <c r="E13" s="98"/>
      <c r="F13" s="99" t="s">
        <v>12</v>
      </c>
      <c r="G13" s="99"/>
      <c r="H13" s="99"/>
      <c r="I13" s="1"/>
    </row>
    <row r="14" spans="2:13" ht="24.75" customHeight="1">
      <c r="B14" s="97" t="s">
        <v>13</v>
      </c>
      <c r="C14" s="100"/>
      <c r="D14" s="101"/>
      <c r="E14" s="101"/>
      <c r="F14" s="99"/>
      <c r="G14" s="99"/>
      <c r="H14" s="99"/>
    </row>
    <row r="15" spans="2:13" ht="18.75" customHeight="1">
      <c r="B15" s="102" t="s">
        <v>74</v>
      </c>
      <c r="C15" s="102"/>
      <c r="D15" s="102"/>
      <c r="E15" s="102"/>
      <c r="F15" s="99"/>
      <c r="G15" s="99"/>
      <c r="H15" s="99"/>
      <c r="M15" s="79"/>
    </row>
    <row r="16" spans="2:13" ht="21" customHeight="1">
      <c r="B16" s="102"/>
      <c r="C16" s="102"/>
      <c r="D16" s="102"/>
      <c r="E16" s="102"/>
      <c r="F16" s="99"/>
      <c r="G16" s="99"/>
      <c r="H16" s="99"/>
      <c r="M16" s="79"/>
    </row>
    <row r="17" spans="2:9">
      <c r="B17" s="92"/>
      <c r="C17" s="92"/>
      <c r="D17" s="92"/>
      <c r="E17" s="92"/>
      <c r="F17" s="92"/>
      <c r="G17" s="92"/>
      <c r="H17" s="92"/>
    </row>
    <row r="18" spans="2:9" s="1" customFormat="1">
      <c r="B18" s="93" t="s">
        <v>14</v>
      </c>
      <c r="C18" s="93" t="s">
        <v>15</v>
      </c>
      <c r="D18" s="93"/>
      <c r="E18" s="93"/>
      <c r="F18" s="94" t="s">
        <v>16</v>
      </c>
      <c r="G18" s="93" t="s">
        <v>17</v>
      </c>
      <c r="H18" s="93" t="s">
        <v>18</v>
      </c>
      <c r="I18"/>
    </row>
    <row r="19" spans="2:9">
      <c r="B19" s="93"/>
      <c r="C19" s="93"/>
      <c r="D19" s="93"/>
      <c r="E19" s="93"/>
      <c r="F19" s="94"/>
      <c r="G19" s="93"/>
      <c r="H19" s="93"/>
    </row>
    <row r="20" spans="2:9" ht="15.75" customHeight="1">
      <c r="B20" s="58">
        <v>1</v>
      </c>
      <c r="C20" s="256" t="s">
        <v>114</v>
      </c>
      <c r="D20" s="257"/>
      <c r="E20" s="258"/>
      <c r="F20" s="60">
        <v>590</v>
      </c>
      <c r="G20" s="61">
        <v>775</v>
      </c>
      <c r="H20" s="62">
        <f t="shared" ref="H20:H35" si="0">F20*G20</f>
        <v>457250</v>
      </c>
    </row>
    <row r="21" spans="2:9" ht="15.75" customHeight="1">
      <c r="B21" s="58">
        <v>2</v>
      </c>
      <c r="C21" s="256" t="s">
        <v>116</v>
      </c>
      <c r="D21" s="257"/>
      <c r="E21" s="258"/>
      <c r="F21" s="60">
        <v>250</v>
      </c>
      <c r="G21" s="61">
        <v>1015</v>
      </c>
      <c r="H21" s="62">
        <f t="shared" si="0"/>
        <v>253750</v>
      </c>
    </row>
    <row r="22" spans="2:9" ht="15.75" customHeight="1">
      <c r="B22" s="58">
        <v>3</v>
      </c>
      <c r="C22" s="256" t="s">
        <v>118</v>
      </c>
      <c r="D22" s="257"/>
      <c r="E22" s="258"/>
      <c r="F22" s="60">
        <v>200</v>
      </c>
      <c r="G22" s="61">
        <v>1240</v>
      </c>
      <c r="H22" s="62">
        <f t="shared" si="0"/>
        <v>248000</v>
      </c>
    </row>
    <row r="23" spans="2:9" ht="15.75" customHeight="1">
      <c r="B23" s="58">
        <v>4</v>
      </c>
      <c r="C23" s="256" t="s">
        <v>120</v>
      </c>
      <c r="D23" s="257"/>
      <c r="E23" s="258"/>
      <c r="F23" s="60">
        <v>500</v>
      </c>
      <c r="G23" s="61">
        <v>1400</v>
      </c>
      <c r="H23" s="62">
        <f t="shared" si="0"/>
        <v>700000</v>
      </c>
    </row>
    <row r="24" spans="2:9" ht="15.75" customHeight="1">
      <c r="B24" s="58">
        <v>5</v>
      </c>
      <c r="C24" s="76" t="s">
        <v>122</v>
      </c>
      <c r="D24" s="77"/>
      <c r="E24" s="78"/>
      <c r="F24" s="60">
        <v>1000</v>
      </c>
      <c r="G24" s="61">
        <v>845</v>
      </c>
      <c r="H24" s="62">
        <f t="shared" si="0"/>
        <v>845000</v>
      </c>
    </row>
    <row r="25" spans="2:9" ht="15.75" customHeight="1">
      <c r="B25" s="58">
        <v>6</v>
      </c>
      <c r="C25" s="76" t="s">
        <v>124</v>
      </c>
      <c r="D25" s="77"/>
      <c r="E25" s="78"/>
      <c r="F25" s="60">
        <v>800</v>
      </c>
      <c r="G25" s="61">
        <v>1045</v>
      </c>
      <c r="H25" s="62">
        <f t="shared" si="0"/>
        <v>836000</v>
      </c>
    </row>
    <row r="26" spans="2:9" ht="15.75" customHeight="1">
      <c r="B26" s="58">
        <v>7</v>
      </c>
      <c r="C26" s="76" t="s">
        <v>126</v>
      </c>
      <c r="D26" s="77"/>
      <c r="E26" s="78"/>
      <c r="F26" s="60">
        <v>100</v>
      </c>
      <c r="G26" s="61">
        <v>1280</v>
      </c>
      <c r="H26" s="62">
        <f t="shared" si="0"/>
        <v>128000</v>
      </c>
    </row>
    <row r="27" spans="2:9" ht="15.75" customHeight="1">
      <c r="B27" s="58">
        <v>8</v>
      </c>
      <c r="C27" s="76" t="s">
        <v>128</v>
      </c>
      <c r="D27" s="77"/>
      <c r="E27" s="78"/>
      <c r="F27" s="60">
        <v>200</v>
      </c>
      <c r="G27" s="61">
        <v>1241</v>
      </c>
      <c r="H27" s="62">
        <f t="shared" si="0"/>
        <v>248200</v>
      </c>
    </row>
    <row r="28" spans="2:9" ht="15.75" customHeight="1">
      <c r="B28" s="58">
        <v>9</v>
      </c>
      <c r="C28" s="76" t="s">
        <v>130</v>
      </c>
      <c r="D28" s="77"/>
      <c r="E28" s="78"/>
      <c r="F28" s="60">
        <v>750</v>
      </c>
      <c r="G28" s="61">
        <v>325</v>
      </c>
      <c r="H28" s="62">
        <f t="shared" si="0"/>
        <v>243750</v>
      </c>
    </row>
    <row r="29" spans="2:9" ht="15.75" customHeight="1">
      <c r="B29" s="58">
        <v>10</v>
      </c>
      <c r="C29" s="76" t="s">
        <v>132</v>
      </c>
      <c r="D29" s="77"/>
      <c r="E29" s="78"/>
      <c r="F29" s="60">
        <v>600</v>
      </c>
      <c r="G29" s="61">
        <v>395</v>
      </c>
      <c r="H29" s="62">
        <f t="shared" si="0"/>
        <v>237000</v>
      </c>
    </row>
    <row r="30" spans="2:9" ht="15.75" customHeight="1">
      <c r="B30" s="58">
        <v>11</v>
      </c>
      <c r="C30" s="76" t="s">
        <v>134</v>
      </c>
      <c r="D30" s="77"/>
      <c r="E30" s="78"/>
      <c r="F30" s="60">
        <v>300</v>
      </c>
      <c r="G30" s="61">
        <v>465</v>
      </c>
      <c r="H30" s="62">
        <f t="shared" si="0"/>
        <v>139500</v>
      </c>
    </row>
    <row r="31" spans="2:9" ht="15.75" customHeight="1">
      <c r="B31" s="58">
        <v>12</v>
      </c>
      <c r="C31" s="76" t="s">
        <v>136</v>
      </c>
      <c r="D31" s="77"/>
      <c r="E31" s="78"/>
      <c r="F31" s="60">
        <v>700</v>
      </c>
      <c r="G31" s="61">
        <v>470</v>
      </c>
      <c r="H31" s="62">
        <f t="shared" si="0"/>
        <v>329000</v>
      </c>
    </row>
    <row r="32" spans="2:9" ht="15.75" customHeight="1">
      <c r="B32" s="58">
        <v>13</v>
      </c>
      <c r="C32" s="256" t="s">
        <v>138</v>
      </c>
      <c r="D32" s="257"/>
      <c r="E32" s="258"/>
      <c r="F32" s="60">
        <v>2000</v>
      </c>
      <c r="G32" s="61">
        <v>252</v>
      </c>
      <c r="H32" s="62">
        <f t="shared" si="0"/>
        <v>504000</v>
      </c>
    </row>
    <row r="33" spans="2:9" ht="15.75" customHeight="1">
      <c r="B33" s="58">
        <v>14</v>
      </c>
      <c r="C33" s="256" t="s">
        <v>140</v>
      </c>
      <c r="D33" s="257"/>
      <c r="E33" s="258"/>
      <c r="F33" s="60">
        <v>200</v>
      </c>
      <c r="G33" s="61">
        <v>170</v>
      </c>
      <c r="H33" s="62">
        <f t="shared" si="0"/>
        <v>34000</v>
      </c>
    </row>
    <row r="34" spans="2:9" ht="15.75" customHeight="1">
      <c r="B34" s="58">
        <v>15</v>
      </c>
      <c r="C34" s="256" t="s">
        <v>142</v>
      </c>
      <c r="D34" s="257"/>
      <c r="E34" s="258"/>
      <c r="F34" s="60">
        <v>100</v>
      </c>
      <c r="G34" s="61">
        <v>80</v>
      </c>
      <c r="H34" s="62">
        <f t="shared" si="0"/>
        <v>8000</v>
      </c>
    </row>
    <row r="35" spans="2:9" ht="15.75" customHeight="1">
      <c r="B35" s="58"/>
      <c r="C35" s="59"/>
      <c r="D35" s="59"/>
      <c r="E35" s="59"/>
      <c r="F35" s="60"/>
      <c r="G35" s="61"/>
      <c r="H35" s="62">
        <f t="shared" si="0"/>
        <v>0</v>
      </c>
    </row>
    <row r="36" spans="2:9">
      <c r="B36" s="63"/>
      <c r="C36" s="91" t="s">
        <v>78</v>
      </c>
      <c r="D36" s="91"/>
      <c r="E36" s="91"/>
      <c r="F36" s="64"/>
      <c r="G36" s="65"/>
      <c r="H36" s="62"/>
      <c r="I36" s="1"/>
    </row>
    <row r="37" spans="2:9" s="1" customFormat="1" ht="12.75">
      <c r="B37" s="66"/>
      <c r="C37" s="83"/>
      <c r="D37" s="83"/>
      <c r="E37" s="83"/>
      <c r="F37" s="83" t="s">
        <v>19</v>
      </c>
      <c r="G37" s="83"/>
      <c r="H37" s="68">
        <f>SUM(H20:H36)</f>
        <v>5211450</v>
      </c>
    </row>
    <row r="38" spans="2:9" s="1" customFormat="1" ht="15.75" customHeight="1">
      <c r="B38" s="83" t="s">
        <v>79</v>
      </c>
      <c r="C38" s="83"/>
      <c r="D38" s="83"/>
      <c r="E38" s="69" t="s">
        <v>97</v>
      </c>
      <c r="F38" s="67"/>
      <c r="G38" s="67" t="s">
        <v>98</v>
      </c>
      <c r="H38" s="68">
        <f>H37*18%</f>
        <v>938061</v>
      </c>
    </row>
    <row r="39" spans="2:9" s="1" customFormat="1" ht="12.75">
      <c r="B39" s="87" t="s">
        <v>20</v>
      </c>
      <c r="C39" s="87"/>
      <c r="D39" s="87"/>
      <c r="E39" s="87"/>
      <c r="F39" s="87"/>
      <c r="G39" s="87"/>
      <c r="H39" s="70">
        <f>H37+H38</f>
        <v>6149511</v>
      </c>
    </row>
    <row r="40" spans="2:9" s="1" customFormat="1" ht="12.75">
      <c r="B40" s="84" t="s">
        <v>21</v>
      </c>
      <c r="C40" s="84"/>
      <c r="D40" s="84"/>
      <c r="E40" s="71" t="s">
        <v>22</v>
      </c>
      <c r="F40" s="88" t="s">
        <v>23</v>
      </c>
      <c r="G40" s="88"/>
      <c r="H40" s="88"/>
    </row>
    <row r="41" spans="2:9" s="1" customFormat="1">
      <c r="B41" s="84" t="s">
        <v>24</v>
      </c>
      <c r="C41" s="84"/>
      <c r="D41" s="84"/>
      <c r="E41" s="71" t="s">
        <v>25</v>
      </c>
      <c r="F41" s="89"/>
      <c r="G41" s="90"/>
      <c r="H41" s="90"/>
    </row>
    <row r="42" spans="2:9" s="1" customFormat="1" ht="15.75">
      <c r="B42" s="84" t="s">
        <v>26</v>
      </c>
      <c r="C42" s="84"/>
      <c r="D42" s="84"/>
      <c r="E42" s="71" t="s">
        <v>27</v>
      </c>
      <c r="F42" s="85"/>
      <c r="G42" s="86"/>
      <c r="H42" s="86"/>
    </row>
    <row r="43" spans="2:9" s="1" customFormat="1" ht="18">
      <c r="B43" s="80"/>
      <c r="C43" s="80"/>
      <c r="D43" s="80"/>
      <c r="E43" s="80"/>
      <c r="F43" s="82" t="s">
        <v>28</v>
      </c>
      <c r="G43" s="82"/>
      <c r="H43" s="73" t="s">
        <v>80</v>
      </c>
    </row>
    <row r="44" spans="2:9" s="1" customFormat="1" ht="18.75" thickBot="1">
      <c r="B44" s="72"/>
      <c r="C44" s="72"/>
      <c r="D44" s="72"/>
      <c r="E44" s="72"/>
      <c r="F44" s="74"/>
      <c r="G44" s="74"/>
      <c r="H44" s="75"/>
    </row>
    <row r="45" spans="2:9" s="1" customFormat="1" ht="16.5" thickBot="1">
      <c r="B45" s="171" t="s">
        <v>29</v>
      </c>
      <c r="C45" s="172"/>
      <c r="D45" s="172"/>
      <c r="E45" s="172"/>
      <c r="F45" s="172"/>
      <c r="G45" s="172"/>
      <c r="H45" s="173"/>
    </row>
    <row r="46" spans="2:9" s="1" customFormat="1" ht="12.75" customHeight="1" thickBot="1">
      <c r="B46" s="174" t="s">
        <v>30</v>
      </c>
      <c r="C46" s="175"/>
      <c r="D46" s="176" t="s">
        <v>31</v>
      </c>
      <c r="E46" s="177"/>
      <c r="F46" s="178"/>
      <c r="G46" s="179" t="s">
        <v>32</v>
      </c>
      <c r="H46" s="180"/>
    </row>
    <row r="47" spans="2:9" s="1" customFormat="1" ht="12.75">
      <c r="B47" s="181" t="s">
        <v>33</v>
      </c>
      <c r="C47" s="182"/>
      <c r="D47" s="183" t="s">
        <v>83</v>
      </c>
      <c r="E47" s="184"/>
      <c r="F47" s="185"/>
      <c r="G47" s="186" t="s">
        <v>34</v>
      </c>
      <c r="H47" s="187"/>
    </row>
    <row r="48" spans="2:9" s="1" customFormat="1" ht="12.75">
      <c r="B48" s="188" t="s">
        <v>35</v>
      </c>
      <c r="C48" s="189"/>
      <c r="D48" s="190"/>
      <c r="E48" s="191"/>
      <c r="F48" s="192"/>
      <c r="G48" s="193"/>
      <c r="H48" s="194"/>
    </row>
    <row r="49" spans="2:9" s="1" customFormat="1" ht="13.5" thickBot="1">
      <c r="B49" s="195" t="s">
        <v>36</v>
      </c>
      <c r="C49" s="196"/>
      <c r="D49" s="197"/>
      <c r="E49" s="198"/>
      <c r="F49" s="199"/>
      <c r="G49" s="193"/>
      <c r="H49" s="194"/>
    </row>
    <row r="50" spans="2:9" s="1" customFormat="1" ht="12.75" customHeight="1">
      <c r="B50" s="200" t="s">
        <v>37</v>
      </c>
      <c r="C50" s="201"/>
      <c r="D50" s="202"/>
      <c r="E50" s="203" t="s">
        <v>38</v>
      </c>
      <c r="F50" s="203"/>
      <c r="G50" s="202"/>
      <c r="H50" s="204"/>
    </row>
    <row r="51" spans="2:9" s="1" customFormat="1" ht="12.75">
      <c r="B51" s="205"/>
      <c r="C51" s="202"/>
      <c r="D51" s="202"/>
      <c r="E51" s="202"/>
      <c r="F51" s="202"/>
      <c r="G51" s="202"/>
      <c r="H51" s="204"/>
    </row>
    <row r="52" spans="2:9" s="1" customFormat="1" ht="12.75">
      <c r="B52" s="206" t="s">
        <v>39</v>
      </c>
      <c r="C52" s="207"/>
      <c r="D52" s="202" t="s">
        <v>40</v>
      </c>
      <c r="E52" s="202"/>
      <c r="F52" s="202"/>
      <c r="G52" s="202"/>
      <c r="H52" s="208"/>
    </row>
    <row r="53" spans="2:9" s="1" customFormat="1" ht="12.75">
      <c r="B53" s="209"/>
      <c r="C53" s="210"/>
      <c r="D53" s="202"/>
      <c r="E53" s="202"/>
      <c r="F53" s="202"/>
      <c r="G53" s="202"/>
      <c r="H53" s="208"/>
    </row>
    <row r="54" spans="2:9" s="1" customFormat="1" ht="12.75">
      <c r="B54" s="206" t="s">
        <v>41</v>
      </c>
      <c r="C54" s="207"/>
      <c r="D54" s="202"/>
      <c r="E54" s="202"/>
      <c r="F54" s="202"/>
      <c r="G54" s="202"/>
      <c r="H54" s="208"/>
    </row>
    <row r="55" spans="2:9" s="1" customFormat="1">
      <c r="B55" s="205"/>
      <c r="C55" s="202" t="s">
        <v>25</v>
      </c>
      <c r="D55" s="202"/>
      <c r="E55" s="202"/>
      <c r="F55" s="202"/>
      <c r="G55" s="202"/>
      <c r="H55" s="208"/>
      <c r="I55"/>
    </row>
    <row r="56" spans="2:9" s="1" customFormat="1" ht="15.75" thickBot="1">
      <c r="B56" s="211"/>
      <c r="C56" s="212"/>
      <c r="D56" s="212"/>
      <c r="E56" s="212"/>
      <c r="F56" s="212"/>
      <c r="G56" s="212"/>
      <c r="H56" s="213"/>
      <c r="I56"/>
    </row>
    <row r="57" spans="2:9" s="1" customFormat="1">
      <c r="B57" s="214" t="s">
        <v>42</v>
      </c>
      <c r="C57" s="215"/>
      <c r="D57" s="215"/>
      <c r="E57" s="215"/>
      <c r="F57" s="215"/>
      <c r="G57" s="215"/>
      <c r="H57" s="216"/>
      <c r="I57"/>
    </row>
    <row r="58" spans="2:9" s="1" customFormat="1">
      <c r="B58" s="205"/>
      <c r="C58" s="202"/>
      <c r="D58" s="202"/>
      <c r="E58" s="202"/>
      <c r="F58" s="202"/>
      <c r="G58" s="202"/>
      <c r="H58" s="208"/>
      <c r="I58"/>
    </row>
    <row r="59" spans="2:9" s="1" customFormat="1">
      <c r="B59" s="205"/>
      <c r="C59" s="202"/>
      <c r="D59" s="202"/>
      <c r="E59" s="202"/>
      <c r="F59" s="202"/>
      <c r="G59" s="202"/>
      <c r="H59" s="208"/>
      <c r="I59"/>
    </row>
    <row r="60" spans="2:9" ht="15.75" thickBot="1">
      <c r="B60" s="211"/>
      <c r="C60" s="212"/>
      <c r="D60" s="212"/>
      <c r="E60" s="212"/>
      <c r="F60" s="212"/>
      <c r="G60" s="212"/>
      <c r="H60" s="217"/>
    </row>
    <row r="61" spans="2:9">
      <c r="B61" s="214" t="s">
        <v>43</v>
      </c>
      <c r="C61" s="218"/>
      <c r="D61" s="218"/>
      <c r="E61" s="218"/>
      <c r="F61" s="218"/>
      <c r="G61" s="218"/>
      <c r="H61" s="219"/>
    </row>
    <row r="62" spans="2:9">
      <c r="B62" s="205" t="s">
        <v>44</v>
      </c>
      <c r="F62" s="5" t="s">
        <v>45</v>
      </c>
      <c r="H62" s="6"/>
    </row>
    <row r="63" spans="2:9">
      <c r="B63" s="220" t="s">
        <v>46</v>
      </c>
      <c r="C63" s="221"/>
      <c r="D63" s="221"/>
      <c r="F63" s="202" t="s">
        <v>47</v>
      </c>
      <c r="H63" s="6"/>
    </row>
    <row r="64" spans="2:9">
      <c r="B64" s="222" t="s">
        <v>48</v>
      </c>
      <c r="F64" s="5" t="s">
        <v>45</v>
      </c>
      <c r="H64" s="6"/>
    </row>
    <row r="65" spans="2:8" ht="15.75" thickBot="1">
      <c r="B65" s="222"/>
      <c r="H65" s="6"/>
    </row>
    <row r="66" spans="2:8" ht="16.5" thickBot="1">
      <c r="B66" s="223" t="s">
        <v>49</v>
      </c>
      <c r="C66" s="224"/>
      <c r="D66" s="225" t="s">
        <v>101</v>
      </c>
      <c r="G66" s="226" t="s">
        <v>50</v>
      </c>
      <c r="H66" s="227"/>
    </row>
    <row r="67" spans="2:8" ht="15.75" thickBot="1">
      <c r="B67" s="222"/>
      <c r="G67" s="228"/>
      <c r="H67" s="6"/>
    </row>
    <row r="68" spans="2:8" ht="16.5" thickBot="1">
      <c r="B68" s="229" t="s">
        <v>51</v>
      </c>
      <c r="C68" s="230"/>
      <c r="D68" s="231">
        <v>46181</v>
      </c>
      <c r="G68" s="232" t="s">
        <v>51</v>
      </c>
      <c r="H68" s="233"/>
    </row>
    <row r="69" spans="2:8" ht="15.75" thickBot="1">
      <c r="B69" s="234"/>
      <c r="C69" s="235"/>
      <c r="D69" s="235"/>
      <c r="E69" s="235"/>
      <c r="F69" s="235"/>
      <c r="G69" s="235"/>
      <c r="H69" s="217"/>
    </row>
    <row r="70" spans="2:8" ht="15.75">
      <c r="G70" s="7"/>
      <c r="H70" s="7"/>
    </row>
    <row r="85" ht="25.5" customHeight="1"/>
  </sheetData>
  <mergeCells count="64">
    <mergeCell ref="B1:H1"/>
    <mergeCell ref="C2:D2"/>
    <mergeCell ref="E2:F9"/>
    <mergeCell ref="B3:D3"/>
    <mergeCell ref="G3:H3"/>
    <mergeCell ref="B4:D4"/>
    <mergeCell ref="G4:H4"/>
    <mergeCell ref="B5:D5"/>
    <mergeCell ref="B6:D6"/>
    <mergeCell ref="B7:D7"/>
    <mergeCell ref="B8:D8"/>
    <mergeCell ref="C9:D9"/>
    <mergeCell ref="G6:H6"/>
    <mergeCell ref="B10:C10"/>
    <mergeCell ref="D10:E10"/>
    <mergeCell ref="F10:G10"/>
    <mergeCell ref="B11:C11"/>
    <mergeCell ref="D11:E11"/>
    <mergeCell ref="F11:G11"/>
    <mergeCell ref="B12:C12"/>
    <mergeCell ref="F12:H12"/>
    <mergeCell ref="B13:C13"/>
    <mergeCell ref="D13:E13"/>
    <mergeCell ref="F13:H16"/>
    <mergeCell ref="B14:C14"/>
    <mergeCell ref="D14:E14"/>
    <mergeCell ref="B15:E16"/>
    <mergeCell ref="C36:E36"/>
    <mergeCell ref="B17:H17"/>
    <mergeCell ref="B18:B19"/>
    <mergeCell ref="C18:E19"/>
    <mergeCell ref="F18:F19"/>
    <mergeCell ref="G18:G19"/>
    <mergeCell ref="H18:H19"/>
    <mergeCell ref="B42:D42"/>
    <mergeCell ref="F42:H42"/>
    <mergeCell ref="C37:E37"/>
    <mergeCell ref="F37:G37"/>
    <mergeCell ref="B39:G39"/>
    <mergeCell ref="B40:D40"/>
    <mergeCell ref="F40:H40"/>
    <mergeCell ref="B41:D41"/>
    <mergeCell ref="F41:H41"/>
    <mergeCell ref="B38:D38"/>
    <mergeCell ref="B43:E43"/>
    <mergeCell ref="F43:G43"/>
    <mergeCell ref="B45:H45"/>
    <mergeCell ref="B46:C46"/>
    <mergeCell ref="D46:F46"/>
    <mergeCell ref="G46:H46"/>
    <mergeCell ref="B47:C47"/>
    <mergeCell ref="D47:F47"/>
    <mergeCell ref="G47:H49"/>
    <mergeCell ref="B48:C48"/>
    <mergeCell ref="D48:F48"/>
    <mergeCell ref="B49:C49"/>
    <mergeCell ref="D49:F49"/>
    <mergeCell ref="B68:C68"/>
    <mergeCell ref="B50:C50"/>
    <mergeCell ref="E50:F50"/>
    <mergeCell ref="B52:C52"/>
    <mergeCell ref="B54:C54"/>
    <mergeCell ref="B63:D63"/>
    <mergeCell ref="B66:C6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"/>
  <sheetViews>
    <sheetView showGridLines="0" workbookViewId="0">
      <selection activeCell="E28" sqref="E28"/>
    </sheetView>
  </sheetViews>
  <sheetFormatPr defaultRowHeight="15"/>
  <cols>
    <col min="1" max="1" width="15" customWidth="1"/>
    <col min="2" max="2" width="16.140625" customWidth="1"/>
    <col min="3" max="3" width="14.140625" customWidth="1"/>
    <col min="4" max="4" width="11.140625" bestFit="1" customWidth="1"/>
    <col min="5" max="5" width="20.42578125" customWidth="1"/>
    <col min="6" max="6" width="11.140625" bestFit="1" customWidth="1"/>
    <col min="7" max="7" width="13.140625" customWidth="1"/>
    <col min="12" max="12" width="42" customWidth="1"/>
  </cols>
  <sheetData>
    <row r="1" spans="1:12" ht="21">
      <c r="A1" s="162" t="s">
        <v>52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4"/>
    </row>
    <row r="2" spans="1:12" ht="18.75">
      <c r="A2" s="165" t="s">
        <v>53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7"/>
    </row>
    <row r="3" spans="1:12" ht="18.75">
      <c r="A3" s="168"/>
      <c r="B3" s="169"/>
      <c r="C3" s="169"/>
      <c r="D3" s="169"/>
      <c r="E3" s="169"/>
      <c r="F3" s="169"/>
      <c r="G3" s="169"/>
      <c r="H3" s="28"/>
      <c r="I3" s="169"/>
      <c r="J3" s="169"/>
      <c r="K3" s="169"/>
      <c r="L3" s="170"/>
    </row>
    <row r="4" spans="1:12" ht="15.75" thickBot="1">
      <c r="A4" s="138" t="s">
        <v>54</v>
      </c>
      <c r="B4" s="137"/>
      <c r="C4" s="137"/>
      <c r="D4" s="137"/>
      <c r="E4" s="137"/>
      <c r="F4" s="137"/>
      <c r="G4" s="27"/>
      <c r="H4" s="27"/>
      <c r="I4" s="27"/>
      <c r="J4" s="27"/>
      <c r="K4" s="8" t="s">
        <v>55</v>
      </c>
      <c r="L4" s="10"/>
    </row>
    <row r="5" spans="1:12" ht="15.75" customHeight="1">
      <c r="A5" s="116" t="s">
        <v>84</v>
      </c>
      <c r="B5" s="116"/>
      <c r="C5" s="116"/>
      <c r="D5" s="153"/>
      <c r="E5" s="154"/>
      <c r="F5" s="154"/>
      <c r="G5" s="154"/>
      <c r="H5" s="154"/>
      <c r="I5" s="154"/>
      <c r="J5" s="155"/>
      <c r="K5" s="117" t="s">
        <v>88</v>
      </c>
      <c r="L5" s="118"/>
    </row>
    <row r="6" spans="1:12" ht="15.75" customHeight="1">
      <c r="A6" s="116" t="s">
        <v>85</v>
      </c>
      <c r="B6" s="116"/>
      <c r="C6" s="116"/>
      <c r="D6" s="156"/>
      <c r="E6" s="157"/>
      <c r="F6" s="157"/>
      <c r="G6" s="157"/>
      <c r="H6" s="157"/>
      <c r="I6" s="157"/>
      <c r="J6" s="158"/>
      <c r="K6" s="48" t="s">
        <v>89</v>
      </c>
      <c r="L6" s="49"/>
    </row>
    <row r="7" spans="1:12" ht="15.75" customHeight="1">
      <c r="A7" s="116" t="s">
        <v>86</v>
      </c>
      <c r="B7" s="116"/>
      <c r="C7" s="116"/>
      <c r="D7" s="156"/>
      <c r="E7" s="157"/>
      <c r="F7" s="157"/>
      <c r="G7" s="157"/>
      <c r="H7" s="157"/>
      <c r="I7" s="157"/>
      <c r="J7" s="158"/>
      <c r="K7" s="117" t="s">
        <v>90</v>
      </c>
      <c r="L7" s="118"/>
    </row>
    <row r="8" spans="1:12" ht="15" customHeight="1">
      <c r="A8" s="116" t="s">
        <v>87</v>
      </c>
      <c r="B8" s="116"/>
      <c r="C8" s="116"/>
      <c r="D8" s="156"/>
      <c r="E8" s="157"/>
      <c r="F8" s="157"/>
      <c r="G8" s="157"/>
      <c r="H8" s="157"/>
      <c r="I8" s="157"/>
      <c r="J8" s="158"/>
      <c r="K8" s="50" t="s">
        <v>91</v>
      </c>
      <c r="L8" s="40"/>
    </row>
    <row r="9" spans="1:12">
      <c r="A9" s="148"/>
      <c r="B9" s="149"/>
      <c r="C9" s="150"/>
      <c r="D9" s="156"/>
      <c r="E9" s="157"/>
      <c r="F9" s="157"/>
      <c r="G9" s="157"/>
      <c r="H9" s="157"/>
      <c r="I9" s="157"/>
      <c r="J9" s="158"/>
      <c r="K9" s="40" t="s">
        <v>92</v>
      </c>
      <c r="L9" s="41"/>
    </row>
    <row r="10" spans="1:12" ht="15.75" thickBot="1">
      <c r="A10" s="2"/>
      <c r="B10" s="151"/>
      <c r="C10" s="152"/>
      <c r="D10" s="156"/>
      <c r="E10" s="157"/>
      <c r="F10" s="157"/>
      <c r="G10" s="157"/>
      <c r="H10" s="157"/>
      <c r="I10" s="157"/>
      <c r="J10" s="158"/>
      <c r="K10" s="39"/>
      <c r="L10" s="38"/>
    </row>
    <row r="11" spans="1:12" ht="15.75" thickBot="1">
      <c r="A11" s="12"/>
      <c r="D11" s="159"/>
      <c r="E11" s="160"/>
      <c r="F11" s="160"/>
      <c r="G11" s="160"/>
      <c r="H11" s="160"/>
      <c r="I11" s="160"/>
      <c r="J11" s="161"/>
      <c r="K11" s="5"/>
      <c r="L11" s="6"/>
    </row>
    <row r="12" spans="1:12" ht="15.75" thickBot="1">
      <c r="A12" s="12"/>
      <c r="D12" s="30"/>
      <c r="E12" s="30"/>
      <c r="F12" s="30"/>
      <c r="G12" s="30"/>
      <c r="H12" s="30"/>
      <c r="I12" s="30"/>
      <c r="J12" s="30"/>
      <c r="K12" s="9"/>
      <c r="L12" s="10"/>
    </row>
    <row r="13" spans="1:12" ht="15.75" customHeight="1" thickBot="1">
      <c r="A13" s="140" t="s">
        <v>56</v>
      </c>
      <c r="B13" s="141"/>
      <c r="C13" s="145" t="s">
        <v>95</v>
      </c>
      <c r="D13" s="146"/>
      <c r="E13" s="147"/>
      <c r="F13" s="11" t="s">
        <v>57</v>
      </c>
      <c r="G13" s="3">
        <v>45951</v>
      </c>
      <c r="H13" s="8"/>
      <c r="I13" s="128" t="s">
        <v>58</v>
      </c>
      <c r="J13" s="137"/>
      <c r="K13" s="8"/>
      <c r="L13" s="29"/>
    </row>
    <row r="14" spans="1:12" ht="15.75" thickBot="1">
      <c r="A14" s="140" t="s">
        <v>59</v>
      </c>
      <c r="B14" s="141"/>
      <c r="C14" s="142">
        <v>70001</v>
      </c>
      <c r="D14" s="143"/>
      <c r="E14" s="144"/>
      <c r="F14" s="11" t="s">
        <v>57</v>
      </c>
      <c r="G14" s="3">
        <v>45951</v>
      </c>
      <c r="H14" s="8"/>
      <c r="I14" s="8"/>
      <c r="J14" s="8"/>
      <c r="K14" s="8"/>
      <c r="L14" s="10"/>
    </row>
    <row r="15" spans="1:12">
      <c r="A15" s="12" t="s">
        <v>60</v>
      </c>
      <c r="B15" s="8"/>
      <c r="C15" s="8"/>
      <c r="D15" s="128" t="s">
        <v>61</v>
      </c>
      <c r="E15" s="137"/>
      <c r="F15" s="8" t="s">
        <v>2</v>
      </c>
      <c r="G15" s="8"/>
      <c r="H15" s="8"/>
      <c r="I15" s="8"/>
      <c r="J15" s="8"/>
      <c r="K15" s="8"/>
      <c r="L15" s="10"/>
    </row>
    <row r="16" spans="1:12">
      <c r="A16" s="12"/>
      <c r="B16" s="8"/>
      <c r="C16" s="8"/>
      <c r="D16" s="8"/>
      <c r="E16" s="8"/>
      <c r="F16" s="8"/>
      <c r="G16" s="8"/>
      <c r="H16" s="8"/>
      <c r="I16" s="8"/>
      <c r="J16" s="8"/>
      <c r="K16" s="8"/>
      <c r="L16" s="10"/>
    </row>
    <row r="17" spans="1:12" ht="15.75">
      <c r="A17" s="138" t="s">
        <v>62</v>
      </c>
      <c r="B17" s="128"/>
      <c r="C17" s="128"/>
      <c r="D17" s="139" t="s">
        <v>76</v>
      </c>
      <c r="E17" s="139"/>
      <c r="F17" s="139"/>
      <c r="G17" s="139"/>
      <c r="H17" s="8"/>
      <c r="I17" s="128" t="s">
        <v>63</v>
      </c>
      <c r="J17" s="137"/>
      <c r="K17" s="8"/>
      <c r="L17" s="10" t="s">
        <v>77</v>
      </c>
    </row>
    <row r="18" spans="1:12">
      <c r="A18" s="12"/>
      <c r="B18" s="8"/>
      <c r="C18" s="8"/>
      <c r="D18" s="8"/>
      <c r="E18" s="8"/>
      <c r="F18" s="8"/>
      <c r="G18" s="8"/>
      <c r="H18" s="8"/>
      <c r="I18" s="8"/>
      <c r="J18" s="9"/>
      <c r="K18" s="9"/>
      <c r="L18" s="29"/>
    </row>
    <row r="19" spans="1:12">
      <c r="A19" s="121" t="s">
        <v>64</v>
      </c>
      <c r="B19" s="122"/>
      <c r="C19" s="122"/>
      <c r="D19" s="123" t="s">
        <v>75</v>
      </c>
      <c r="E19" s="123"/>
      <c r="F19" s="123"/>
      <c r="G19" s="123"/>
      <c r="H19" s="8"/>
      <c r="I19" s="8" t="s">
        <v>65</v>
      </c>
      <c r="J19" s="8"/>
      <c r="K19" s="128" t="s">
        <v>66</v>
      </c>
      <c r="L19" s="129"/>
    </row>
    <row r="20" spans="1:12">
      <c r="A20" s="12"/>
      <c r="B20" s="8"/>
      <c r="C20" s="8"/>
      <c r="D20" s="130"/>
      <c r="E20" s="130"/>
      <c r="F20" s="130"/>
      <c r="G20" s="130"/>
      <c r="H20" s="8"/>
      <c r="I20" s="8"/>
      <c r="J20" s="8"/>
      <c r="K20" s="8"/>
      <c r="L20" s="10"/>
    </row>
    <row r="21" spans="1:12">
      <c r="A21" s="12"/>
      <c r="B21" s="8"/>
      <c r="C21" s="8"/>
      <c r="D21" s="8"/>
      <c r="E21" s="8"/>
      <c r="F21" s="8"/>
      <c r="G21" s="8"/>
      <c r="H21" s="8"/>
      <c r="I21" s="131" t="s">
        <v>67</v>
      </c>
      <c r="J21" s="131"/>
      <c r="K21" s="131"/>
      <c r="L21" s="132"/>
    </row>
    <row r="22" spans="1:12">
      <c r="A22" s="12" t="s">
        <v>68</v>
      </c>
      <c r="B22" s="8"/>
      <c r="C22" s="8"/>
      <c r="D22" s="130"/>
      <c r="E22" s="130"/>
      <c r="F22" s="130"/>
      <c r="G22" s="130"/>
      <c r="H22" s="8"/>
      <c r="I22" s="8"/>
      <c r="J22" s="8"/>
      <c r="K22" s="8"/>
      <c r="L22" s="10"/>
    </row>
    <row r="23" spans="1:12">
      <c r="A23" s="12"/>
      <c r="B23" s="8"/>
      <c r="C23" s="8"/>
      <c r="D23" s="8"/>
      <c r="E23" s="8"/>
      <c r="F23" s="8"/>
      <c r="G23" s="8"/>
      <c r="H23" s="8"/>
      <c r="I23" s="8"/>
      <c r="J23" s="8"/>
      <c r="K23" s="8"/>
      <c r="L23" s="10"/>
    </row>
    <row r="24" spans="1:12" ht="18.75" thickBot="1">
      <c r="A24" s="133" t="s">
        <v>28</v>
      </c>
      <c r="B24" s="134"/>
      <c r="C24" s="134"/>
      <c r="D24" s="135"/>
      <c r="E24" s="136" t="s">
        <v>80</v>
      </c>
      <c r="F24" s="136"/>
      <c r="G24" s="136"/>
      <c r="H24" s="8"/>
      <c r="I24" s="8"/>
      <c r="J24" s="8"/>
      <c r="K24" s="8"/>
      <c r="L24" s="10"/>
    </row>
    <row r="25" spans="1:12" ht="18.75">
      <c r="A25" s="124" t="s">
        <v>69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12">
      <c r="A26" s="14" t="s">
        <v>70</v>
      </c>
      <c r="B26" s="15"/>
      <c r="C26" s="15"/>
      <c r="D26" s="16"/>
      <c r="E26" s="8"/>
      <c r="F26" s="127" t="s">
        <v>71</v>
      </c>
      <c r="G26" s="127"/>
      <c r="H26" s="8"/>
      <c r="I26" s="17"/>
      <c r="J26" s="17"/>
      <c r="K26" s="17"/>
      <c r="L26" s="13"/>
    </row>
    <row r="27" spans="1:12">
      <c r="A27" s="18" t="s">
        <v>72</v>
      </c>
      <c r="B27" s="8"/>
      <c r="C27" s="8"/>
      <c r="D27" s="8"/>
      <c r="E27" s="8" t="s">
        <v>82</v>
      </c>
      <c r="F27" s="8"/>
      <c r="G27" s="8"/>
      <c r="H27" s="8"/>
      <c r="I27" s="17"/>
      <c r="J27" s="17"/>
      <c r="K27" s="17"/>
      <c r="L27" s="13"/>
    </row>
    <row r="28" spans="1:12" s="37" customFormat="1" ht="16.5" customHeight="1">
      <c r="A28" s="31"/>
      <c r="B28" s="21"/>
      <c r="C28" s="21"/>
      <c r="D28" s="32"/>
      <c r="E28" s="33"/>
      <c r="F28" s="34"/>
      <c r="G28" s="34" t="s">
        <v>81</v>
      </c>
      <c r="H28" s="21"/>
      <c r="I28" s="35"/>
      <c r="J28" s="35"/>
      <c r="K28" s="35"/>
      <c r="L28" s="36"/>
    </row>
    <row r="29" spans="1:12">
      <c r="A29" s="12"/>
      <c r="B29" s="8"/>
      <c r="C29" s="8"/>
      <c r="D29" s="8"/>
      <c r="E29" s="19"/>
      <c r="F29" s="20"/>
      <c r="G29" s="17"/>
      <c r="H29" s="8"/>
      <c r="I29" s="17"/>
      <c r="J29" s="17"/>
      <c r="K29" s="17"/>
      <c r="L29" s="13"/>
    </row>
    <row r="30" spans="1:12">
      <c r="A30" s="12"/>
      <c r="B30" s="8"/>
      <c r="C30" s="8" t="s">
        <v>73</v>
      </c>
      <c r="D30" s="8"/>
      <c r="E30" s="8"/>
      <c r="F30" s="8"/>
      <c r="G30" s="8"/>
      <c r="H30" s="8"/>
      <c r="I30" s="17"/>
      <c r="J30" s="17"/>
      <c r="K30" s="17"/>
      <c r="L30" s="13"/>
    </row>
    <row r="31" spans="1:12">
      <c r="A31" s="12"/>
      <c r="B31" s="8"/>
      <c r="C31" s="8"/>
      <c r="D31" s="8"/>
      <c r="E31" s="21"/>
      <c r="F31" s="8"/>
      <c r="G31" s="8"/>
      <c r="H31" s="8"/>
      <c r="I31" s="17"/>
      <c r="J31" s="17"/>
      <c r="K31" s="17"/>
      <c r="L31" s="13"/>
    </row>
    <row r="32" spans="1:12">
      <c r="A32" s="12"/>
      <c r="B32" s="8"/>
      <c r="C32" s="21"/>
      <c r="D32" s="8"/>
      <c r="E32" s="21"/>
      <c r="F32" s="8"/>
      <c r="G32" s="8"/>
      <c r="H32" s="8"/>
      <c r="I32" s="17"/>
      <c r="J32" s="17"/>
      <c r="K32" s="17"/>
      <c r="L32" s="13"/>
    </row>
    <row r="33" spans="1:12" ht="15.75" thickBot="1">
      <c r="A33" s="22"/>
      <c r="B33" s="23"/>
      <c r="C33" s="24"/>
      <c r="D33" s="23"/>
      <c r="E33" s="23"/>
      <c r="F33" s="23"/>
      <c r="G33" s="25"/>
      <c r="H33" s="23"/>
      <c r="I33" s="25"/>
      <c r="J33" s="25"/>
      <c r="K33" s="25"/>
      <c r="L33" s="26"/>
    </row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</sheetData>
  <mergeCells count="33">
    <mergeCell ref="A1:L1"/>
    <mergeCell ref="A2:L2"/>
    <mergeCell ref="A3:G3"/>
    <mergeCell ref="I3:L3"/>
    <mergeCell ref="A4:F4"/>
    <mergeCell ref="K5:L5"/>
    <mergeCell ref="B10:C10"/>
    <mergeCell ref="A6:C6"/>
    <mergeCell ref="A7:C7"/>
    <mergeCell ref="D5:J11"/>
    <mergeCell ref="A5:C5"/>
    <mergeCell ref="K7:L7"/>
    <mergeCell ref="A13:B13"/>
    <mergeCell ref="C13:E13"/>
    <mergeCell ref="I13:J13"/>
    <mergeCell ref="A8:C8"/>
    <mergeCell ref="A9:C9"/>
    <mergeCell ref="D15:E15"/>
    <mergeCell ref="A17:C17"/>
    <mergeCell ref="D17:G17"/>
    <mergeCell ref="I17:J17"/>
    <mergeCell ref="A14:B14"/>
    <mergeCell ref="C14:E14"/>
    <mergeCell ref="A19:C19"/>
    <mergeCell ref="D19:G19"/>
    <mergeCell ref="A25:L25"/>
    <mergeCell ref="F26:G26"/>
    <mergeCell ref="K19:L19"/>
    <mergeCell ref="D20:G20"/>
    <mergeCell ref="I21:L21"/>
    <mergeCell ref="D22:G22"/>
    <mergeCell ref="A24:D24"/>
    <mergeCell ref="E24:G24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opLeftCell="A7" zoomScaleNormal="100" workbookViewId="0">
      <selection activeCell="U1" sqref="U1"/>
    </sheetView>
  </sheetViews>
  <sheetFormatPr defaultRowHeight="15"/>
  <sheetData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showGridLines="0" zoomScaleNormal="100" workbookViewId="0">
      <selection activeCell="E12" sqref="E12:E26"/>
    </sheetView>
  </sheetViews>
  <sheetFormatPr defaultRowHeight="15"/>
  <cols>
    <col min="2" max="2" width="32.7109375" bestFit="1" customWidth="1"/>
    <col min="6" max="6" width="10.85546875" bestFit="1" customWidth="1"/>
  </cols>
  <sheetData>
    <row r="1" spans="1:6">
      <c r="A1" s="240" t="s">
        <v>102</v>
      </c>
      <c r="B1" s="241"/>
      <c r="C1" s="241"/>
      <c r="D1" s="241"/>
      <c r="E1" s="241"/>
      <c r="F1" s="241"/>
    </row>
    <row r="2" spans="1:6">
      <c r="A2" s="237" t="s">
        <v>103</v>
      </c>
      <c r="B2" s="241"/>
      <c r="C2" s="241"/>
      <c r="D2" s="241"/>
      <c r="E2" s="241"/>
      <c r="F2" s="241"/>
    </row>
    <row r="3" spans="1:6">
      <c r="A3" s="238" t="s">
        <v>104</v>
      </c>
      <c r="B3" s="241"/>
      <c r="C3" s="241"/>
      <c r="D3" s="241"/>
      <c r="E3" s="241"/>
      <c r="F3" s="241"/>
    </row>
    <row r="4" spans="1:6">
      <c r="A4" s="238" t="s">
        <v>105</v>
      </c>
      <c r="B4" s="241"/>
      <c r="C4" s="241"/>
      <c r="D4" s="241"/>
      <c r="E4" s="241"/>
      <c r="F4" s="241"/>
    </row>
    <row r="5" spans="1:6" ht="15.75">
      <c r="A5" s="243" t="s">
        <v>106</v>
      </c>
      <c r="B5" s="241"/>
      <c r="C5" s="241"/>
      <c r="D5" s="241"/>
      <c r="E5" s="241"/>
      <c r="F5" s="241"/>
    </row>
    <row r="6" spans="1:6">
      <c r="A6" s="236"/>
      <c r="B6" s="241"/>
      <c r="C6" s="241"/>
      <c r="D6" s="241"/>
      <c r="E6" s="241"/>
      <c r="F6" s="241"/>
    </row>
    <row r="7" spans="1:6">
      <c r="A7" s="236"/>
      <c r="B7" s="241"/>
      <c r="C7" s="241"/>
      <c r="D7" s="241"/>
      <c r="E7" s="241"/>
      <c r="F7" s="241"/>
    </row>
    <row r="8" spans="1:6" ht="15.75">
      <c r="A8" s="243" t="s">
        <v>107</v>
      </c>
      <c r="B8" s="241"/>
      <c r="C8" s="241"/>
      <c r="D8" s="241"/>
      <c r="E8" s="241"/>
      <c r="F8" s="241"/>
    </row>
    <row r="9" spans="1:6">
      <c r="A9" s="236"/>
      <c r="B9" s="241"/>
      <c r="C9" s="241"/>
      <c r="D9" s="241"/>
      <c r="E9" s="241"/>
      <c r="F9" s="241"/>
    </row>
    <row r="10" spans="1:6" ht="18.75">
      <c r="A10" s="242" t="s">
        <v>108</v>
      </c>
      <c r="B10" s="241"/>
      <c r="C10" s="241"/>
      <c r="D10" s="241"/>
      <c r="E10" s="241"/>
      <c r="F10" s="241"/>
    </row>
    <row r="11" spans="1:6">
      <c r="A11" s="244" t="s">
        <v>109</v>
      </c>
      <c r="B11" s="239" t="s">
        <v>15</v>
      </c>
      <c r="C11" s="239" t="s">
        <v>110</v>
      </c>
      <c r="D11" s="239" t="s">
        <v>111</v>
      </c>
      <c r="E11" s="239" t="s">
        <v>112</v>
      </c>
      <c r="F11" s="239" t="s">
        <v>113</v>
      </c>
    </row>
    <row r="12" spans="1:6">
      <c r="A12" s="245">
        <v>1</v>
      </c>
      <c r="B12" s="246" t="s">
        <v>114</v>
      </c>
      <c r="C12" s="247" t="s">
        <v>82</v>
      </c>
      <c r="D12" s="247">
        <v>590</v>
      </c>
      <c r="E12" s="247">
        <v>775</v>
      </c>
      <c r="F12" s="248" t="s">
        <v>115</v>
      </c>
    </row>
    <row r="13" spans="1:6">
      <c r="A13" s="245">
        <v>2</v>
      </c>
      <c r="B13" s="246" t="s">
        <v>116</v>
      </c>
      <c r="C13" s="247" t="s">
        <v>82</v>
      </c>
      <c r="D13" s="247">
        <v>250</v>
      </c>
      <c r="E13" s="247">
        <v>1015</v>
      </c>
      <c r="F13" s="248" t="s">
        <v>117</v>
      </c>
    </row>
    <row r="14" spans="1:6">
      <c r="A14" s="245">
        <v>3</v>
      </c>
      <c r="B14" s="246" t="s">
        <v>118</v>
      </c>
      <c r="C14" s="247" t="s">
        <v>82</v>
      </c>
      <c r="D14" s="247">
        <v>200</v>
      </c>
      <c r="E14" s="247">
        <v>1240</v>
      </c>
      <c r="F14" s="248" t="s">
        <v>119</v>
      </c>
    </row>
    <row r="15" spans="1:6">
      <c r="A15" s="245">
        <v>4</v>
      </c>
      <c r="B15" s="246" t="s">
        <v>120</v>
      </c>
      <c r="C15" s="247" t="s">
        <v>82</v>
      </c>
      <c r="D15" s="247">
        <v>500</v>
      </c>
      <c r="E15" s="247">
        <v>1400</v>
      </c>
      <c r="F15" s="248" t="s">
        <v>121</v>
      </c>
    </row>
    <row r="16" spans="1:6">
      <c r="A16" s="245">
        <v>5</v>
      </c>
      <c r="B16" s="246" t="s">
        <v>122</v>
      </c>
      <c r="C16" s="247" t="s">
        <v>82</v>
      </c>
      <c r="D16" s="247">
        <v>1000</v>
      </c>
      <c r="E16" s="247">
        <v>845</v>
      </c>
      <c r="F16" s="248" t="s">
        <v>123</v>
      </c>
    </row>
    <row r="17" spans="1:6">
      <c r="A17" s="245">
        <v>6</v>
      </c>
      <c r="B17" s="246" t="s">
        <v>124</v>
      </c>
      <c r="C17" s="247" t="s">
        <v>82</v>
      </c>
      <c r="D17" s="247">
        <v>800</v>
      </c>
      <c r="E17" s="247">
        <v>1045</v>
      </c>
      <c r="F17" s="248" t="s">
        <v>125</v>
      </c>
    </row>
    <row r="18" spans="1:6">
      <c r="A18" s="245">
        <v>7</v>
      </c>
      <c r="B18" s="246" t="s">
        <v>126</v>
      </c>
      <c r="C18" s="247" t="s">
        <v>82</v>
      </c>
      <c r="D18" s="247">
        <v>100</v>
      </c>
      <c r="E18" s="247">
        <v>1280</v>
      </c>
      <c r="F18" s="248" t="s">
        <v>127</v>
      </c>
    </row>
    <row r="19" spans="1:6">
      <c r="A19" s="245">
        <v>8</v>
      </c>
      <c r="B19" s="246" t="s">
        <v>128</v>
      </c>
      <c r="C19" s="247" t="s">
        <v>82</v>
      </c>
      <c r="D19" s="247">
        <v>200</v>
      </c>
      <c r="E19" s="247">
        <v>1241</v>
      </c>
      <c r="F19" s="248" t="s">
        <v>129</v>
      </c>
    </row>
    <row r="20" spans="1:6">
      <c r="A20" s="245">
        <v>9</v>
      </c>
      <c r="B20" s="246" t="s">
        <v>130</v>
      </c>
      <c r="C20" s="247" t="s">
        <v>82</v>
      </c>
      <c r="D20" s="247">
        <v>750</v>
      </c>
      <c r="E20" s="247">
        <v>325</v>
      </c>
      <c r="F20" s="248" t="s">
        <v>131</v>
      </c>
    </row>
    <row r="21" spans="1:6">
      <c r="A21" s="245">
        <v>10</v>
      </c>
      <c r="B21" s="246" t="s">
        <v>132</v>
      </c>
      <c r="C21" s="247" t="s">
        <v>82</v>
      </c>
      <c r="D21" s="247">
        <v>600</v>
      </c>
      <c r="E21" s="247">
        <v>395</v>
      </c>
      <c r="F21" s="248" t="s">
        <v>133</v>
      </c>
    </row>
    <row r="22" spans="1:6">
      <c r="A22" s="245">
        <v>11</v>
      </c>
      <c r="B22" s="246" t="s">
        <v>134</v>
      </c>
      <c r="C22" s="247" t="s">
        <v>82</v>
      </c>
      <c r="D22" s="247">
        <v>300</v>
      </c>
      <c r="E22" s="247">
        <v>465</v>
      </c>
      <c r="F22" s="248" t="s">
        <v>135</v>
      </c>
    </row>
    <row r="23" spans="1:6">
      <c r="A23" s="245">
        <v>12</v>
      </c>
      <c r="B23" s="246" t="s">
        <v>136</v>
      </c>
      <c r="C23" s="247" t="s">
        <v>82</v>
      </c>
      <c r="D23" s="247">
        <v>700</v>
      </c>
      <c r="E23" s="247">
        <v>470</v>
      </c>
      <c r="F23" s="248" t="s">
        <v>137</v>
      </c>
    </row>
    <row r="24" spans="1:6">
      <c r="A24" s="245">
        <v>13</v>
      </c>
      <c r="B24" s="246" t="s">
        <v>138</v>
      </c>
      <c r="C24" s="247" t="s">
        <v>82</v>
      </c>
      <c r="D24" s="247">
        <v>2000</v>
      </c>
      <c r="E24" s="247">
        <v>252</v>
      </c>
      <c r="F24" s="248" t="s">
        <v>139</v>
      </c>
    </row>
    <row r="25" spans="1:6">
      <c r="A25" s="245">
        <v>14</v>
      </c>
      <c r="B25" s="246" t="s">
        <v>140</v>
      </c>
      <c r="C25" s="247" t="s">
        <v>82</v>
      </c>
      <c r="D25" s="247">
        <v>200</v>
      </c>
      <c r="E25" s="247">
        <v>170</v>
      </c>
      <c r="F25" s="248" t="s">
        <v>141</v>
      </c>
    </row>
    <row r="26" spans="1:6">
      <c r="A26" s="245">
        <v>15</v>
      </c>
      <c r="B26" s="246" t="s">
        <v>142</v>
      </c>
      <c r="C26" s="247" t="s">
        <v>143</v>
      </c>
      <c r="D26" s="247">
        <v>100</v>
      </c>
      <c r="E26" s="247">
        <v>80</v>
      </c>
      <c r="F26" s="248" t="s">
        <v>144</v>
      </c>
    </row>
    <row r="27" spans="1:6">
      <c r="A27" s="236"/>
      <c r="B27" s="241"/>
      <c r="C27" s="241"/>
      <c r="D27" s="241"/>
      <c r="E27" s="241"/>
      <c r="F27" s="241"/>
    </row>
    <row r="28" spans="1:6">
      <c r="A28" s="236"/>
      <c r="B28" s="241"/>
      <c r="C28" s="241"/>
      <c r="D28" s="241"/>
      <c r="E28" s="241"/>
      <c r="F28" s="241"/>
    </row>
    <row r="29" spans="1:6">
      <c r="A29" s="236"/>
      <c r="B29" s="241"/>
      <c r="C29" s="241"/>
      <c r="D29" s="241"/>
      <c r="E29" s="241"/>
      <c r="F29" s="241"/>
    </row>
    <row r="30" spans="1:6" ht="15.75">
      <c r="A30" s="243" t="s">
        <v>145</v>
      </c>
      <c r="B30" s="241"/>
      <c r="C30" s="241"/>
      <c r="D30" s="241"/>
      <c r="E30" s="241"/>
      <c r="F30" s="241"/>
    </row>
    <row r="31" spans="1:6" ht="15.75">
      <c r="A31" s="243" t="s">
        <v>99</v>
      </c>
      <c r="B31" s="241"/>
      <c r="C31" s="241"/>
      <c r="D31" s="241"/>
      <c r="E31" s="241"/>
      <c r="F31" s="241"/>
    </row>
    <row r="32" spans="1:6" ht="15.75">
      <c r="A32" s="249" t="s">
        <v>146</v>
      </c>
      <c r="B32" s="241"/>
      <c r="C32" s="241"/>
      <c r="D32" s="241"/>
      <c r="E32" s="241"/>
      <c r="F32" s="241"/>
    </row>
    <row r="33" spans="1:6">
      <c r="A33" s="250" t="s">
        <v>147</v>
      </c>
      <c r="B33" s="241"/>
      <c r="C33" s="241"/>
      <c r="D33" s="241"/>
      <c r="E33" s="241"/>
      <c r="F33" s="241"/>
    </row>
    <row r="34" spans="1:6">
      <c r="A34" s="250" t="s">
        <v>148</v>
      </c>
      <c r="B34" s="241"/>
      <c r="C34" s="241"/>
      <c r="D34" s="241"/>
      <c r="E34" s="241"/>
      <c r="F34" s="241"/>
    </row>
    <row r="35" spans="1:6">
      <c r="A35" s="250" t="s">
        <v>149</v>
      </c>
      <c r="B35" s="241"/>
      <c r="C35" s="241"/>
      <c r="D35" s="241"/>
      <c r="E35" s="241"/>
      <c r="F35" s="241"/>
    </row>
    <row r="36" spans="1:6">
      <c r="A36" s="250" t="s">
        <v>150</v>
      </c>
      <c r="B36" s="241"/>
      <c r="C36" s="241"/>
      <c r="D36" s="241"/>
      <c r="E36" s="241"/>
      <c r="F36" s="241"/>
    </row>
    <row r="37" spans="1:6">
      <c r="A37" s="250" t="s">
        <v>151</v>
      </c>
      <c r="B37" s="241"/>
      <c r="C37" s="241"/>
      <c r="D37" s="241"/>
      <c r="E37" s="241"/>
      <c r="F37" s="241"/>
    </row>
    <row r="38" spans="1:6">
      <c r="A38" s="251"/>
      <c r="B38" s="241"/>
      <c r="C38" s="241"/>
      <c r="D38" s="241"/>
      <c r="E38" s="241"/>
      <c r="F38" s="241"/>
    </row>
    <row r="39" spans="1:6" ht="15.75">
      <c r="A39" s="252" t="s">
        <v>106</v>
      </c>
      <c r="B39" s="241"/>
      <c r="C39" s="241"/>
      <c r="D39" s="241"/>
      <c r="E39" s="241"/>
      <c r="F39" s="241"/>
    </row>
    <row r="40" spans="1:6">
      <c r="A40" s="236"/>
      <c r="B40" s="241"/>
      <c r="C40" s="241"/>
      <c r="D40" s="241"/>
      <c r="E40" s="241"/>
      <c r="F40" s="241"/>
    </row>
    <row r="41" spans="1:6" ht="15.75">
      <c r="A41" s="252" t="s">
        <v>152</v>
      </c>
      <c r="B41" s="241"/>
      <c r="C41" s="241"/>
      <c r="D41" s="241"/>
      <c r="E41" s="241"/>
      <c r="F41" s="241"/>
    </row>
    <row r="42" spans="1:6">
      <c r="A42" s="236"/>
      <c r="B42" s="241"/>
      <c r="C42" s="241"/>
      <c r="D42" s="241"/>
      <c r="E42" s="241"/>
      <c r="F42" s="241"/>
    </row>
    <row r="43" spans="1:6" ht="15.75">
      <c r="A43" s="253" t="s">
        <v>153</v>
      </c>
      <c r="B43" s="241"/>
      <c r="C43" s="241"/>
      <c r="D43" s="241"/>
      <c r="E43" s="241"/>
      <c r="F43" s="241"/>
    </row>
    <row r="44" spans="1:6" ht="15.75">
      <c r="A44" s="253" t="s">
        <v>154</v>
      </c>
      <c r="B44" s="241"/>
      <c r="C44" s="241"/>
      <c r="D44" s="241"/>
      <c r="E44" s="241"/>
      <c r="F44" s="241"/>
    </row>
    <row r="45" spans="1:6" ht="15.75">
      <c r="A45" s="253" t="s">
        <v>155</v>
      </c>
      <c r="B45" s="241"/>
      <c r="C45" s="241"/>
      <c r="D45" s="241"/>
      <c r="E45" s="241"/>
      <c r="F45" s="241"/>
    </row>
    <row r="46" spans="1:6" ht="15.75">
      <c r="A46" s="253" t="s">
        <v>156</v>
      </c>
      <c r="B46" s="241"/>
      <c r="C46" s="241"/>
      <c r="D46" s="241"/>
      <c r="E46" s="241"/>
      <c r="F46" s="241"/>
    </row>
    <row r="47" spans="1:6" ht="15.75">
      <c r="A47" s="253" t="s">
        <v>157</v>
      </c>
      <c r="B47" s="241"/>
      <c r="C47" s="241"/>
      <c r="D47" s="241"/>
      <c r="E47" s="241"/>
      <c r="F47" s="241"/>
    </row>
    <row r="48" spans="1:6" ht="15.75">
      <c r="A48" s="254" t="s">
        <v>158</v>
      </c>
      <c r="B48" s="241"/>
      <c r="C48" s="241"/>
      <c r="D48" s="241"/>
      <c r="E48" s="241"/>
      <c r="F48" s="241"/>
    </row>
    <row r="49" spans="1:6">
      <c r="A49" s="236"/>
      <c r="B49" s="241"/>
      <c r="C49" s="241"/>
      <c r="D49" s="241"/>
      <c r="E49" s="241"/>
      <c r="F49" s="241"/>
    </row>
    <row r="50" spans="1:6" ht="15.75">
      <c r="A50" s="255" t="s">
        <v>159</v>
      </c>
      <c r="B50" s="241"/>
      <c r="C50" s="241"/>
      <c r="D50" s="241"/>
      <c r="E50" s="241"/>
      <c r="F50" s="241"/>
    </row>
    <row r="51" spans="1:6" ht="15.75">
      <c r="A51" s="255" t="s">
        <v>160</v>
      </c>
      <c r="B51" s="241"/>
      <c r="C51" s="241"/>
      <c r="D51" s="241"/>
      <c r="E51" s="241"/>
      <c r="F51" s="24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Commercial</vt:lpstr>
      <vt:lpstr>Technical</vt:lpstr>
      <vt:lpstr>PO</vt:lpstr>
      <vt:lpstr>Offer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2026-06-08T12:05:51Z</dcterms:modified>
</cp:coreProperties>
</file>
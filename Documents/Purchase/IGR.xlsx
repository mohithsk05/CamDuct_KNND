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9440" windowHeight="11835" firstSheet="1" activeTab="2"/>
  </bookViews>
  <sheets>
    <sheet name="40th week" sheetId="1" state="hidden" r:id="rId1"/>
    <sheet name="Home" sheetId="6" r:id="rId2"/>
    <sheet name="IGR" sheetId="4" r:id="rId3"/>
    <sheet name="BPR" sheetId="3" r:id="rId4"/>
  </sheets>
  <definedNames>
    <definedName name="_xlnm._FilterDatabase" localSheetId="3" hidden="1">BPR!$A$3:$O$396</definedName>
    <definedName name="_xlnm._FilterDatabase" localSheetId="2" hidden="1">IGR!$A$3:$P$694</definedName>
  </definedNames>
  <calcPr calcId="152511"/>
  <pivotCaches>
    <pivotCache cacheId="4" r:id="rId5"/>
    <pivotCache cacheId="7" r:id="rId6"/>
  </pivotCaches>
</workbook>
</file>

<file path=xl/calcChain.xml><?xml version="1.0" encoding="utf-8"?>
<calcChain xmlns="http://schemas.openxmlformats.org/spreadsheetml/2006/main">
  <c r="L70" i="3" l="1"/>
  <c r="N70" i="3" s="1"/>
  <c r="M70" i="3"/>
  <c r="L69" i="3"/>
  <c r="M69" i="3"/>
  <c r="N69" i="3" s="1"/>
  <c r="L68" i="3"/>
  <c r="N68" i="3" s="1"/>
  <c r="M68" i="3"/>
  <c r="L67" i="3"/>
  <c r="N67" i="3" s="1"/>
  <c r="M67" i="3"/>
  <c r="L66" i="3"/>
  <c r="M66" i="3"/>
  <c r="N66" i="3"/>
  <c r="L65" i="3"/>
  <c r="N65" i="3" s="1"/>
  <c r="M65" i="3"/>
  <c r="L64" i="3"/>
  <c r="N64" i="3" s="1"/>
  <c r="M64" i="3"/>
  <c r="L63" i="3"/>
  <c r="N63" i="3" s="1"/>
  <c r="M63" i="3"/>
  <c r="L62" i="3"/>
  <c r="M62" i="3"/>
  <c r="N62" i="3"/>
  <c r="L61" i="3"/>
  <c r="M61" i="3"/>
  <c r="N61" i="3"/>
  <c r="L60" i="3"/>
  <c r="M60" i="3"/>
  <c r="N60" i="3"/>
  <c r="L59" i="3"/>
  <c r="M59" i="3"/>
  <c r="N59" i="3" s="1"/>
  <c r="L58" i="3"/>
  <c r="M58" i="3"/>
  <c r="N58" i="3" s="1"/>
  <c r="N57" i="3"/>
  <c r="M57" i="3"/>
  <c r="L57" i="3"/>
  <c r="L56" i="3"/>
  <c r="N56" i="3" s="1"/>
  <c r="M56" i="3"/>
  <c r="N55" i="3"/>
  <c r="M55" i="3"/>
  <c r="L55" i="3"/>
  <c r="L54" i="3"/>
  <c r="M54" i="3"/>
  <c r="N54" i="3"/>
  <c r="L53" i="3"/>
  <c r="M53" i="3"/>
  <c r="N53" i="3"/>
  <c r="L52" i="3"/>
  <c r="M52" i="3"/>
  <c r="N52" i="3"/>
  <c r="L51" i="3"/>
  <c r="M51" i="3"/>
  <c r="N51" i="3" s="1"/>
  <c r="L50" i="3"/>
  <c r="M50" i="3"/>
  <c r="N50" i="3"/>
  <c r="M49" i="3"/>
  <c r="L49" i="3"/>
  <c r="N49" i="3" s="1"/>
  <c r="M48" i="3"/>
  <c r="L48" i="3"/>
  <c r="N48" i="3" s="1"/>
  <c r="I48" i="3"/>
  <c r="N47" i="3"/>
  <c r="I47" i="3"/>
  <c r="M83" i="4"/>
  <c r="P83" i="4" s="1"/>
  <c r="K83" i="4"/>
  <c r="K82" i="4"/>
  <c r="N82" i="4"/>
  <c r="O82" i="4"/>
  <c r="P82" i="4"/>
  <c r="K81" i="4"/>
  <c r="N81" i="4"/>
  <c r="O81" i="4"/>
  <c r="P81" i="4"/>
  <c r="K80" i="4"/>
  <c r="N80" i="4" s="1"/>
  <c r="K79" i="4"/>
  <c r="N79" i="4" s="1"/>
  <c r="K78" i="4"/>
  <c r="K77" i="4"/>
  <c r="O77" i="4" s="1"/>
  <c r="H77" i="4"/>
  <c r="K76" i="4"/>
  <c r="N76" i="4" s="1"/>
  <c r="K75" i="4"/>
  <c r="M75" i="4" s="1"/>
  <c r="K74" i="4"/>
  <c r="N74" i="4" s="1"/>
  <c r="O74" i="4"/>
  <c r="K73" i="4"/>
  <c r="O73" i="4" s="1"/>
  <c r="K72" i="4"/>
  <c r="M72" i="4" s="1"/>
  <c r="P72" i="4" s="1"/>
  <c r="K71" i="4"/>
  <c r="O71" i="4" s="1"/>
  <c r="P71" i="4" s="1"/>
  <c r="N71" i="4"/>
  <c r="K70" i="4"/>
  <c r="N70" i="4"/>
  <c r="O70" i="4"/>
  <c r="P70" i="4"/>
  <c r="K69" i="4"/>
  <c r="O69" i="4" s="1"/>
  <c r="N69" i="4"/>
  <c r="K68" i="4"/>
  <c r="N68" i="4"/>
  <c r="O68" i="4"/>
  <c r="P68" i="4"/>
  <c r="K67" i="4"/>
  <c r="N67" i="4" s="1"/>
  <c r="O67" i="4"/>
  <c r="K66" i="4"/>
  <c r="N66" i="4"/>
  <c r="O66" i="4"/>
  <c r="K65" i="4"/>
  <c r="N65" i="4" s="1"/>
  <c r="K64" i="4"/>
  <c r="K63" i="4"/>
  <c r="N63" i="4" s="1"/>
  <c r="K62" i="4"/>
  <c r="N62" i="4" s="1"/>
  <c r="O62" i="4"/>
  <c r="P62" i="4" l="1"/>
  <c r="N77" i="4"/>
  <c r="P77" i="4" s="1"/>
  <c r="O63" i="4"/>
  <c r="P63" i="4" s="1"/>
  <c r="N73" i="4"/>
  <c r="P73" i="4" s="1"/>
  <c r="O78" i="4"/>
  <c r="P74" i="4"/>
  <c r="N78" i="4"/>
  <c r="P78" i="4" s="1"/>
  <c r="O76" i="4"/>
  <c r="P76" i="4" s="1"/>
  <c r="O80" i="4"/>
  <c r="P80" i="4" s="1"/>
  <c r="O65" i="4"/>
  <c r="P65" i="4" s="1"/>
  <c r="P69" i="4"/>
  <c r="P66" i="4"/>
  <c r="O79" i="4"/>
  <c r="P79" i="4" s="1"/>
  <c r="P75" i="4"/>
  <c r="P67" i="4"/>
  <c r="O64" i="4"/>
  <c r="N64" i="4"/>
  <c r="P64" i="4" s="1"/>
  <c r="K61" i="4"/>
  <c r="O61" i="4" s="1"/>
  <c r="K60" i="4"/>
  <c r="N60" i="4" s="1"/>
  <c r="L46" i="3"/>
  <c r="M46" i="3"/>
  <c r="N46" i="3" s="1"/>
  <c r="L45" i="3"/>
  <c r="N45" i="3" s="1"/>
  <c r="M45" i="3"/>
  <c r="L44" i="3"/>
  <c r="M44" i="3"/>
  <c r="N44" i="3"/>
  <c r="L43" i="3"/>
  <c r="M43" i="3"/>
  <c r="N43" i="3"/>
  <c r="L42" i="3"/>
  <c r="M42" i="3"/>
  <c r="N42" i="3"/>
  <c r="N41" i="3"/>
  <c r="M41" i="3"/>
  <c r="L41" i="3"/>
  <c r="L40" i="3"/>
  <c r="M40" i="3"/>
  <c r="N40" i="3"/>
  <c r="L39" i="3"/>
  <c r="M39" i="3"/>
  <c r="N39" i="3"/>
  <c r="L38" i="3"/>
  <c r="M38" i="3"/>
  <c r="N38" i="3"/>
  <c r="L37" i="3"/>
  <c r="M37" i="3"/>
  <c r="N37" i="3"/>
  <c r="L36" i="3"/>
  <c r="M36" i="3"/>
  <c r="N36" i="3" s="1"/>
  <c r="L35" i="3"/>
  <c r="M35" i="3"/>
  <c r="N35" i="3"/>
  <c r="L34" i="3"/>
  <c r="N34" i="3" s="1"/>
  <c r="M34" i="3"/>
  <c r="N33" i="3"/>
  <c r="M33" i="3"/>
  <c r="L33" i="3"/>
  <c r="L32" i="3"/>
  <c r="N32" i="3" s="1"/>
  <c r="M32" i="3"/>
  <c r="M31" i="3"/>
  <c r="L31" i="3"/>
  <c r="N31" i="3" s="1"/>
  <c r="L30" i="3"/>
  <c r="M30" i="3"/>
  <c r="N30" i="3" s="1"/>
  <c r="L29" i="3"/>
  <c r="M29" i="3"/>
  <c r="N29" i="3"/>
  <c r="M28" i="3"/>
  <c r="L28" i="3"/>
  <c r="N28" i="3" s="1"/>
  <c r="L27" i="3"/>
  <c r="M27" i="3"/>
  <c r="N27" i="3"/>
  <c r="L26" i="3"/>
  <c r="N26" i="3" s="1"/>
  <c r="M26" i="3"/>
  <c r="L25" i="3"/>
  <c r="N25" i="3" s="1"/>
  <c r="M25" i="3"/>
  <c r="K59" i="4"/>
  <c r="K58" i="4"/>
  <c r="N58" i="4" s="1"/>
  <c r="K57" i="4"/>
  <c r="M57" i="4" s="1"/>
  <c r="K56" i="4"/>
  <c r="N56" i="4" s="1"/>
  <c r="O56" i="4"/>
  <c r="K55" i="4"/>
  <c r="N55" i="4" s="1"/>
  <c r="K54" i="4"/>
  <c r="N54" i="4" s="1"/>
  <c r="K53" i="4"/>
  <c r="N53" i="4"/>
  <c r="K52" i="4"/>
  <c r="K51" i="4"/>
  <c r="N51" i="4"/>
  <c r="O51" i="4"/>
  <c r="K50" i="4"/>
  <c r="O50" i="4" s="1"/>
  <c r="K49" i="4"/>
  <c r="O49" i="4" s="1"/>
  <c r="K48" i="4"/>
  <c r="N48" i="4"/>
  <c r="O48" i="4"/>
  <c r="K47" i="4"/>
  <c r="N47" i="4" s="1"/>
  <c r="O47" i="4"/>
  <c r="K46" i="4"/>
  <c r="N46" i="4" s="1"/>
  <c r="K45" i="4"/>
  <c r="N45" i="4" s="1"/>
  <c r="O44" i="4"/>
  <c r="K44" i="4"/>
  <c r="H44" i="4"/>
  <c r="K43" i="4"/>
  <c r="N43" i="4" s="1"/>
  <c r="K42" i="4"/>
  <c r="N42" i="4" s="1"/>
  <c r="K41" i="4"/>
  <c r="N41" i="4" s="1"/>
  <c r="O41" i="4"/>
  <c r="K40" i="4"/>
  <c r="O40" i="4" s="1"/>
  <c r="K39" i="4"/>
  <c r="O39" i="4" s="1"/>
  <c r="O38" i="4"/>
  <c r="K38" i="4"/>
  <c r="N38" i="4" s="1"/>
  <c r="N50" i="4" l="1"/>
  <c r="P50" i="4" s="1"/>
  <c r="O45" i="4"/>
  <c r="P45" i="4" s="1"/>
  <c r="O60" i="4"/>
  <c r="P47" i="4"/>
  <c r="O43" i="4"/>
  <c r="P43" i="4" s="1"/>
  <c r="P51" i="4"/>
  <c r="O55" i="4"/>
  <c r="P55" i="4" s="1"/>
  <c r="P38" i="4"/>
  <c r="N49" i="4"/>
  <c r="O53" i="4"/>
  <c r="P53" i="4" s="1"/>
  <c r="O58" i="4"/>
  <c r="P60" i="4"/>
  <c r="P58" i="4"/>
  <c r="N40" i="4"/>
  <c r="P40" i="4" s="1"/>
  <c r="N39" i="4"/>
  <c r="P39" i="4" s="1"/>
  <c r="P41" i="4"/>
  <c r="N44" i="4"/>
  <c r="P44" i="4" s="1"/>
  <c r="P48" i="4"/>
  <c r="P56" i="4"/>
  <c r="P49" i="4"/>
  <c r="O42" i="4"/>
  <c r="P42" i="4" s="1"/>
  <c r="N61" i="4"/>
  <c r="P61" i="4" s="1"/>
  <c r="O59" i="4"/>
  <c r="N59" i="4"/>
  <c r="P59" i="4" s="1"/>
  <c r="P57" i="4"/>
  <c r="O54" i="4"/>
  <c r="P54" i="4" s="1"/>
  <c r="N52" i="4"/>
  <c r="O52" i="4"/>
  <c r="O46" i="4"/>
  <c r="P46" i="4" s="1"/>
  <c r="L24" i="3"/>
  <c r="M24" i="3"/>
  <c r="N24" i="3"/>
  <c r="K37" i="4"/>
  <c r="M37" i="4" s="1"/>
  <c r="P37" i="4" s="1"/>
  <c r="K36" i="4"/>
  <c r="N36" i="4" s="1"/>
  <c r="K35" i="4"/>
  <c r="O35" i="4" s="1"/>
  <c r="N35" i="4" l="1"/>
  <c r="P35" i="4" s="1"/>
  <c r="P52" i="4"/>
  <c r="O36" i="4"/>
  <c r="P36" i="4" s="1"/>
  <c r="L23" i="3"/>
  <c r="M23" i="3"/>
  <c r="N23" i="3"/>
  <c r="N22" i="3" l="1"/>
  <c r="M22" i="3"/>
  <c r="L22" i="3"/>
  <c r="L21" i="3"/>
  <c r="M21" i="3"/>
  <c r="N21" i="3"/>
  <c r="L20" i="3"/>
  <c r="M20" i="3"/>
  <c r="N20" i="3" s="1"/>
  <c r="M12" i="3"/>
  <c r="L12" i="3"/>
  <c r="N12" i="3" s="1"/>
  <c r="B12" i="3"/>
  <c r="L19" i="3"/>
  <c r="M19" i="3"/>
  <c r="N19" i="3"/>
  <c r="L18" i="3"/>
  <c r="N18" i="3" s="1"/>
  <c r="M18" i="3"/>
  <c r="L17" i="3"/>
  <c r="M17" i="3"/>
  <c r="N17" i="3"/>
  <c r="L16" i="3"/>
  <c r="M16" i="3"/>
  <c r="N16" i="3" s="1"/>
  <c r="B16" i="3"/>
  <c r="N15" i="3"/>
  <c r="M15" i="3"/>
  <c r="L15" i="3"/>
  <c r="N14" i="3"/>
  <c r="M14" i="3"/>
  <c r="L14" i="3"/>
  <c r="M13" i="3"/>
  <c r="L13" i="3"/>
  <c r="N13" i="3" s="1"/>
  <c r="M11" i="3"/>
  <c r="L11" i="3"/>
  <c r="N11" i="3" s="1"/>
  <c r="M8" i="3"/>
  <c r="L8" i="3"/>
  <c r="N8" i="3" s="1"/>
  <c r="M7" i="3"/>
  <c r="L7" i="3"/>
  <c r="N7" i="3" s="1"/>
  <c r="M6" i="3"/>
  <c r="L6" i="3"/>
  <c r="N6" i="3" s="1"/>
  <c r="M5" i="3"/>
  <c r="L5" i="3"/>
  <c r="N5" i="3" s="1"/>
  <c r="I11" i="3" l="1"/>
  <c r="N10" i="3"/>
  <c r="N9" i="3"/>
  <c r="K34" i="4"/>
  <c r="M34" i="4" s="1"/>
  <c r="P34" i="4" s="1"/>
  <c r="K33" i="4"/>
  <c r="K32" i="4"/>
  <c r="N32" i="4" s="1"/>
  <c r="K31" i="4"/>
  <c r="K30" i="4"/>
  <c r="O30" i="4" s="1"/>
  <c r="K29" i="4"/>
  <c r="M29" i="4" s="1"/>
  <c r="K28" i="4"/>
  <c r="P28" i="4" s="1"/>
  <c r="P32" i="4" l="1"/>
  <c r="O32" i="4"/>
  <c r="P29" i="4"/>
  <c r="N33" i="4"/>
  <c r="O33" i="4"/>
  <c r="N31" i="4"/>
  <c r="N30" i="4"/>
  <c r="P30" i="4" s="1"/>
  <c r="O31" i="4"/>
  <c r="K27" i="4"/>
  <c r="N27" i="4" s="1"/>
  <c r="K26" i="4"/>
  <c r="N26" i="4" s="1"/>
  <c r="K25" i="4"/>
  <c r="N25" i="4" s="1"/>
  <c r="O27" i="4" l="1"/>
  <c r="P31" i="4"/>
  <c r="P33" i="4"/>
  <c r="O25" i="4"/>
  <c r="P25" i="4" s="1"/>
  <c r="P27" i="4"/>
  <c r="O26" i="4"/>
  <c r="P26" i="4" s="1"/>
  <c r="K24" i="4"/>
  <c r="M24" i="4" s="1"/>
  <c r="P24" i="4" s="1"/>
  <c r="K23" i="4"/>
  <c r="N23" i="4" s="1"/>
  <c r="K22" i="4"/>
  <c r="N22" i="4"/>
  <c r="P22" i="4" s="1"/>
  <c r="O22" i="4"/>
  <c r="K21" i="4"/>
  <c r="N21" i="4"/>
  <c r="O21" i="4"/>
  <c r="P21" i="4"/>
  <c r="K20" i="4"/>
  <c r="N20" i="4" s="1"/>
  <c r="P20" i="4" s="1"/>
  <c r="O20" i="4"/>
  <c r="K19" i="4"/>
  <c r="N19" i="4"/>
  <c r="O19" i="4"/>
  <c r="P19" i="4"/>
  <c r="K18" i="4"/>
  <c r="N18" i="4"/>
  <c r="O18" i="4"/>
  <c r="P18" i="4"/>
  <c r="K17" i="4"/>
  <c r="N17" i="4"/>
  <c r="O17" i="4"/>
  <c r="P17" i="4" s="1"/>
  <c r="K16" i="4"/>
  <c r="N16" i="4"/>
  <c r="O16" i="4"/>
  <c r="P16" i="4"/>
  <c r="K15" i="4"/>
  <c r="N15" i="4" s="1"/>
  <c r="K14" i="4"/>
  <c r="N14" i="4" s="1"/>
  <c r="K13" i="4"/>
  <c r="K12" i="4"/>
  <c r="O12" i="4" s="1"/>
  <c r="K11" i="4"/>
  <c r="K10" i="4"/>
  <c r="K9" i="4"/>
  <c r="K8" i="4"/>
  <c r="M8" i="4" s="1"/>
  <c r="N10" i="4" l="1"/>
  <c r="P8" i="4"/>
  <c r="O10" i="4"/>
  <c r="N13" i="4"/>
  <c r="O13" i="4"/>
  <c r="N12" i="4"/>
  <c r="P12" i="4" s="1"/>
  <c r="N11" i="4"/>
  <c r="O11" i="4"/>
  <c r="O15" i="4"/>
  <c r="P15" i="4" s="1"/>
  <c r="O23" i="4"/>
  <c r="P23" i="4" s="1"/>
  <c r="O14" i="4"/>
  <c r="P14" i="4" s="1"/>
  <c r="M9" i="4"/>
  <c r="P9" i="4" s="1"/>
  <c r="N4" i="3"/>
  <c r="K7" i="4"/>
  <c r="O7" i="4" s="1"/>
  <c r="K6" i="4"/>
  <c r="O6" i="4" s="1"/>
  <c r="K5" i="4"/>
  <c r="K4" i="4"/>
  <c r="P11" i="4" l="1"/>
  <c r="P13" i="4"/>
  <c r="P10" i="4"/>
  <c r="N7" i="4"/>
  <c r="P7" i="4"/>
  <c r="O5" i="4"/>
  <c r="M4" i="4"/>
  <c r="P4" i="4" s="1"/>
  <c r="N5" i="4"/>
  <c r="P5" i="4" s="1"/>
  <c r="N6" i="4"/>
  <c r="P6" i="4" s="1"/>
  <c r="B236" i="3"/>
  <c r="A236" i="3"/>
  <c r="B223" i="3" l="1"/>
  <c r="A214" i="3" l="1"/>
  <c r="B214" i="3"/>
  <c r="B207" i="3"/>
  <c r="A207" i="3"/>
  <c r="A206" i="3" l="1"/>
  <c r="B206" i="3"/>
  <c r="B198" i="3" l="1"/>
  <c r="A196" i="3"/>
  <c r="B196" i="3"/>
  <c r="A195" i="3"/>
  <c r="B195" i="3"/>
  <c r="A184" i="3"/>
  <c r="B184" i="3"/>
  <c r="A163" i="3" l="1"/>
  <c r="B163" i="3"/>
  <c r="A164" i="3"/>
  <c r="B164" i="3"/>
  <c r="A165" i="3"/>
  <c r="B165" i="3"/>
  <c r="B168" i="3" l="1"/>
  <c r="B167" i="3" l="1"/>
  <c r="B161" i="3"/>
  <c r="A70" i="3" l="1"/>
  <c r="B70" i="3"/>
  <c r="A34" i="3"/>
  <c r="B34" i="3"/>
  <c r="A87" i="4" l="1"/>
  <c r="B87" i="4"/>
  <c r="A86" i="4"/>
  <c r="B86" i="4"/>
  <c r="A85" i="4"/>
  <c r="B85" i="4"/>
  <c r="B107" i="3" l="1"/>
  <c r="A107" i="3"/>
  <c r="A106" i="3"/>
  <c r="B106" i="3"/>
  <c r="B110" i="3" l="1"/>
  <c r="B105" i="3"/>
  <c r="A105" i="3"/>
  <c r="B104" i="3"/>
  <c r="A104" i="3"/>
  <c r="A103" i="3"/>
  <c r="B103" i="3" l="1"/>
  <c r="A89" i="3" l="1"/>
  <c r="B89" i="3"/>
  <c r="A68" i="4" l="1"/>
  <c r="B68" i="4"/>
  <c r="A88" i="3" l="1"/>
  <c r="B88" i="3"/>
  <c r="A87" i="3"/>
  <c r="B87" i="3"/>
  <c r="A86" i="3"/>
  <c r="B86" i="3"/>
  <c r="A57" i="4"/>
  <c r="B57" i="4"/>
  <c r="A69" i="3" l="1"/>
  <c r="B69" i="3"/>
  <c r="A68" i="3"/>
  <c r="B68" i="3"/>
  <c r="A33" i="3"/>
  <c r="B33" i="3"/>
  <c r="B4" i="4" l="1"/>
  <c r="A4" i="4"/>
  <c r="B5" i="4"/>
  <c r="A5" i="4"/>
  <c r="B73" i="3"/>
  <c r="B65" i="3"/>
  <c r="A50" i="3" l="1"/>
  <c r="B50" i="3"/>
  <c r="A49" i="3"/>
  <c r="B49" i="3"/>
  <c r="A32" i="3"/>
  <c r="B32" i="3"/>
  <c r="B44" i="3" l="1"/>
  <c r="A27" i="3"/>
  <c r="A23" i="3"/>
  <c r="B23" i="3"/>
  <c r="B27" i="3" l="1"/>
  <c r="A6" i="4" l="1"/>
  <c r="B6" i="4"/>
  <c r="A13" i="3" l="1"/>
  <c r="B13" i="3"/>
  <c r="A352" i="3" l="1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P2" i="4" l="1"/>
  <c r="B335" i="3"/>
  <c r="A314" i="3" l="1"/>
  <c r="B314" i="3"/>
  <c r="A311" i="3"/>
  <c r="B311" i="3"/>
  <c r="A312" i="3"/>
  <c r="B312" i="3"/>
  <c r="A313" i="3"/>
  <c r="B313" i="3"/>
  <c r="A282" i="3" l="1"/>
  <c r="B282" i="3"/>
  <c r="I2" i="4" l="1"/>
  <c r="J2" i="4"/>
  <c r="L2" i="4"/>
  <c r="H2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248" i="3" l="1"/>
  <c r="B248" i="3"/>
  <c r="A220" i="3"/>
  <c r="B220" i="3"/>
  <c r="A219" i="3"/>
  <c r="B219" i="3"/>
  <c r="A271" i="3" l="1"/>
  <c r="B271" i="3"/>
  <c r="A187" i="4" l="1"/>
  <c r="B187" i="4"/>
  <c r="A188" i="4"/>
  <c r="B188" i="4"/>
  <c r="A189" i="4"/>
  <c r="B189" i="4"/>
  <c r="A190" i="4"/>
  <c r="B190" i="4"/>
  <c r="A191" i="4"/>
  <c r="B191" i="4"/>
  <c r="A192" i="4"/>
  <c r="B192" i="4"/>
  <c r="A193" i="4"/>
  <c r="B193" i="4"/>
  <c r="A194" i="4"/>
  <c r="B194" i="4"/>
  <c r="A195" i="4"/>
  <c r="B195" i="4"/>
  <c r="A196" i="4"/>
  <c r="B196" i="4"/>
  <c r="A197" i="4"/>
  <c r="B197" i="4"/>
  <c r="A198" i="4"/>
  <c r="B198" i="4"/>
  <c r="A199" i="4"/>
  <c r="B199" i="4"/>
  <c r="A200" i="4"/>
  <c r="B200" i="4"/>
  <c r="A201" i="4"/>
  <c r="B201" i="4"/>
  <c r="A202" i="4"/>
  <c r="B202" i="4"/>
  <c r="A203" i="4"/>
  <c r="B203" i="4"/>
  <c r="B204" i="4"/>
  <c r="B205" i="4"/>
  <c r="B206" i="4"/>
  <c r="B207" i="4"/>
  <c r="B208" i="4"/>
  <c r="B186" i="4"/>
  <c r="B185" i="4"/>
  <c r="A246" i="3" l="1"/>
  <c r="B184" i="4"/>
  <c r="A184" i="4"/>
  <c r="A183" i="4"/>
  <c r="A185" i="4"/>
  <c r="A186" i="4"/>
  <c r="B183" i="4"/>
  <c r="A239" i="3" l="1"/>
  <c r="B239" i="3"/>
  <c r="A240" i="3"/>
  <c r="B240" i="3"/>
  <c r="A241" i="3"/>
  <c r="B241" i="3"/>
  <c r="A242" i="3"/>
  <c r="B242" i="3"/>
  <c r="A243" i="3"/>
  <c r="B243" i="3"/>
  <c r="A244" i="3"/>
  <c r="B244" i="3"/>
  <c r="A245" i="3"/>
  <c r="B245" i="3"/>
  <c r="B246" i="3"/>
  <c r="A247" i="3"/>
  <c r="B247" i="3"/>
  <c r="A249" i="3"/>
  <c r="B249" i="3"/>
  <c r="A250" i="3"/>
  <c r="B250" i="3"/>
  <c r="A251" i="3"/>
  <c r="B251" i="3"/>
  <c r="A252" i="3"/>
  <c r="B252" i="3"/>
  <c r="A253" i="3"/>
  <c r="B253" i="3"/>
  <c r="A254" i="3"/>
  <c r="B254" i="3"/>
  <c r="A255" i="3"/>
  <c r="B255" i="3"/>
  <c r="A256" i="3"/>
  <c r="B256" i="3"/>
  <c r="A257" i="3"/>
  <c r="B257" i="3"/>
  <c r="A258" i="3"/>
  <c r="B258" i="3"/>
  <c r="A259" i="3"/>
  <c r="B259" i="3"/>
  <c r="A260" i="3"/>
  <c r="B260" i="3"/>
  <c r="A261" i="3"/>
  <c r="B261" i="3"/>
  <c r="A262" i="3"/>
  <c r="B262" i="3"/>
  <c r="A263" i="3"/>
  <c r="B263" i="3"/>
  <c r="A264" i="3"/>
  <c r="B264" i="3"/>
  <c r="A265" i="3"/>
  <c r="B265" i="3"/>
  <c r="A266" i="3"/>
  <c r="B266" i="3"/>
  <c r="A267" i="3"/>
  <c r="B267" i="3"/>
  <c r="A268" i="3"/>
  <c r="B268" i="3"/>
  <c r="A269" i="3"/>
  <c r="B269" i="3"/>
  <c r="A270" i="3"/>
  <c r="B270" i="3"/>
  <c r="A272" i="3"/>
  <c r="B272" i="3"/>
  <c r="A273" i="3"/>
  <c r="B273" i="3"/>
  <c r="A274" i="3"/>
  <c r="B274" i="3"/>
  <c r="A275" i="3"/>
  <c r="B275" i="3"/>
  <c r="A276" i="3"/>
  <c r="B276" i="3"/>
  <c r="A277" i="3"/>
  <c r="B277" i="3"/>
  <c r="A278" i="3"/>
  <c r="B278" i="3"/>
  <c r="A279" i="3"/>
  <c r="B279" i="3"/>
  <c r="A280" i="3"/>
  <c r="B280" i="3"/>
  <c r="A281" i="3"/>
  <c r="B281" i="3"/>
  <c r="A283" i="3"/>
  <c r="B283" i="3"/>
  <c r="A284" i="3"/>
  <c r="B284" i="3"/>
  <c r="A285" i="3"/>
  <c r="B285" i="3"/>
  <c r="A286" i="3"/>
  <c r="B286" i="3"/>
  <c r="A287" i="3"/>
  <c r="B287" i="3"/>
  <c r="A288" i="3"/>
  <c r="B288" i="3"/>
  <c r="A289" i="3"/>
  <c r="B289" i="3"/>
  <c r="A290" i="3"/>
  <c r="B290" i="3"/>
  <c r="A291" i="3"/>
  <c r="B291" i="3"/>
  <c r="A292" i="3"/>
  <c r="B292" i="3"/>
  <c r="A293" i="3"/>
  <c r="B293" i="3"/>
  <c r="A294" i="3"/>
  <c r="B294" i="3"/>
  <c r="A295" i="3"/>
  <c r="B295" i="3"/>
  <c r="A296" i="3"/>
  <c r="B296" i="3"/>
  <c r="A297" i="3"/>
  <c r="B297" i="3"/>
  <c r="A298" i="3"/>
  <c r="B298" i="3"/>
  <c r="A299" i="3"/>
  <c r="B299" i="3"/>
  <c r="A300" i="3"/>
  <c r="B300" i="3"/>
  <c r="A301" i="3"/>
  <c r="B301" i="3"/>
  <c r="A302" i="3"/>
  <c r="B302" i="3"/>
  <c r="A303" i="3"/>
  <c r="B303" i="3"/>
  <c r="A304" i="3"/>
  <c r="B304" i="3"/>
  <c r="A305" i="3"/>
  <c r="B305" i="3"/>
  <c r="A306" i="3"/>
  <c r="B306" i="3"/>
  <c r="A307" i="3"/>
  <c r="B307" i="3"/>
  <c r="A308" i="3"/>
  <c r="B308" i="3"/>
  <c r="A309" i="3"/>
  <c r="B309" i="3"/>
  <c r="A310" i="3"/>
  <c r="B310" i="3"/>
  <c r="A315" i="3"/>
  <c r="B315" i="3"/>
  <c r="A316" i="3"/>
  <c r="B316" i="3"/>
  <c r="A317" i="3"/>
  <c r="B317" i="3"/>
  <c r="A318" i="3"/>
  <c r="B318" i="3"/>
  <c r="A319" i="3"/>
  <c r="B319" i="3"/>
  <c r="A320" i="3"/>
  <c r="B320" i="3"/>
  <c r="A321" i="3"/>
  <c r="B321" i="3"/>
  <c r="A322" i="3"/>
  <c r="B322" i="3"/>
  <c r="A323" i="3"/>
  <c r="B323" i="3"/>
  <c r="A324" i="3"/>
  <c r="B324" i="3"/>
  <c r="A325" i="3"/>
  <c r="B325" i="3"/>
  <c r="A326" i="3"/>
  <c r="B326" i="3"/>
  <c r="A327" i="3"/>
  <c r="B327" i="3"/>
  <c r="A328" i="3"/>
  <c r="B328" i="3"/>
  <c r="A329" i="3"/>
  <c r="B329" i="3"/>
  <c r="A330" i="3"/>
  <c r="B330" i="3"/>
  <c r="A331" i="3"/>
  <c r="B331" i="3"/>
  <c r="A332" i="3"/>
  <c r="B332" i="3"/>
  <c r="A333" i="3"/>
  <c r="B333" i="3"/>
  <c r="A334" i="3"/>
  <c r="B334" i="3"/>
  <c r="A335" i="3"/>
  <c r="A336" i="3"/>
  <c r="B336" i="3"/>
  <c r="A337" i="3"/>
  <c r="B337" i="3"/>
  <c r="A338" i="3"/>
  <c r="B338" i="3"/>
  <c r="A339" i="3"/>
  <c r="B339" i="3"/>
  <c r="A340" i="3"/>
  <c r="B340" i="3"/>
  <c r="A341" i="3"/>
  <c r="B341" i="3"/>
  <c r="A342" i="3"/>
  <c r="B342" i="3"/>
  <c r="A343" i="3"/>
  <c r="B343" i="3"/>
  <c r="A344" i="3"/>
  <c r="B344" i="3"/>
  <c r="A345" i="3"/>
  <c r="B345" i="3"/>
  <c r="A346" i="3"/>
  <c r="B346" i="3"/>
  <c r="A347" i="3"/>
  <c r="B347" i="3"/>
  <c r="A348" i="3"/>
  <c r="B348" i="3"/>
  <c r="A349" i="3"/>
  <c r="B349" i="3"/>
  <c r="A350" i="3"/>
  <c r="B350" i="3"/>
  <c r="A351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A371" i="3"/>
  <c r="B371" i="3"/>
  <c r="A372" i="3"/>
  <c r="B372" i="3"/>
  <c r="A373" i="3"/>
  <c r="B373" i="3"/>
  <c r="A374" i="3"/>
  <c r="B374" i="3"/>
  <c r="A375" i="3"/>
  <c r="B375" i="3"/>
  <c r="A376" i="3"/>
  <c r="B376" i="3"/>
  <c r="A377" i="3"/>
  <c r="B377" i="3"/>
  <c r="A378" i="3"/>
  <c r="B378" i="3"/>
  <c r="A379" i="3"/>
  <c r="B379" i="3"/>
  <c r="A380" i="3"/>
  <c r="B380" i="3"/>
  <c r="A381" i="3"/>
  <c r="B381" i="3"/>
  <c r="A382" i="3"/>
  <c r="B382" i="3"/>
  <c r="A383" i="3"/>
  <c r="B383" i="3"/>
  <c r="A384" i="3"/>
  <c r="B384" i="3"/>
  <c r="A385" i="3"/>
  <c r="B385" i="3"/>
  <c r="A386" i="3"/>
  <c r="B386" i="3"/>
  <c r="A387" i="3"/>
  <c r="B387" i="3"/>
  <c r="A388" i="3"/>
  <c r="B388" i="3"/>
  <c r="A389" i="3"/>
  <c r="B389" i="3"/>
  <c r="A390" i="3"/>
  <c r="B390" i="3"/>
  <c r="A391" i="3"/>
  <c r="B391" i="3"/>
  <c r="A392" i="3"/>
  <c r="B392" i="3"/>
  <c r="A393" i="3"/>
  <c r="B393" i="3"/>
  <c r="A394" i="3"/>
  <c r="B394" i="3"/>
  <c r="A395" i="3"/>
  <c r="B395" i="3"/>
  <c r="A396" i="3"/>
  <c r="B396" i="3"/>
  <c r="A215" i="3" l="1"/>
  <c r="B215" i="3"/>
  <c r="A216" i="3"/>
  <c r="B216" i="3"/>
  <c r="A217" i="3"/>
  <c r="B217" i="3"/>
  <c r="A218" i="3"/>
  <c r="B218" i="3"/>
  <c r="I2" i="3" l="1"/>
  <c r="B183" i="3" l="1"/>
  <c r="A183" i="3"/>
  <c r="B182" i="3"/>
  <c r="A182" i="3"/>
  <c r="B181" i="3"/>
  <c r="A181" i="3"/>
  <c r="B180" i="3"/>
  <c r="A180" i="3"/>
  <c r="B179" i="3"/>
  <c r="A179" i="3"/>
  <c r="A176" i="3"/>
  <c r="B176" i="3"/>
  <c r="A168" i="3"/>
  <c r="B178" i="3" l="1"/>
  <c r="A126" i="3" l="1"/>
  <c r="B126" i="3"/>
  <c r="A167" i="3"/>
  <c r="B166" i="3"/>
  <c r="A166" i="3"/>
  <c r="B162" i="3"/>
  <c r="A162" i="3"/>
  <c r="A161" i="3"/>
  <c r="B160" i="3"/>
  <c r="A160" i="3"/>
  <c r="B159" i="3"/>
  <c r="A159" i="3"/>
  <c r="B158" i="3"/>
  <c r="A158" i="3"/>
  <c r="B150" i="3"/>
  <c r="B151" i="3"/>
  <c r="B152" i="3"/>
  <c r="B153" i="3"/>
  <c r="B154" i="3"/>
  <c r="B155" i="3"/>
  <c r="B156" i="3"/>
  <c r="B157" i="3"/>
  <c r="A149" i="3"/>
  <c r="A150" i="3"/>
  <c r="A151" i="3"/>
  <c r="A152" i="3"/>
  <c r="A153" i="3"/>
  <c r="A154" i="3"/>
  <c r="A155" i="3"/>
  <c r="A156" i="3"/>
  <c r="A157" i="3"/>
  <c r="B149" i="3"/>
  <c r="A148" i="3"/>
  <c r="A169" i="3"/>
  <c r="B148" i="3"/>
  <c r="B141" i="3" l="1"/>
  <c r="A141" i="3"/>
  <c r="B140" i="3"/>
  <c r="A140" i="3"/>
  <c r="A125" i="3"/>
  <c r="B125" i="3"/>
  <c r="A124" i="3" l="1"/>
  <c r="B124" i="3"/>
  <c r="A94" i="3"/>
  <c r="B94" i="3"/>
  <c r="A51" i="4" l="1"/>
  <c r="B51" i="4"/>
  <c r="A52" i="4"/>
  <c r="B52" i="4"/>
  <c r="A53" i="4"/>
  <c r="B53" i="4"/>
  <c r="A54" i="4"/>
  <c r="B54" i="4"/>
  <c r="A95" i="3" l="1"/>
  <c r="B18" i="3" l="1"/>
  <c r="A18" i="3"/>
  <c r="B17" i="3" l="1"/>
  <c r="A17" i="3"/>
  <c r="A63" i="3" l="1"/>
  <c r="A8" i="4" l="1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5" i="4"/>
  <c r="A56" i="4"/>
  <c r="A58" i="4"/>
  <c r="A59" i="4"/>
  <c r="A60" i="4"/>
  <c r="A61" i="4"/>
  <c r="A62" i="4"/>
  <c r="A63" i="4"/>
  <c r="A64" i="4"/>
  <c r="A65" i="4"/>
  <c r="A66" i="4"/>
  <c r="A67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5" i="3" l="1"/>
  <c r="B5" i="3"/>
  <c r="A6" i="3"/>
  <c r="B6" i="3"/>
  <c r="A7" i="3"/>
  <c r="B7" i="3"/>
  <c r="A8" i="3"/>
  <c r="B8" i="3"/>
  <c r="A9" i="3"/>
  <c r="B9" i="3"/>
  <c r="A10" i="3"/>
  <c r="B10" i="3"/>
  <c r="A11" i="3"/>
  <c r="B11" i="3"/>
  <c r="A14" i="3"/>
  <c r="B14" i="3"/>
  <c r="A15" i="3"/>
  <c r="B15" i="3"/>
  <c r="A16" i="3"/>
  <c r="A19" i="3"/>
  <c r="B19" i="3"/>
  <c r="A20" i="3"/>
  <c r="B20" i="3"/>
  <c r="A21" i="3"/>
  <c r="B21" i="3"/>
  <c r="A22" i="3"/>
  <c r="B22" i="3"/>
  <c r="A24" i="3"/>
  <c r="B24" i="3"/>
  <c r="A25" i="3"/>
  <c r="B25" i="3"/>
  <c r="A26" i="3"/>
  <c r="B26" i="3"/>
  <c r="A28" i="3"/>
  <c r="B28" i="3"/>
  <c r="A29" i="3"/>
  <c r="B29" i="3"/>
  <c r="A30" i="3"/>
  <c r="B30" i="3"/>
  <c r="A31" i="3"/>
  <c r="B31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A45" i="3"/>
  <c r="B45" i="3"/>
  <c r="A46" i="3"/>
  <c r="B46" i="3"/>
  <c r="A47" i="3"/>
  <c r="B47" i="3"/>
  <c r="A48" i="3"/>
  <c r="B48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B63" i="3"/>
  <c r="A64" i="3"/>
  <c r="B64" i="3"/>
  <c r="A65" i="3"/>
  <c r="A66" i="3"/>
  <c r="B66" i="3"/>
  <c r="A67" i="3"/>
  <c r="B67" i="3"/>
  <c r="A71" i="3"/>
  <c r="B71" i="3"/>
  <c r="A72" i="3"/>
  <c r="B72" i="3"/>
  <c r="A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90" i="3"/>
  <c r="B90" i="3"/>
  <c r="A91" i="3"/>
  <c r="B91" i="3"/>
  <c r="A92" i="3"/>
  <c r="B92" i="3"/>
  <c r="A93" i="3"/>
  <c r="B93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8" i="3"/>
  <c r="B108" i="3"/>
  <c r="A109" i="3"/>
  <c r="B109" i="3"/>
  <c r="A110" i="3"/>
  <c r="A111" i="3"/>
  <c r="B111" i="3"/>
  <c r="A112" i="3"/>
  <c r="B112" i="3"/>
  <c r="A113" i="3"/>
  <c r="B113" i="3"/>
  <c r="A114" i="3"/>
  <c r="B114" i="3"/>
  <c r="A115" i="3"/>
  <c r="B115" i="3"/>
  <c r="A116" i="3"/>
  <c r="B116" i="3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2" i="3"/>
  <c r="B142" i="3"/>
  <c r="A143" i="3"/>
  <c r="B143" i="3"/>
  <c r="A144" i="3"/>
  <c r="B144" i="3"/>
  <c r="A145" i="3"/>
  <c r="B145" i="3"/>
  <c r="A146" i="3"/>
  <c r="B146" i="3"/>
  <c r="A147" i="3"/>
  <c r="B147" i="3"/>
  <c r="B169" i="3"/>
  <c r="A170" i="3"/>
  <c r="B170" i="3"/>
  <c r="A171" i="3"/>
  <c r="B171" i="3"/>
  <c r="A172" i="3"/>
  <c r="B172" i="3"/>
  <c r="A173" i="3"/>
  <c r="B173" i="3"/>
  <c r="A174" i="3"/>
  <c r="B174" i="3"/>
  <c r="A175" i="3"/>
  <c r="B175" i="3"/>
  <c r="A177" i="3"/>
  <c r="B177" i="3"/>
  <c r="A178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7" i="3"/>
  <c r="B197" i="3"/>
  <c r="A198" i="3"/>
  <c r="A199" i="3"/>
  <c r="B199" i="3"/>
  <c r="A200" i="3"/>
  <c r="B200" i="3"/>
  <c r="A201" i="3"/>
  <c r="B201" i="3"/>
  <c r="A202" i="3"/>
  <c r="B202" i="3"/>
  <c r="A203" i="3"/>
  <c r="B203" i="3"/>
  <c r="A204" i="3"/>
  <c r="B204" i="3"/>
  <c r="A205" i="3"/>
  <c r="B205" i="3"/>
  <c r="A208" i="3"/>
  <c r="B208" i="3"/>
  <c r="A209" i="3"/>
  <c r="B209" i="3"/>
  <c r="A210" i="3"/>
  <c r="B210" i="3"/>
  <c r="A211" i="3"/>
  <c r="B211" i="3"/>
  <c r="A212" i="3"/>
  <c r="B212" i="3"/>
  <c r="A213" i="3"/>
  <c r="B213" i="3"/>
  <c r="A221" i="3"/>
  <c r="B221" i="3"/>
  <c r="A222" i="3"/>
  <c r="B222" i="3"/>
  <c r="A223" i="3"/>
  <c r="A224" i="3"/>
  <c r="B224" i="3"/>
  <c r="A225" i="3"/>
  <c r="B225" i="3"/>
  <c r="A226" i="3"/>
  <c r="B226" i="3"/>
  <c r="A227" i="3"/>
  <c r="B227" i="3"/>
  <c r="A228" i="3"/>
  <c r="B228" i="3"/>
  <c r="A229" i="3"/>
  <c r="B229" i="3"/>
  <c r="A230" i="3"/>
  <c r="B230" i="3"/>
  <c r="A231" i="3"/>
  <c r="B231" i="3"/>
  <c r="A232" i="3"/>
  <c r="B232" i="3"/>
  <c r="A233" i="3"/>
  <c r="B233" i="3"/>
  <c r="A234" i="3"/>
  <c r="B234" i="3"/>
  <c r="A235" i="3"/>
  <c r="B235" i="3"/>
  <c r="A237" i="3"/>
  <c r="B237" i="3"/>
  <c r="A4" i="3"/>
  <c r="B4" i="3"/>
  <c r="A7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5" i="4"/>
  <c r="B56" i="4"/>
  <c r="B58" i="4"/>
  <c r="B59" i="4"/>
  <c r="B60" i="4"/>
  <c r="B61" i="4"/>
  <c r="B62" i="4"/>
  <c r="B63" i="4"/>
  <c r="B64" i="4"/>
  <c r="B65" i="4"/>
  <c r="B66" i="4"/>
  <c r="B67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K2" i="3" l="1"/>
  <c r="M2" i="4" l="1"/>
  <c r="K2" i="4" l="1"/>
  <c r="M2" i="3"/>
  <c r="L2" i="3"/>
  <c r="O2" i="4" l="1"/>
  <c r="N2" i="3"/>
  <c r="N2" i="4"/>
  <c r="F22" i="1" l="1"/>
  <c r="F16" i="1"/>
</calcChain>
</file>

<file path=xl/sharedStrings.xml><?xml version="1.0" encoding="utf-8"?>
<sst xmlns="http://schemas.openxmlformats.org/spreadsheetml/2006/main" count="696" uniqueCount="503">
  <si>
    <t>Camduct 40th week IGR details</t>
  </si>
  <si>
    <t>Sl No</t>
  </si>
  <si>
    <t>Supplier name</t>
  </si>
  <si>
    <t>Invoice no &amp; date</t>
  </si>
  <si>
    <t>IGR NO &amp; DATE</t>
  </si>
  <si>
    <t>Value</t>
  </si>
  <si>
    <t>Sheela foam ltd</t>
  </si>
  <si>
    <t>7621/29.9.18</t>
  </si>
  <si>
    <t>181/01.10.18</t>
  </si>
  <si>
    <t>LR Multi speciality products</t>
  </si>
  <si>
    <t>0311/1.10.18</t>
  </si>
  <si>
    <t>182/01.10.18</t>
  </si>
  <si>
    <t>Shree jashraj insulation</t>
  </si>
  <si>
    <t>0130/1.10.18</t>
  </si>
  <si>
    <t>183/1.10.18</t>
  </si>
  <si>
    <t>Horizen inc</t>
  </si>
  <si>
    <t>1046/1.10.18</t>
  </si>
  <si>
    <t>184/1.10.18</t>
  </si>
  <si>
    <t>Kaveri corner hardware &amp; tools</t>
  </si>
  <si>
    <t>2574/1.10.18</t>
  </si>
  <si>
    <t>185/1.10.18</t>
  </si>
  <si>
    <t>0136/3.10.18</t>
  </si>
  <si>
    <t>186/3.10.18</t>
  </si>
  <si>
    <t>Hitech air power pvt ltd</t>
  </si>
  <si>
    <t>181181/3.10.18</t>
  </si>
  <si>
    <t>187/3.10.18</t>
  </si>
  <si>
    <t>Total</t>
  </si>
  <si>
    <t>Camduct 40th week BPR details</t>
  </si>
  <si>
    <t>BPR NO &amp; DATE</t>
  </si>
  <si>
    <t>Aishwarya security services</t>
  </si>
  <si>
    <t>484/1.10.18</t>
  </si>
  <si>
    <t>OCT001</t>
  </si>
  <si>
    <t>Srinidhi enterprices</t>
  </si>
  <si>
    <t>222/30.9.18</t>
  </si>
  <si>
    <t>OCT002</t>
  </si>
  <si>
    <t xml:space="preserve">BPR NO </t>
  </si>
  <si>
    <t>Remarks</t>
  </si>
  <si>
    <t>Description</t>
  </si>
  <si>
    <t>Transport</t>
  </si>
  <si>
    <t>Taxable value</t>
  </si>
  <si>
    <t>Igst @18%</t>
  </si>
  <si>
    <t>cgst @9%</t>
  </si>
  <si>
    <t>Sgst @9%</t>
  </si>
  <si>
    <t>Labour Charges</t>
  </si>
  <si>
    <t>Material value</t>
  </si>
  <si>
    <t>Taxable Rate</t>
  </si>
  <si>
    <t>IGST @18%</t>
  </si>
  <si>
    <t>Particulars</t>
  </si>
  <si>
    <t>Invoice Value</t>
  </si>
  <si>
    <t>Contractor name</t>
  </si>
  <si>
    <t>SI NO</t>
  </si>
  <si>
    <t>MONTH</t>
  </si>
  <si>
    <t>Date</t>
  </si>
  <si>
    <t>IGR NO</t>
  </si>
  <si>
    <t>April</t>
  </si>
  <si>
    <t>Grand Total</t>
  </si>
  <si>
    <t>Month</t>
  </si>
  <si>
    <t>IGR</t>
  </si>
  <si>
    <t>BPR</t>
  </si>
  <si>
    <t>Total  Invoice's Value</t>
  </si>
  <si>
    <t>Aloukik Agencies</t>
  </si>
  <si>
    <t>TCS</t>
  </si>
  <si>
    <t>INWARD GOOD RECEIPT DETAILS FY 2023-24</t>
  </si>
  <si>
    <t>BPR DETAILS FY 2023-24</t>
  </si>
  <si>
    <t>001/23-24</t>
  </si>
  <si>
    <t>HA044</t>
  </si>
  <si>
    <t>Supreme 9mm - 528 Sqm</t>
  </si>
  <si>
    <t>002/23-24</t>
  </si>
  <si>
    <t>SBSI/2023-24/987</t>
  </si>
  <si>
    <t>SBS Industries</t>
  </si>
  <si>
    <t>Hydralic Cylinder &amp; Accessories</t>
  </si>
  <si>
    <t>003/23-24</t>
  </si>
  <si>
    <t>Shri Sumukha Industries</t>
  </si>
  <si>
    <t>Seam Clousure Parts - 18 nos</t>
  </si>
  <si>
    <t>004/23-24</t>
  </si>
  <si>
    <t>Seam Clousure Parts - 42 nos</t>
  </si>
  <si>
    <t>APR001/23-24</t>
  </si>
  <si>
    <t>Sanair Conditioners</t>
  </si>
  <si>
    <t>Air Compressor Copper Piping Work</t>
  </si>
  <si>
    <t>005/23-24</t>
  </si>
  <si>
    <t>The Supreme Industries Limited</t>
  </si>
  <si>
    <t>9mm- 528 Sqm, 13mm - 520.8 Sqm, 10mm - 204 Sqmt &amp; 15mm- 272 Sqmt</t>
  </si>
  <si>
    <t>M12300000021/04.04.2023</t>
  </si>
  <si>
    <t>006/23-24</t>
  </si>
  <si>
    <t>INV006/22-23</t>
  </si>
  <si>
    <t>PSI Global</t>
  </si>
  <si>
    <t xml:space="preserve">Compressor Kit Purchased </t>
  </si>
  <si>
    <t>007/23-24</t>
  </si>
  <si>
    <t>2324MSC0098</t>
  </si>
  <si>
    <t>Meenakshi Steel Corporation</t>
  </si>
  <si>
    <t>0.8mm - 9905 Kgs, 0.6 mm - 11290 Kgs &amp; 1.2mm - 3965 Kgs</t>
  </si>
  <si>
    <t>DN/Sales/001</t>
  </si>
  <si>
    <t>Debit Note (Rate Difference)</t>
  </si>
  <si>
    <t>008/23-24</t>
  </si>
  <si>
    <t>2324MSC0101</t>
  </si>
  <si>
    <t>0.6mm - 11400 Kgs &amp; 0.8mm - 10900 Kgs</t>
  </si>
  <si>
    <t>009/23-24</t>
  </si>
  <si>
    <t>Roller Block Bottom - 1nos</t>
  </si>
  <si>
    <t>010/23-24</t>
  </si>
  <si>
    <t>LRM/0068/23-24</t>
  </si>
  <si>
    <t>LR Multi Speciality Products</t>
  </si>
  <si>
    <t>Stretch Film - 373.05 Kgs</t>
  </si>
  <si>
    <t>011/23-24</t>
  </si>
  <si>
    <t>23-24/0126</t>
  </si>
  <si>
    <t>Shree Jashraj Insulation</t>
  </si>
  <si>
    <t>09mm - 4347.5 Sqmt &amp; 25mm - 504 Sqmt</t>
  </si>
  <si>
    <t>012/23-24</t>
  </si>
  <si>
    <t>SBSI/2023-24/999</t>
  </si>
  <si>
    <t>Line Mounted Section Strainer - 1 nos</t>
  </si>
  <si>
    <t>013/23-24</t>
  </si>
  <si>
    <t>1024/ITBR2324</t>
  </si>
  <si>
    <t>Binary Systems Pvt Ltd</t>
  </si>
  <si>
    <t>Switch 24 -Port Giabit Unmanaged - 1 nos</t>
  </si>
  <si>
    <t>014/23-24</t>
  </si>
  <si>
    <t>23-24/0168</t>
  </si>
  <si>
    <t>09mm - 658 Sqmt</t>
  </si>
  <si>
    <t>015/23-24</t>
  </si>
  <si>
    <t>HRP/00030/23-24</t>
  </si>
  <si>
    <t>HR Precisions</t>
  </si>
  <si>
    <t>20g Corners - 25000 nos</t>
  </si>
  <si>
    <t>016/23-24</t>
  </si>
  <si>
    <t>KM/03248/2023-24</t>
  </si>
  <si>
    <t>Kothari Metals</t>
  </si>
  <si>
    <t>MS Square Tube - 42 Length</t>
  </si>
  <si>
    <t>017/23-24</t>
  </si>
  <si>
    <t>ET-2023-24/0179</t>
  </si>
  <si>
    <t>Elegant Traders</t>
  </si>
  <si>
    <t>Duct support stand Parts purchased</t>
  </si>
  <si>
    <t>018/23-24</t>
  </si>
  <si>
    <t>HRP/00032/23-24</t>
  </si>
  <si>
    <t>019/23-24</t>
  </si>
  <si>
    <t>Industrial Marketing</t>
  </si>
  <si>
    <t>Seal Kit for 100mm Eco Cylinder - 3 nos</t>
  </si>
  <si>
    <t>020/23-24</t>
  </si>
  <si>
    <t>HA348</t>
  </si>
  <si>
    <t>19mm - 132 Sqmr</t>
  </si>
  <si>
    <t>APR002/23-24</t>
  </si>
  <si>
    <t>The Professional Couriers</t>
  </si>
  <si>
    <t>HRD232/01.04.2023</t>
  </si>
  <si>
    <t>Courier Charges</t>
  </si>
  <si>
    <t>For the month of Mar 2023</t>
  </si>
  <si>
    <t>APR003/23-24</t>
  </si>
  <si>
    <t>Sri Venkateshwara Enterprises</t>
  </si>
  <si>
    <t>Co2 Cylinder</t>
  </si>
  <si>
    <t>2 nos</t>
  </si>
  <si>
    <t>APR004/23-24</t>
  </si>
  <si>
    <t>Cartridge Plus</t>
  </si>
  <si>
    <t>0091/21.04.2023</t>
  </si>
  <si>
    <t>Printing Charges</t>
  </si>
  <si>
    <t>Cartridge refilling - 3 unit</t>
  </si>
  <si>
    <t>APR005/23-24</t>
  </si>
  <si>
    <t>P. Venkatesh &amp; Associates</t>
  </si>
  <si>
    <t>Professional Fees</t>
  </si>
  <si>
    <t>MSME Half Yearly Returns as on 31/03/2023</t>
  </si>
  <si>
    <t>021/23-24</t>
  </si>
  <si>
    <t>Hardware Junction</t>
  </si>
  <si>
    <t>Hardware Material</t>
  </si>
  <si>
    <t>022/23-24</t>
  </si>
  <si>
    <t>023/23-24</t>
  </si>
  <si>
    <t>10549/23.04.2023</t>
  </si>
  <si>
    <t>10550/23.04.2023</t>
  </si>
  <si>
    <t>024/23-24</t>
  </si>
  <si>
    <t>013/27.04.2023</t>
  </si>
  <si>
    <t>Neha Graphics</t>
  </si>
  <si>
    <t>A4 Size Die Stickers - 5000 nos</t>
  </si>
  <si>
    <t>025/23-24</t>
  </si>
  <si>
    <t>Urja Sealants Pvt Ltd</t>
  </si>
  <si>
    <t>Sealant Tube - 200 nos &amp; Bucket - 100 Kgs</t>
  </si>
  <si>
    <t>026/23-24</t>
  </si>
  <si>
    <t>23-24/0261</t>
  </si>
  <si>
    <t>25mm Acoustic - 210 Sqmt</t>
  </si>
  <si>
    <t>027/23-24</t>
  </si>
  <si>
    <t>Da Cylinder SC100mm - 1 nos</t>
  </si>
  <si>
    <t>028/23-24</t>
  </si>
  <si>
    <t>JR &amp; Company</t>
  </si>
  <si>
    <t>0.6 mm - 6210 Kgs</t>
  </si>
  <si>
    <t>029/23-24</t>
  </si>
  <si>
    <t>0.8mm-6440 Kgs &amp; 1.0mm - 5160 Kgs</t>
  </si>
  <si>
    <t>030/23-24</t>
  </si>
  <si>
    <t>HA552</t>
  </si>
  <si>
    <t>19mm - 180 Sqmt</t>
  </si>
  <si>
    <t>May</t>
  </si>
  <si>
    <t>APR006/23-24</t>
  </si>
  <si>
    <t>Rajeev H M</t>
  </si>
  <si>
    <t>22-23</t>
  </si>
  <si>
    <t>Consultation Fees for implementation of ISO 900:2015 Cert.</t>
  </si>
  <si>
    <t>APR007/23-24</t>
  </si>
  <si>
    <t>Sri Veerabhadraswamy Transport</t>
  </si>
  <si>
    <t>0005/30.04.2023</t>
  </si>
  <si>
    <t>Carriage Outward</t>
  </si>
  <si>
    <t>for the month of Apr 2023</t>
  </si>
  <si>
    <t>APR008/23-24</t>
  </si>
  <si>
    <t>HRD233508/30.04.2023</t>
  </si>
  <si>
    <t>MAY001/23-24</t>
  </si>
  <si>
    <t>Aishwarya Security Services</t>
  </si>
  <si>
    <t>Aiss/23-24/21</t>
  </si>
  <si>
    <t>Security  Service Charges</t>
  </si>
  <si>
    <t>MAY002/23-24</t>
  </si>
  <si>
    <t>SME Network</t>
  </si>
  <si>
    <t>0186/GST/23-24</t>
  </si>
  <si>
    <t>IEC Modification ( Import &amp; Export Certi)</t>
  </si>
  <si>
    <t>MAY003/23-24</t>
  </si>
  <si>
    <t>Cleanway Management Systems (India) Pvt Ltd</t>
  </si>
  <si>
    <t>CMS/0111</t>
  </si>
  <si>
    <t>Salary Maintenance</t>
  </si>
  <si>
    <t>MAY004/23-24</t>
  </si>
  <si>
    <t>Nikhila Engineering</t>
  </si>
  <si>
    <t>Rakon Project</t>
  </si>
  <si>
    <t>MAY005/23-24</t>
  </si>
  <si>
    <t>Outside Insulation Job</t>
  </si>
  <si>
    <t>KH Manipal Project - 647.8 Sqmt</t>
  </si>
  <si>
    <t>MAY006/23-24</t>
  </si>
  <si>
    <t>Tamara bengaluru Project - 115.2 Sqmt</t>
  </si>
  <si>
    <t>MAY007/23-24</t>
  </si>
  <si>
    <t>We Work Project - 1267 Sqmt</t>
  </si>
  <si>
    <t>APR009/23-24</t>
  </si>
  <si>
    <t>Suresh Travel</t>
  </si>
  <si>
    <t>934/22-23</t>
  </si>
  <si>
    <t>Taxi Hire Charges</t>
  </si>
  <si>
    <t>for the month of Apr 2023 (Ravishankar &amp; Auditor)</t>
  </si>
  <si>
    <t>MAY008/23-24</t>
  </si>
  <si>
    <t>Knnd, Climatics &amp;  Welkin -1431.1 Sqmt</t>
  </si>
  <si>
    <t>MAY009/23-24</t>
  </si>
  <si>
    <t>MAHE Project - 1437.7 Sqmt</t>
  </si>
  <si>
    <t>MAY010/23-24</t>
  </si>
  <si>
    <t>Yes24 Guarding &amp; Facility Solutions Pvt Ltd</t>
  </si>
  <si>
    <t>YES24/08797</t>
  </si>
  <si>
    <t>MAY011/23-24</t>
  </si>
  <si>
    <t>SBM Engineering  Works</t>
  </si>
  <si>
    <t>Outside Jobwork</t>
  </si>
  <si>
    <t>Lath working</t>
  </si>
  <si>
    <t>031/23-24</t>
  </si>
  <si>
    <t>0.6mm - 22560 KGs</t>
  </si>
  <si>
    <t>032/23-24</t>
  </si>
  <si>
    <t>0.8mm - 8855 Kgs &amp; 0.6mm-11335 Kgs</t>
  </si>
  <si>
    <t>033/23-24</t>
  </si>
  <si>
    <t>HA593</t>
  </si>
  <si>
    <t>16mm - 374.4 Sqmt</t>
  </si>
  <si>
    <t>MAY012/23-24</t>
  </si>
  <si>
    <t>Nandini Milk Parlour</t>
  </si>
  <si>
    <t>Butter Milk</t>
  </si>
  <si>
    <t>19/04/2023 to 15/05/2023 - 1010 nos</t>
  </si>
  <si>
    <t>034/23-24</t>
  </si>
  <si>
    <t>DA Cylinder SC100mm - 1 nos &amp; Others</t>
  </si>
  <si>
    <t>035/23-24</t>
  </si>
  <si>
    <t>036/23-24</t>
  </si>
  <si>
    <t>AVK-083-23-24</t>
  </si>
  <si>
    <t>AVK Industrial Supplies</t>
  </si>
  <si>
    <t>SRT Wheel - 10 nos</t>
  </si>
  <si>
    <t>037/23-24</t>
  </si>
  <si>
    <t>261/2023</t>
  </si>
  <si>
    <t>Ananth Technodes</t>
  </si>
  <si>
    <t>428699 - Kit</t>
  </si>
  <si>
    <t>038/23-24</t>
  </si>
  <si>
    <t>Toolings Ocean</t>
  </si>
  <si>
    <t>Gear 150 Dia - 1000 nos</t>
  </si>
  <si>
    <t>039/23-24</t>
  </si>
  <si>
    <t>ET-2023-24/0621</t>
  </si>
  <si>
    <t>040/23-24</t>
  </si>
  <si>
    <t>Jindal Aluminium Limited</t>
  </si>
  <si>
    <t>103.5x15.2x1.1 Air Grill Section - 514.75 Kgs</t>
  </si>
  <si>
    <t>041/23-24</t>
  </si>
  <si>
    <t>KM/03355/2023-24</t>
  </si>
  <si>
    <t>042/23-24</t>
  </si>
  <si>
    <t>Seal Kit for 100mm Eco Cylinder - 1 nos</t>
  </si>
  <si>
    <t>043/23-24</t>
  </si>
  <si>
    <t>23-24/0482</t>
  </si>
  <si>
    <t>25mm Acoustic - 238 Sqmt</t>
  </si>
  <si>
    <t>044/23-24</t>
  </si>
  <si>
    <t>Seam Clousure Parts - 22 nos</t>
  </si>
  <si>
    <t>045/23-24</t>
  </si>
  <si>
    <t>2022-02-01-03-R - 1 nos</t>
  </si>
  <si>
    <t>046/23-24</t>
  </si>
  <si>
    <t>Sri Arihant Industries</t>
  </si>
  <si>
    <t>6mm - 720 Sqmt, 9mm - 648 Sqmt &amp; 15mm - 252 Sqmt</t>
  </si>
  <si>
    <t>047/23-24</t>
  </si>
  <si>
    <t>SAI2064/23-24</t>
  </si>
  <si>
    <t>SAI1935/23-24</t>
  </si>
  <si>
    <t>15mm - 480 Sqmt</t>
  </si>
  <si>
    <t>048/23-24</t>
  </si>
  <si>
    <t>HRP/00160/23-24</t>
  </si>
  <si>
    <t>GI Corners - 13500 nos</t>
  </si>
  <si>
    <t>049/23-24</t>
  </si>
  <si>
    <t>HRP/00161/23-24</t>
  </si>
  <si>
    <t>Damper Lever - 10mm - 1000 nos</t>
  </si>
  <si>
    <t>050/23-24</t>
  </si>
  <si>
    <t>PCT/0189/23-24</t>
  </si>
  <si>
    <t>Power Care Technologies</t>
  </si>
  <si>
    <t>Microtek Legend UPS - 1nos</t>
  </si>
  <si>
    <t>051/23-24</t>
  </si>
  <si>
    <t>New Mataji Electricals</t>
  </si>
  <si>
    <t>Electric Material Purchased</t>
  </si>
  <si>
    <t>052/23-24</t>
  </si>
  <si>
    <t>SAI2231/23-24</t>
  </si>
  <si>
    <t>19mm Alu. -216 Sqmt &amp; 13mm - 974.4 Sqmt</t>
  </si>
  <si>
    <t>053/23-24</t>
  </si>
  <si>
    <t>HA1101</t>
  </si>
  <si>
    <t>9mm-1008 Sqmt &amp; 15mm - 120 Sqmt</t>
  </si>
  <si>
    <t>054/23-24</t>
  </si>
  <si>
    <t>HRP/00187/23-24</t>
  </si>
  <si>
    <t>GI Corners - 18000 nos</t>
  </si>
  <si>
    <t>055/23-24</t>
  </si>
  <si>
    <t>HRP/00188/23-24</t>
  </si>
  <si>
    <t>Damper Lever - 10mm - 700 nos</t>
  </si>
  <si>
    <t>MAY013/23-24</t>
  </si>
  <si>
    <t>SMS Automobiles</t>
  </si>
  <si>
    <t xml:space="preserve">SMS-I01873 </t>
  </si>
  <si>
    <t>Car Service</t>
  </si>
  <si>
    <t>Painting &amp; Denting Charges</t>
  </si>
  <si>
    <t>MAY014/23-24</t>
  </si>
  <si>
    <t>Maruthi Service Station</t>
  </si>
  <si>
    <t>00166</t>
  </si>
  <si>
    <t>Petrol</t>
  </si>
  <si>
    <t>10 Ltrs</t>
  </si>
  <si>
    <t>MAY015/23-24</t>
  </si>
  <si>
    <t>Jupiter &amp; Company</t>
  </si>
  <si>
    <t>0115/2023-24</t>
  </si>
  <si>
    <t>Labour Compliance Fees May 2023</t>
  </si>
  <si>
    <t>MAY016/23-24</t>
  </si>
  <si>
    <t>0018</t>
  </si>
  <si>
    <t>for the month of May 2023</t>
  </si>
  <si>
    <t>MAY017/23-24</t>
  </si>
  <si>
    <t>16/05/2023 to 31/05/2023 - 660 nos</t>
  </si>
  <si>
    <t>MAY018/23-24</t>
  </si>
  <si>
    <t>HRD236600</t>
  </si>
  <si>
    <t>Aiss/23-244/200</t>
  </si>
  <si>
    <t>JUN001/23-24</t>
  </si>
  <si>
    <t>JUN002/23-24</t>
  </si>
  <si>
    <t>We Work Project - 2583.8 Sqmt</t>
  </si>
  <si>
    <t>JUN003/23-24</t>
  </si>
  <si>
    <t>MHB - 692.8 Sqmt</t>
  </si>
  <si>
    <t>JUN004/23-24</t>
  </si>
  <si>
    <t>Nitte Karkala - 466.9 Sqmt</t>
  </si>
  <si>
    <t>JUN005/23-24</t>
  </si>
  <si>
    <t>Jayalaxmi - 727.9 Sqmt</t>
  </si>
  <si>
    <t>JUN006/23-24</t>
  </si>
  <si>
    <t>Capricot Technologies Pvt Ltd</t>
  </si>
  <si>
    <t>Email Migration &amp; Renewal</t>
  </si>
  <si>
    <t>29-05-2023 to 28-05-2024</t>
  </si>
  <si>
    <t>JUN007/23-24</t>
  </si>
  <si>
    <t>CMS/0265</t>
  </si>
  <si>
    <t>JUN008/23-24</t>
  </si>
  <si>
    <t>Seam Closer machine Parts</t>
  </si>
  <si>
    <t>JUN009/23-24</t>
  </si>
  <si>
    <t>YES24/08971</t>
  </si>
  <si>
    <t>JUN010/23-24</t>
  </si>
  <si>
    <t>1 nos</t>
  </si>
  <si>
    <t>JUN011/23-24</t>
  </si>
  <si>
    <t>JUN012/23-24</t>
  </si>
  <si>
    <t>4 nos</t>
  </si>
  <si>
    <t>JUN013/23-24</t>
  </si>
  <si>
    <t>Hydro Ion Pure Systems</t>
  </si>
  <si>
    <t>265/23-24</t>
  </si>
  <si>
    <t>Installation for AutoBleed System</t>
  </si>
  <si>
    <t>JUN014/23-24</t>
  </si>
  <si>
    <t>RBS IT Solutions</t>
  </si>
  <si>
    <t>RBS/181/23-24</t>
  </si>
  <si>
    <t>Tally Software</t>
  </si>
  <si>
    <t>JUN015/23-24</t>
  </si>
  <si>
    <t>JUN016/23-24</t>
  </si>
  <si>
    <t>056/23-24</t>
  </si>
  <si>
    <t>10831/26.06.23</t>
  </si>
  <si>
    <t>057/23-24</t>
  </si>
  <si>
    <t>10836/28.06.23</t>
  </si>
  <si>
    <t>June</t>
  </si>
  <si>
    <t>058/23-24</t>
  </si>
  <si>
    <t>1504/04.07.2023</t>
  </si>
  <si>
    <t>Classic Trading</t>
  </si>
  <si>
    <t>Bearing - 10 nos</t>
  </si>
  <si>
    <t>059/23-24</t>
  </si>
  <si>
    <t>HRP/00212/23-24</t>
  </si>
  <si>
    <t>Corners - 17550 nos</t>
  </si>
  <si>
    <t>060/23-24</t>
  </si>
  <si>
    <t>HRP/00213/23-24</t>
  </si>
  <si>
    <t>Damper Operation Lever 10mm - 300 nos</t>
  </si>
  <si>
    <t>061/23-24</t>
  </si>
  <si>
    <t>153/10.07.2023</t>
  </si>
  <si>
    <t>Supreme Home Appliances</t>
  </si>
  <si>
    <t>50 LPH Water Purifier &amp; RO Tank - 1 nos</t>
  </si>
  <si>
    <t>062/23-24</t>
  </si>
  <si>
    <t>SAI2613/23-24</t>
  </si>
  <si>
    <t>Nitrile Rubber 9mm - 720 Sqmt &amp; 13 mm - 420 Sqmt</t>
  </si>
  <si>
    <t>063/23-24</t>
  </si>
  <si>
    <t>MS2324/IN/10728</t>
  </si>
  <si>
    <t>Mandot Steel</t>
  </si>
  <si>
    <t>GI Coil 0.6 - 10440 Kgs</t>
  </si>
  <si>
    <t>MS2324/IN/10729</t>
  </si>
  <si>
    <t>GI Coil 0.8 - 5185 Kgs</t>
  </si>
  <si>
    <t>064/23-24</t>
  </si>
  <si>
    <t>065/23-24</t>
  </si>
  <si>
    <t>MS2324/IN/10750</t>
  </si>
  <si>
    <t>GI Coil 0.6 - 3530 Kgs</t>
  </si>
  <si>
    <t>066/23-24</t>
  </si>
  <si>
    <t>MS2324/IN/10751</t>
  </si>
  <si>
    <t>GI Coil 0.6 - 8645 Kgs &amp; 0.8mm - 7045 Kgs</t>
  </si>
  <si>
    <t>067/23-24</t>
  </si>
  <si>
    <t>23-24/0637</t>
  </si>
  <si>
    <t>Armasound ductliner 10mm - 204 Sqmt</t>
  </si>
  <si>
    <t>068/23-24</t>
  </si>
  <si>
    <t xml:space="preserve">TI/23-24/07 </t>
  </si>
  <si>
    <t>Shalan  Sales &amp; Services</t>
  </si>
  <si>
    <t>B&amp; R make ACOPOS Drive with cards - 01 Set</t>
  </si>
  <si>
    <t>069/23-24</t>
  </si>
  <si>
    <t>VP:023/23-24</t>
  </si>
  <si>
    <t>Vinayaka Plastics</t>
  </si>
  <si>
    <t>Gear - 458 nos, Bush Square - 2488 nos &amp; Bush Round - 2500 nos</t>
  </si>
  <si>
    <t>070/23-24</t>
  </si>
  <si>
    <t>232411269/15.07.2023</t>
  </si>
  <si>
    <t>Printer &amp; Automatic Sheet feeder - 1 nos</t>
  </si>
  <si>
    <t>071/23-24</t>
  </si>
  <si>
    <t>HA1398</t>
  </si>
  <si>
    <t>Nitrile Rubber 13mm - 336 Sqmt &amp; 16 mm - 14.4 Sqmt</t>
  </si>
  <si>
    <t>072/23-24</t>
  </si>
  <si>
    <t>SAI2855/23-24</t>
  </si>
  <si>
    <t>Nitrile Rubber Sheet Cl -1 15mm  - 240 Sqmt</t>
  </si>
  <si>
    <t>073/23-24</t>
  </si>
  <si>
    <t>MS/23-24/IN/10913</t>
  </si>
  <si>
    <t>GI Coil 0.6 - 5275 Kgs &amp; 0.8mm - 5075 Kgs</t>
  </si>
  <si>
    <t>074/23-24</t>
  </si>
  <si>
    <t>MS/23-24/IN/10985</t>
  </si>
  <si>
    <t>GI Coil 0.6 - 4135 Kgs, 0.8mm - 8230 Kgs &amp; 1.0mm - 5290 Kgs</t>
  </si>
  <si>
    <t>075/23-24</t>
  </si>
  <si>
    <t>SAI3021/23-24</t>
  </si>
  <si>
    <t>Nitrile Rubber Shee 16mm  - 100.8 Sqmt</t>
  </si>
  <si>
    <t>076/23-24</t>
  </si>
  <si>
    <t>HRP/00252/23-24</t>
  </si>
  <si>
    <t>Corners - 950 nos</t>
  </si>
  <si>
    <t>077/23-24</t>
  </si>
  <si>
    <t>HRP/00256/23-24</t>
  </si>
  <si>
    <t>Corners - 23800 nos</t>
  </si>
  <si>
    <t>078/23-24</t>
  </si>
  <si>
    <t>HRP/00257/23-24</t>
  </si>
  <si>
    <t>Damper Operation Lever 10mm - 1000 nos &amp; 13mm - 700 nos</t>
  </si>
  <si>
    <t>079/23-24</t>
  </si>
  <si>
    <t>HA1498</t>
  </si>
  <si>
    <t>Supreme 13mm - 823.2 Sqmt &amp; 16 mm - 187.2 Sqmt</t>
  </si>
  <si>
    <t>July</t>
  </si>
  <si>
    <t>JUN017/23-24</t>
  </si>
  <si>
    <t>Shandliya Softech Pvt Ltd</t>
  </si>
  <si>
    <t>INV0010-23/10.06.23</t>
  </si>
  <si>
    <t>Form 26Q4, 24Q4 &amp; 24Q2 Filling</t>
  </si>
  <si>
    <t>JUN018/23-24</t>
  </si>
  <si>
    <t>HRD237793</t>
  </si>
  <si>
    <t>for the month of Jun 2023</t>
  </si>
  <si>
    <t>JUN019/23-24</t>
  </si>
  <si>
    <t>0038/30.06.23</t>
  </si>
  <si>
    <t>JUN020/23-24</t>
  </si>
  <si>
    <t>0039/30.06.23</t>
  </si>
  <si>
    <t>JUN021/23-24</t>
  </si>
  <si>
    <t>0040/30.06.23</t>
  </si>
  <si>
    <t>Transportation Charges</t>
  </si>
  <si>
    <t>JUN022/23-24</t>
  </si>
  <si>
    <t>01/06/2023 to 20/06/2023 - 755 nos</t>
  </si>
  <si>
    <t>JUN023/23-24</t>
  </si>
  <si>
    <t>1021/23-24</t>
  </si>
  <si>
    <t>Ravi sir visited Kolar</t>
  </si>
  <si>
    <t>JUN024/23-24</t>
  </si>
  <si>
    <t>Armstrong International Consultants</t>
  </si>
  <si>
    <t>BLR/2023-24/0729</t>
  </si>
  <si>
    <t>Gratuity report consulting fees</t>
  </si>
  <si>
    <t>JUL001/23-24</t>
  </si>
  <si>
    <t>Aiss/23-24/383</t>
  </si>
  <si>
    <t>JUL002/23-24</t>
  </si>
  <si>
    <t>Yenepoya BCIT</t>
  </si>
  <si>
    <t>JUL003/23-24</t>
  </si>
  <si>
    <t>WE Work PTP - Jupiter</t>
  </si>
  <si>
    <t>JUL004/23-24</t>
  </si>
  <si>
    <t>MIT - AB5 Manipal</t>
  </si>
  <si>
    <t>JUL005/23-24</t>
  </si>
  <si>
    <t>Blood Sample Collection Area Manipal</t>
  </si>
  <si>
    <t>JUL006/23-24</t>
  </si>
  <si>
    <t>Waterproofing Insulation (Camduct Factory)</t>
  </si>
  <si>
    <t>JUL007/23-24</t>
  </si>
  <si>
    <t>012/05.07.23</t>
  </si>
  <si>
    <t>Installation and Shifting  Work</t>
  </si>
  <si>
    <t>JUL008/23-24</t>
  </si>
  <si>
    <t>Asta Engineering Solutions</t>
  </si>
  <si>
    <t>2023-24/019</t>
  </si>
  <si>
    <t>Biometric Installation</t>
  </si>
  <si>
    <t>JUL009/23-24</t>
  </si>
  <si>
    <t>2023-24/021</t>
  </si>
  <si>
    <t>CC TV Service</t>
  </si>
  <si>
    <t>CC TV  - 1 nos &amp; Service Charges</t>
  </si>
  <si>
    <t>JUL010/23-24</t>
  </si>
  <si>
    <t>00337</t>
  </si>
  <si>
    <t>Diesel for DG</t>
  </si>
  <si>
    <t>120 Ltrs</t>
  </si>
  <si>
    <t>JUL011/23-24</t>
  </si>
  <si>
    <t>YES24/09148</t>
  </si>
  <si>
    <t>JUL012/23-24</t>
  </si>
  <si>
    <t>YES24/09149</t>
  </si>
  <si>
    <t>Arrears for the month of Apr &amp; May 2023</t>
  </si>
  <si>
    <t>JUL013/23-24</t>
  </si>
  <si>
    <t>Catridge refilling - 3 nos &amp; Replacing pick up roller - 2 nos</t>
  </si>
  <si>
    <t>JUL014/23-24</t>
  </si>
  <si>
    <t>SAKACW/0075/2324</t>
  </si>
  <si>
    <t>JUL015/23-24</t>
  </si>
  <si>
    <t xml:space="preserve"> 2 nos</t>
  </si>
  <si>
    <t>JUL016/23-24</t>
  </si>
  <si>
    <t>Farmotex Solutions Private Limited</t>
  </si>
  <si>
    <t>042/27.07.23</t>
  </si>
  <si>
    <t>Service Charges</t>
  </si>
  <si>
    <t>Service for Controlled Voltage stabilizer - 3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</si>
</sst>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 Light"/>
      <family val="2"/>
    </font>
    <font>
      <sz val="11"/>
      <color theme="1"/>
      <name val="Calibri Light"/>
      <family val="2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-0.49998474074526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7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left"/>
    </xf>
    <xf numFmtId="0" fontId="0" fillId="0" borderId="0" xfId="0" applyFont="1" applyFill="1" applyBorder="1" applyAlignment="1">
      <alignment horizontal="right"/>
    </xf>
    <xf numFmtId="0" fontId="1" fillId="0" borderId="0" xfId="0" applyFont="1" applyFill="1" applyBorder="1" applyAlignment="1"/>
    <xf numFmtId="0" fontId="0" fillId="0" borderId="0" xfId="0" applyFill="1" applyBorder="1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5" fillId="3" borderId="10" xfId="0" applyFont="1" applyFill="1" applyBorder="1" applyAlignment="1" applyProtection="1">
      <alignment vertical="center"/>
    </xf>
    <xf numFmtId="0" fontId="5" fillId="3" borderId="10" xfId="0" applyFont="1" applyFill="1" applyBorder="1" applyAlignment="1" applyProtection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/>
    <xf numFmtId="164" fontId="0" fillId="0" borderId="14" xfId="1" applyFont="1" applyBorder="1" applyAlignment="1">
      <alignment horizontal="center"/>
    </xf>
    <xf numFmtId="164" fontId="0" fillId="0" borderId="14" xfId="1" applyFont="1" applyFill="1" applyBorder="1" applyAlignment="1">
      <alignment horizontal="center"/>
    </xf>
    <xf numFmtId="0" fontId="0" fillId="0" borderId="14" xfId="0" applyFill="1" applyBorder="1"/>
    <xf numFmtId="0" fontId="0" fillId="0" borderId="14" xfId="0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4" xfId="0" applyFont="1" applyBorder="1" applyAlignment="1">
      <alignment horizontal="left"/>
    </xf>
    <xf numFmtId="0" fontId="6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4" xfId="0" applyBorder="1" applyAlignment="1">
      <alignment horizontal="left"/>
    </xf>
    <xf numFmtId="14" fontId="0" fillId="0" borderId="14" xfId="0" applyNumberForma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7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/>
    </xf>
    <xf numFmtId="37" fontId="9" fillId="0" borderId="0" xfId="0" applyNumberFormat="1" applyFont="1" applyFill="1" applyBorder="1" applyAlignment="1">
      <alignment horizontal="center"/>
    </xf>
    <xf numFmtId="9" fontId="0" fillId="0" borderId="14" xfId="1" applyNumberFormat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4" xfId="1" applyNumberFormat="1" applyFont="1" applyBorder="1" applyAlignment="1">
      <alignment horizontal="center"/>
    </xf>
    <xf numFmtId="164" fontId="0" fillId="0" borderId="18" xfId="1" applyFont="1" applyBorder="1" applyAlignment="1">
      <alignment horizontal="left"/>
    </xf>
    <xf numFmtId="37" fontId="4" fillId="0" borderId="14" xfId="1" applyNumberFormat="1" applyFont="1" applyBorder="1" applyAlignment="1">
      <alignment horizontal="center"/>
    </xf>
    <xf numFmtId="0" fontId="0" fillId="0" borderId="18" xfId="0" applyBorder="1"/>
    <xf numFmtId="0" fontId="0" fillId="0" borderId="14" xfId="1" applyNumberFormat="1" applyFont="1" applyBorder="1" applyAlignment="1">
      <alignment horizontal="left"/>
    </xf>
    <xf numFmtId="164" fontId="0" fillId="0" borderId="14" xfId="1" applyFont="1" applyBorder="1" applyAlignment="1">
      <alignment horizontal="left"/>
    </xf>
    <xf numFmtId="0" fontId="0" fillId="0" borderId="15" xfId="0" applyBorder="1" applyAlignment="1">
      <alignment horizontal="left"/>
    </xf>
    <xf numFmtId="1" fontId="10" fillId="0" borderId="8" xfId="0" applyNumberFormat="1" applyFont="1" applyFill="1" applyBorder="1" applyAlignment="1">
      <alignment horizontal="center"/>
    </xf>
    <xf numFmtId="9" fontId="0" fillId="0" borderId="14" xfId="1" applyNumberFormat="1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/>
    </xf>
    <xf numFmtId="0" fontId="0" fillId="0" borderId="14" xfId="0" applyFont="1" applyBorder="1"/>
    <xf numFmtId="14" fontId="0" fillId="0" borderId="14" xfId="0" applyNumberFormat="1" applyFont="1" applyBorder="1" applyAlignment="1">
      <alignment horizontal="center" vertical="center"/>
    </xf>
    <xf numFmtId="0" fontId="0" fillId="0" borderId="14" xfId="0" applyNumberFormat="1" applyBorder="1" applyAlignment="1">
      <alignment horizontal="left"/>
    </xf>
    <xf numFmtId="9" fontId="0" fillId="0" borderId="14" xfId="2" applyFont="1" applyFill="1" applyBorder="1" applyAlignment="1">
      <alignment horizontal="center"/>
    </xf>
    <xf numFmtId="9" fontId="0" fillId="0" borderId="14" xfId="2" applyFont="1" applyBorder="1" applyAlignment="1">
      <alignment horizontal="center"/>
    </xf>
    <xf numFmtId="0" fontId="0" fillId="0" borderId="14" xfId="1" applyNumberFormat="1" applyFont="1" applyFill="1" applyBorder="1" applyAlignment="1">
      <alignment horizontal="left"/>
    </xf>
    <xf numFmtId="14" fontId="0" fillId="0" borderId="14" xfId="0" applyNumberFormat="1" applyBorder="1"/>
    <xf numFmtId="14" fontId="0" fillId="0" borderId="14" xfId="0" applyNumberFormat="1" applyBorder="1" applyAlignment="1">
      <alignment horizontal="left"/>
    </xf>
    <xf numFmtId="9" fontId="0" fillId="0" borderId="14" xfId="0" applyNumberFormat="1" applyBorder="1" applyAlignment="1">
      <alignment horizontal="center"/>
    </xf>
    <xf numFmtId="17" fontId="0" fillId="0" borderId="14" xfId="0" applyNumberFormat="1" applyBorder="1"/>
    <xf numFmtId="0" fontId="0" fillId="0" borderId="14" xfId="1" applyNumberFormat="1" applyFont="1" applyBorder="1" applyAlignment="1">
      <alignment horizontal="center"/>
    </xf>
    <xf numFmtId="0" fontId="0" fillId="0" borderId="18" xfId="1" applyNumberFormat="1" applyFont="1" applyBorder="1" applyAlignment="1">
      <alignment horizontal="center"/>
    </xf>
    <xf numFmtId="0" fontId="0" fillId="0" borderId="14" xfId="1" quotePrefix="1" applyNumberFormat="1" applyFont="1" applyBorder="1" applyAlignment="1">
      <alignment horizontal="center"/>
    </xf>
    <xf numFmtId="0" fontId="0" fillId="0" borderId="14" xfId="0" quotePrefix="1" applyBorder="1" applyAlignment="1">
      <alignment horizontal="center"/>
    </xf>
    <xf numFmtId="164" fontId="3" fillId="0" borderId="14" xfId="1" applyFont="1" applyBorder="1" applyAlignment="1">
      <alignment horizontal="center"/>
    </xf>
    <xf numFmtId="0" fontId="0" fillId="0" borderId="14" xfId="0" quotePrefix="1" applyFont="1" applyBorder="1" applyAlignment="1">
      <alignment horizontal="left"/>
    </xf>
    <xf numFmtId="0" fontId="12" fillId="0" borderId="0" xfId="0" applyFont="1"/>
    <xf numFmtId="0" fontId="13" fillId="7" borderId="0" xfId="0" applyFont="1" applyFill="1"/>
    <xf numFmtId="0" fontId="12" fillId="0" borderId="0" xfId="0" applyFont="1" applyAlignment="1">
      <alignment horizontal="left"/>
    </xf>
    <xf numFmtId="165" fontId="12" fillId="0" borderId="0" xfId="0" applyNumberFormat="1" applyFont="1"/>
    <xf numFmtId="0" fontId="13" fillId="7" borderId="0" xfId="0" applyFont="1" applyFill="1" applyAlignment="1">
      <alignment horizontal="left"/>
    </xf>
    <xf numFmtId="165" fontId="13" fillId="7" borderId="0" xfId="0" applyNumberFormat="1" applyFont="1" applyFill="1"/>
    <xf numFmtId="0" fontId="0" fillId="0" borderId="14" xfId="0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59"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  <dxf>
      <font>
        <color theme="0"/>
      </font>
    </dxf>
    <dxf>
      <font>
        <color theme="0"/>
      </font>
    </dxf>
    <dxf>
      <numFmt numFmtId="165" formatCode="_(* #,##0_);_(* \(#,##0\);_(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  <dxf>
      <font>
        <color theme="0"/>
      </font>
    </dxf>
    <dxf>
      <font>
        <color theme="0"/>
      </font>
    </dxf>
    <dxf>
      <numFmt numFmtId="165" formatCode="_(* #,##0_);_(* \(#,##0\);_(* &quot;-&quot;??_);_(@_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5" formatCode="_(* #,##0_);_(* \(#,##0\);_(* &quot;-&quot;??_);_(@_)"/>
    </dxf>
    <dxf>
      <font>
        <color theme="0"/>
      </font>
    </dxf>
    <dxf>
      <font>
        <color theme="0"/>
      </font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color theme="0"/>
      </font>
    </dxf>
    <dxf>
      <fill>
        <patternFill patternType="solid">
          <bgColor theme="3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23-07-31_%20IGR%20&amp;%20BPR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23-07-31_%20IGR%20&amp;%20BPR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138.455540393516" createdVersion="5" refreshedVersion="5" minRefreshableVersion="3" recordCount="508">
  <cacheSource type="worksheet">
    <worksheetSource ref="B3:P511" sheet="IGR" r:id="rId2"/>
  </cacheSource>
  <cacheFields count="15">
    <cacheField name="MONTH" numFmtId="0">
      <sharedItems containsBlank="1" count="6">
        <s v="April"/>
        <s v="May"/>
        <s v="June"/>
        <s v="July"/>
        <s v=""/>
        <m/>
      </sharedItems>
    </cacheField>
    <cacheField name="Date" numFmtId="14">
      <sharedItems containsNonDate="0" containsDate="1" containsString="0" containsBlank="1" minDate="2023-04-04T00:00:00" maxDate="2023-07-30T00:00:00"/>
    </cacheField>
    <cacheField name="IGR NO" numFmtId="0">
      <sharedItems containsBlank="1"/>
    </cacheField>
    <cacheField name="Invoice no &amp; date" numFmtId="0">
      <sharedItems containsBlank="1" containsMixedTypes="1" containsNumber="1" containsInteger="1" minValue="6" maxValue="2301003194"/>
    </cacheField>
    <cacheField name="Supplier name" numFmtId="0">
      <sharedItems containsBlank="1"/>
    </cacheField>
    <cacheField name="Description" numFmtId="0">
      <sharedItems containsBlank="1"/>
    </cacheField>
    <cacheField name="Material value" numFmtId="164">
      <sharedItems containsString="0" containsBlank="1" containsNumber="1" minValue="1638" maxValue="2081990"/>
    </cacheField>
    <cacheField name="Transport" numFmtId="164">
      <sharedItems containsString="0" containsBlank="1" containsNumber="1" containsInteger="1" minValue="0" maxValue="18870"/>
    </cacheField>
    <cacheField name="Labour Charges" numFmtId="164">
      <sharedItems containsString="0" containsBlank="1" containsNumber="1" minValue="0" maxValue="1029.5"/>
    </cacheField>
    <cacheField name="Taxable value" numFmtId="164">
      <sharedItems containsString="0" containsBlank="1" containsNumber="1" minValue="1638" maxValue="2100860"/>
    </cacheField>
    <cacheField name="Taxable Rate" numFmtId="9">
      <sharedItems containsString="0" containsBlank="1" containsNumber="1" minValue="0.18" maxValue="0.18"/>
    </cacheField>
    <cacheField name="Igst @18%" numFmtId="0">
      <sharedItems containsString="0" containsBlank="1" containsNumber="1" minValue="0" maxValue="73616.112000000008"/>
    </cacheField>
    <cacheField name="cgst @9%" numFmtId="164">
      <sharedItems containsString="0" containsBlank="1" containsNumber="1" minValue="0" maxValue="189077.4"/>
    </cacheField>
    <cacheField name="Sgst @9%" numFmtId="164">
      <sharedItems containsString="0" containsBlank="1" containsNumber="1" minValue="0" maxValue="189077.4"/>
    </cacheField>
    <cacheField name="Invoice Value" numFmtId="165">
      <sharedItems containsString="0" containsBlank="1" containsNumber="1" minValue="1932.8400000000001" maxValue="2479014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5138.471915393522" createdVersion="5" refreshedVersion="5" minRefreshableVersion="3" recordCount="398">
  <cacheSource type="worksheet">
    <worksheetSource ref="B3:O512" sheet="BPR" r:id="rId2"/>
  </cacheSource>
  <cacheFields count="14">
    <cacheField name="MONTH" numFmtId="0">
      <sharedItems containsBlank="1" count="6">
        <s v="April"/>
        <s v="May"/>
        <s v="June"/>
        <s v="July"/>
        <s v=""/>
        <m/>
      </sharedItems>
    </cacheField>
    <cacheField name="Date" numFmtId="0">
      <sharedItems containsNonDate="0" containsDate="1" containsString="0" containsBlank="1" minDate="2023-04-06T00:00:00" maxDate="2023-07-28T00:00:00"/>
    </cacheField>
    <cacheField name="BPR NO " numFmtId="0">
      <sharedItems containsBlank="1"/>
    </cacheField>
    <cacheField name="Contractor name" numFmtId="0">
      <sharedItems containsBlank="1"/>
    </cacheField>
    <cacheField name="Invoice no &amp; date" numFmtId="0">
      <sharedItems containsBlank="1" containsMixedTypes="1" containsNumber="1" containsInteger="1" minValue="27" maxValue="232430523"/>
    </cacheField>
    <cacheField name="Particulars" numFmtId="0">
      <sharedItems containsBlank="1"/>
    </cacheField>
    <cacheField name="Description" numFmtId="0">
      <sharedItems containsBlank="1"/>
    </cacheField>
    <cacheField name="Taxable value" numFmtId="0">
      <sharedItems containsString="0" containsBlank="1" containsNumber="1" minValue="500" maxValue="407102.93"/>
    </cacheField>
    <cacheField name="Taxable Rate" numFmtId="0">
      <sharedItems containsString="0" containsBlank="1" containsNumber="1" minValue="0.12" maxValue="0.18"/>
    </cacheField>
    <cacheField name="IGST @18%" numFmtId="0">
      <sharedItems containsString="0" containsBlank="1" containsNumber="1" containsInteger="1" minValue="0" maxValue="0"/>
    </cacheField>
    <cacheField name="cgst @9%" numFmtId="0">
      <sharedItems containsString="0" containsBlank="1" containsNumber="1" minValue="0" maxValue="36639.263699999996"/>
    </cacheField>
    <cacheField name="Sgst @9%" numFmtId="0">
      <sharedItems containsString="0" containsBlank="1" containsNumber="1" minValue="0" maxValue="36639.263699999996"/>
    </cacheField>
    <cacheField name="Invoice Value" numFmtId="0">
      <sharedItems containsString="0" containsBlank="1" containsNumber="1" minValue="590" maxValue="480381.45740000001"/>
    </cacheField>
    <cacheField name="Remark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8">
  <r>
    <x v="0"/>
    <d v="2023-04-04T00:00:00"/>
    <s v="001/23-24"/>
    <s v="HA044"/>
    <s v="Aloukik Agencies"/>
    <s v="Supreme 9mm - 528 Sqm"/>
    <n v="61248"/>
    <n v="2500"/>
    <n v="0"/>
    <n v="63748"/>
    <n v="0.18"/>
    <n v="11474.64"/>
    <n v="0"/>
    <n v="0"/>
    <n v="75222.64"/>
  </r>
  <r>
    <x v="0"/>
    <d v="2023-04-08T00:00:00"/>
    <s v="002/23-24"/>
    <s v="SBSI/2023-24/987"/>
    <s v="SBS Industries"/>
    <s v="Hydralic Cylinder &amp; Accessories"/>
    <n v="16000"/>
    <n v="0"/>
    <n v="0"/>
    <n v="16000"/>
    <n v="0.18"/>
    <n v="0"/>
    <n v="1440"/>
    <n v="1440"/>
    <n v="18880"/>
  </r>
  <r>
    <x v="0"/>
    <d v="2023-04-09T00:00:00"/>
    <s v="003/23-24"/>
    <n v="1090"/>
    <s v="Shri Sumukha Industries"/>
    <s v="Seam Clousure Parts - 18 nos"/>
    <n v="32865.25"/>
    <n v="0"/>
    <n v="0"/>
    <n v="32865.25"/>
    <n v="0.18"/>
    <n v="0"/>
    <n v="2957.8724999999999"/>
    <n v="2957.8724999999999"/>
    <n v="38780.994999999995"/>
  </r>
  <r>
    <x v="0"/>
    <d v="2023-04-09T00:00:00"/>
    <s v="004/23-24"/>
    <n v="1091"/>
    <s v="Shri Sumukha Industries"/>
    <s v="Seam Clousure Parts - 42 nos"/>
    <n v="144452.46"/>
    <n v="0"/>
    <n v="0"/>
    <n v="144452.46"/>
    <n v="0.18"/>
    <n v="0"/>
    <n v="13000.721399999999"/>
    <n v="13000.721399999999"/>
    <n v="170453.90280000001"/>
  </r>
  <r>
    <x v="0"/>
    <d v="2023-04-09T00:00:00"/>
    <s v="005/23-24"/>
    <s v="M12300000021/04.04.2023"/>
    <s v="The Supreme Industries Limited"/>
    <s v="9mm- 528 Sqm, 13mm - 520.8 Sqm, 10mm - 204 Sqmt &amp; 15mm- 272 Sqmt"/>
    <n v="408978.4"/>
    <n v="0"/>
    <n v="0"/>
    <n v="408978.4"/>
    <n v="0.18"/>
    <n v="73616.112000000008"/>
    <n v="0"/>
    <n v="0"/>
    <n v="482594.51200000005"/>
  </r>
  <r>
    <x v="0"/>
    <d v="2023-04-09T00:00:00"/>
    <s v="006/23-24"/>
    <s v="INV006/22-23"/>
    <s v="PSI Global"/>
    <s v="Compressor Kit Purchased "/>
    <n v="24840"/>
    <n v="500"/>
    <n v="0"/>
    <n v="25340"/>
    <n v="0.18"/>
    <n v="4561.2"/>
    <n v="0"/>
    <n v="0"/>
    <n v="29901.200000000001"/>
  </r>
  <r>
    <x v="0"/>
    <d v="2023-04-13T00:00:00"/>
    <s v="007/23-24"/>
    <s v="2324MSC0098"/>
    <s v="Meenakshi Steel Corporation"/>
    <s v="0.8mm - 9905 Kgs, 0.6 mm - 11290 Kgs &amp; 1.2mm - 3965 Kgs"/>
    <n v="2081990"/>
    <n v="18870"/>
    <n v="0"/>
    <n v="2100860"/>
    <n v="0.18"/>
    <m/>
    <n v="189077.4"/>
    <n v="189077.4"/>
    <n v="2479014.7999999998"/>
  </r>
  <r>
    <x v="0"/>
    <d v="2023-04-13T00:00:00"/>
    <s v="007/23-24"/>
    <s v="DN/Sales/001"/>
    <s v="Meenakshi Steel Corporation"/>
    <s v="Debit Note (Rate Difference)"/>
    <n v="16935"/>
    <n v="0"/>
    <n v="0"/>
    <n v="16935"/>
    <n v="0.18"/>
    <m/>
    <n v="1524.1499999999999"/>
    <n v="1524.1499999999999"/>
    <n v="19983.300000000003"/>
  </r>
  <r>
    <x v="0"/>
    <d v="2023-04-13T00:00:00"/>
    <s v="008/23-24"/>
    <s v="2324MSC0101"/>
    <s v="Meenakshi Steel Corporation"/>
    <s v="0.6mm - 11400 Kgs &amp; 0.8mm - 10900 Kgs"/>
    <n v="1862425"/>
    <n v="16725"/>
    <n v="0"/>
    <n v="1879150"/>
    <n v="0.18"/>
    <m/>
    <n v="169123.5"/>
    <n v="169123.5"/>
    <n v="2217397"/>
  </r>
  <r>
    <x v="0"/>
    <d v="2023-04-14T00:00:00"/>
    <s v="009/23-24"/>
    <n v="1096"/>
    <s v="Shri Sumukha Industries"/>
    <s v="Roller Block Bottom - 1nos"/>
    <n v="15002.62"/>
    <n v="0"/>
    <n v="0"/>
    <n v="15002.62"/>
    <n v="0.18"/>
    <m/>
    <n v="1350.2357999999999"/>
    <n v="1350.2357999999999"/>
    <n v="17703.0916"/>
  </r>
  <r>
    <x v="0"/>
    <d v="2023-04-17T00:00:00"/>
    <s v="010/23-24"/>
    <s v="LRM/0068/23-24"/>
    <s v="LR Multi Speciality Products"/>
    <s v="Stretch Film - 373.05 Kgs"/>
    <n v="50175.23"/>
    <n v="0"/>
    <n v="0"/>
    <n v="50175.23"/>
    <n v="0.18"/>
    <m/>
    <n v="4515.7707"/>
    <n v="4515.7707"/>
    <n v="59206.771400000005"/>
  </r>
  <r>
    <x v="0"/>
    <d v="2023-04-17T00:00:00"/>
    <s v="011/23-24"/>
    <s v="23-24/0126"/>
    <s v="Shree Jashraj Insulation"/>
    <s v="09mm - 4347.5 Sqmt &amp; 25mm - 504 Sqmt"/>
    <n v="1176908"/>
    <n v="0"/>
    <n v="0"/>
    <n v="1176908"/>
    <n v="0.18"/>
    <m/>
    <n v="105921.72"/>
    <n v="105921.72"/>
    <n v="1388751.44"/>
  </r>
  <r>
    <x v="0"/>
    <d v="2023-04-17T00:00:00"/>
    <s v="012/23-24"/>
    <s v="SBSI/2023-24/999"/>
    <s v="SBS Industries"/>
    <s v="Line Mounted Section Strainer - 1 nos"/>
    <n v="34000"/>
    <n v="0"/>
    <n v="0"/>
    <n v="34000"/>
    <n v="0.18"/>
    <m/>
    <n v="3060"/>
    <n v="3060"/>
    <n v="40120"/>
  </r>
  <r>
    <x v="0"/>
    <d v="2023-04-19T00:00:00"/>
    <s v="013/23-24"/>
    <s v="1024/ITBR2324"/>
    <s v="Binary Systems Pvt Ltd"/>
    <s v="Switch 24 -Port Giabit Unmanaged - 1 nos"/>
    <n v="6950"/>
    <n v="0"/>
    <n v="0"/>
    <n v="6950"/>
    <n v="0.18"/>
    <m/>
    <n v="625.5"/>
    <n v="625.5"/>
    <n v="8201"/>
  </r>
  <r>
    <x v="0"/>
    <d v="2023-04-22T00:00:00"/>
    <s v="014/23-24"/>
    <s v="23-24/0168"/>
    <s v="Shree Jashraj Insulation"/>
    <s v="09mm - 658 Sqmt"/>
    <n v="89488"/>
    <n v="0"/>
    <n v="0"/>
    <n v="89488"/>
    <n v="0.18"/>
    <m/>
    <n v="8053.92"/>
    <n v="8053.92"/>
    <n v="105595.84"/>
  </r>
  <r>
    <x v="0"/>
    <d v="2023-04-24T00:00:00"/>
    <s v="015/23-24"/>
    <s v="HRP/00030/23-24"/>
    <s v="HR Precisions"/>
    <s v="20g Corners - 25000 nos"/>
    <n v="181250"/>
    <n v="0"/>
    <n v="0"/>
    <n v="181250"/>
    <n v="0.18"/>
    <m/>
    <n v="16312.5"/>
    <n v="16312.5"/>
    <n v="213875"/>
  </r>
  <r>
    <x v="0"/>
    <d v="2023-04-25T00:00:00"/>
    <s v="016/23-24"/>
    <s v="KM/03248/2023-24"/>
    <s v="Kothari Metals"/>
    <s v="MS Square Tube - 42 Length"/>
    <n v="44415"/>
    <n v="4500"/>
    <n v="216"/>
    <n v="49131"/>
    <n v="0.18"/>
    <m/>
    <n v="4421.79"/>
    <n v="4421.79"/>
    <n v="57974.58"/>
  </r>
  <r>
    <x v="0"/>
    <d v="2023-04-26T00:00:00"/>
    <s v="017/23-24"/>
    <s v="ET-2023-24/0179"/>
    <s v="Elegant Traders"/>
    <s v="Duct support stand Parts purchased"/>
    <n v="52296"/>
    <n v="145"/>
    <n v="0"/>
    <n v="52441"/>
    <n v="0.18"/>
    <m/>
    <n v="4719.6899999999996"/>
    <n v="4719.6899999999996"/>
    <n v="61880.380000000005"/>
  </r>
  <r>
    <x v="0"/>
    <d v="2023-04-26T00:00:00"/>
    <s v="018/23-24"/>
    <s v="HRP/00032/23-24"/>
    <s v="HR Precisions"/>
    <s v="20g Corners - 25000 nos"/>
    <n v="181250"/>
    <n v="0"/>
    <n v="0"/>
    <n v="181250"/>
    <n v="0.18"/>
    <m/>
    <n v="16312.5"/>
    <n v="16312.5"/>
    <n v="213875"/>
  </r>
  <r>
    <x v="0"/>
    <d v="2023-04-26T00:00:00"/>
    <s v="019/23-24"/>
    <n v="6"/>
    <s v="Industrial Marketing"/>
    <s v="Seal Kit for 100mm Eco Cylinder - 3 nos"/>
    <n v="4914"/>
    <n v="0"/>
    <n v="0"/>
    <n v="4914"/>
    <n v="0.18"/>
    <m/>
    <n v="442.26"/>
    <n v="442.26"/>
    <n v="5798.52"/>
  </r>
  <r>
    <x v="0"/>
    <d v="2023-04-28T00:00:00"/>
    <s v="020/23-24"/>
    <s v="HA348"/>
    <s v="Aloukik Agencies"/>
    <s v="19mm - 132 Sqmr"/>
    <n v="34320"/>
    <n v="0"/>
    <n v="0"/>
    <n v="34320"/>
    <n v="0.18"/>
    <n v="6177.5999999999995"/>
    <n v="0"/>
    <n v="0"/>
    <n v="40497.599999999999"/>
  </r>
  <r>
    <x v="0"/>
    <d v="2023-04-29T00:00:00"/>
    <s v="021/23-24"/>
    <s v="10549/23.04.2023"/>
    <s v="Hardware Junction"/>
    <s v="Hardware Material"/>
    <n v="5370"/>
    <n v="0"/>
    <n v="0"/>
    <n v="5370"/>
    <n v="0.18"/>
    <m/>
    <n v="483.29999999999995"/>
    <n v="483.29999999999995"/>
    <n v="6336.6"/>
  </r>
  <r>
    <x v="0"/>
    <d v="2023-04-29T00:00:00"/>
    <s v="022/23-24"/>
    <s v="10550/23.04.2023"/>
    <s v="Hardware Junction"/>
    <s v="Hardware Material"/>
    <n v="2570"/>
    <n v="0"/>
    <n v="0"/>
    <n v="2570"/>
    <n v="0.18"/>
    <m/>
    <n v="231.29999999999998"/>
    <n v="231.29999999999998"/>
    <n v="3032.6000000000004"/>
  </r>
  <r>
    <x v="0"/>
    <d v="2023-04-29T00:00:00"/>
    <s v="023/23-24"/>
    <n v="10585"/>
    <s v="Hardware Junction"/>
    <s v="Hardware Material"/>
    <n v="4223"/>
    <n v="0"/>
    <n v="0"/>
    <n v="4223"/>
    <n v="0.18"/>
    <m/>
    <n v="380.07"/>
    <n v="380.07"/>
    <n v="4983.1399999999994"/>
  </r>
  <r>
    <x v="0"/>
    <d v="2023-04-29T00:00:00"/>
    <s v="024/23-24"/>
    <s v="013/27.04.2023"/>
    <s v="Neha Graphics"/>
    <s v="A4 Size Die Stickers - 5000 nos"/>
    <n v="20000"/>
    <n v="0"/>
    <n v="0"/>
    <n v="20000"/>
    <n v="0.18"/>
    <m/>
    <n v="0"/>
    <n v="0"/>
    <n v="20000"/>
  </r>
  <r>
    <x v="0"/>
    <d v="2023-04-29T00:00:00"/>
    <s v="025/23-24"/>
    <n v="176"/>
    <s v="Urja Sealants Pvt Ltd"/>
    <s v="Sealant Tube - 200 nos &amp; Bucket - 100 Kgs"/>
    <n v="36000"/>
    <n v="0"/>
    <n v="0"/>
    <n v="36000"/>
    <n v="0.18"/>
    <n v="6480"/>
    <n v="0"/>
    <n v="0"/>
    <n v="42480"/>
  </r>
  <r>
    <x v="1"/>
    <d v="2023-05-09T00:00:00"/>
    <s v="026/23-24"/>
    <s v="23-24/0261"/>
    <s v="Shree Jashraj Insulation"/>
    <s v="25mm Acoustic - 210 Sqmt"/>
    <n v="244020"/>
    <n v="0"/>
    <n v="0"/>
    <n v="244020"/>
    <n v="0.18"/>
    <m/>
    <n v="21961.8"/>
    <n v="21961.8"/>
    <n v="287943.59999999998"/>
  </r>
  <r>
    <x v="1"/>
    <d v="2023-05-11T00:00:00"/>
    <s v="027/23-24"/>
    <n v="18"/>
    <s v="Industrial Marketing"/>
    <s v="Da Cylinder SC100mm - 1 nos"/>
    <n v="6026"/>
    <n v="0"/>
    <n v="0"/>
    <n v="6026"/>
    <n v="0.18"/>
    <m/>
    <n v="542.34"/>
    <n v="542.34"/>
    <n v="7110.68"/>
  </r>
  <r>
    <x v="1"/>
    <d v="2023-05-15T00:00:00"/>
    <s v="028/23-24"/>
    <n v="42942"/>
    <s v="JR &amp; Company"/>
    <s v="0.6 mm - 6210 Kgs"/>
    <n v="503010"/>
    <n v="4000"/>
    <n v="0"/>
    <n v="507010"/>
    <n v="0.18"/>
    <m/>
    <n v="45630.9"/>
    <n v="45630.9"/>
    <n v="598271.80000000005"/>
  </r>
  <r>
    <x v="1"/>
    <d v="2023-05-16T00:00:00"/>
    <s v="029/23-24"/>
    <n v="42948"/>
    <s v="JR &amp; Company"/>
    <s v="0.8mm-6440 Kgs &amp; 1.0mm - 5160 Kgs"/>
    <n v="928000"/>
    <n v="7500"/>
    <n v="0"/>
    <n v="935500"/>
    <n v="0.18"/>
    <m/>
    <n v="84195"/>
    <n v="84195"/>
    <n v="1103890"/>
  </r>
  <r>
    <x v="1"/>
    <d v="2023-05-17T00:00:00"/>
    <s v="030/23-24"/>
    <s v="HA552"/>
    <s v="Aloukik Agencies"/>
    <s v="19mm - 180 Sqmt"/>
    <n v="46800"/>
    <n v="2000"/>
    <n v="0"/>
    <n v="48800"/>
    <n v="0.18"/>
    <n v="8784"/>
    <n v="0"/>
    <n v="0"/>
    <n v="57584"/>
  </r>
  <r>
    <x v="1"/>
    <d v="2023-05-18T00:00:00"/>
    <s v="031/23-24"/>
    <n v="42962"/>
    <s v="JR &amp; Company"/>
    <s v="0.6mm - 22560 KGs"/>
    <n v="1827360"/>
    <n v="14700"/>
    <n v="0"/>
    <n v="1842060"/>
    <n v="0.18"/>
    <m/>
    <n v="165785.4"/>
    <n v="165785.4"/>
    <n v="2173630.7999999998"/>
  </r>
  <r>
    <x v="1"/>
    <d v="2023-05-18T00:00:00"/>
    <s v="032/23-24"/>
    <n v="42965"/>
    <s v="JR &amp; Company"/>
    <s v="0.8mm - 8855 Kgs &amp; 0.6mm-11335 Kgs"/>
    <n v="1626535"/>
    <n v="13100"/>
    <n v="0"/>
    <n v="1639635"/>
    <n v="0.18"/>
    <m/>
    <n v="147567.15"/>
    <n v="147567.15"/>
    <n v="1934769.2999999998"/>
  </r>
  <r>
    <x v="1"/>
    <d v="2023-05-19T00:00:00"/>
    <s v="033/23-24"/>
    <s v="HA593"/>
    <s v="Aloukik Agencies"/>
    <s v="16mm - 374.4 Sqmt"/>
    <n v="81619.199999999997"/>
    <n v="2800"/>
    <n v="0"/>
    <n v="84419.199999999997"/>
    <n v="0.18"/>
    <n v="15195.455999999998"/>
    <n v="0"/>
    <n v="0"/>
    <n v="99614.655999999988"/>
  </r>
  <r>
    <x v="1"/>
    <d v="2023-05-19T00:00:00"/>
    <s v="034/23-24"/>
    <n v="20"/>
    <s v="Industrial Marketing"/>
    <s v="DA Cylinder SC100mm - 1 nos &amp; Others"/>
    <n v="20482"/>
    <n v="0"/>
    <n v="0"/>
    <n v="20482"/>
    <n v="0.18"/>
    <m/>
    <n v="1843.3799999999999"/>
    <n v="1843.3799999999999"/>
    <n v="24168.760000000002"/>
  </r>
  <r>
    <x v="1"/>
    <d v="2023-05-30T00:00:00"/>
    <s v="035/23-24"/>
    <n v="10715"/>
    <s v="Hardware Junction"/>
    <s v="Hardware Material"/>
    <n v="5125"/>
    <n v="0"/>
    <n v="0"/>
    <n v="5125"/>
    <n v="0.18"/>
    <m/>
    <n v="461.25"/>
    <n v="461.25"/>
    <n v="6047.5"/>
  </r>
  <r>
    <x v="2"/>
    <d v="2023-06-02T00:00:00"/>
    <s v="036/23-24"/>
    <s v="AVK-083-23-24"/>
    <s v="AVK Industrial Supplies"/>
    <s v="SRT Wheel - 10 nos"/>
    <n v="24500"/>
    <n v="300"/>
    <n v="0"/>
    <n v="24800"/>
    <n v="0.18"/>
    <m/>
    <n v="2232"/>
    <n v="2232"/>
    <n v="29264"/>
  </r>
  <r>
    <x v="2"/>
    <d v="2023-06-03T00:00:00"/>
    <s v="037/23-24"/>
    <s v="261/2023"/>
    <s v="Ananth Technodes"/>
    <s v="428699 - Kit"/>
    <n v="40895.4"/>
    <n v="0"/>
    <n v="0"/>
    <n v="40895.4"/>
    <n v="0.18"/>
    <m/>
    <n v="3680.5859999999998"/>
    <n v="3680.5859999999998"/>
    <n v="48256.572000000007"/>
  </r>
  <r>
    <x v="2"/>
    <d v="2023-06-07T00:00:00"/>
    <s v="038/23-24"/>
    <n v="31"/>
    <s v="Toolings Ocean"/>
    <s v="Gear 150 Dia - 1000 nos"/>
    <n v="22000"/>
    <n v="0"/>
    <n v="0"/>
    <n v="22000"/>
    <n v="0.18"/>
    <m/>
    <n v="1980"/>
    <n v="1980"/>
    <n v="25960"/>
  </r>
  <r>
    <x v="2"/>
    <d v="2023-06-07T00:00:00"/>
    <s v="039/23-24"/>
    <s v="ET-2023-24/0621"/>
    <s v="Elegant Traders"/>
    <s v="Duct support stand Parts purchased"/>
    <n v="51549.760000000002"/>
    <n v="0"/>
    <n v="145"/>
    <n v="51694.76"/>
    <n v="0.18"/>
    <m/>
    <n v="4652.5284000000001"/>
    <n v="4652.5284000000001"/>
    <n v="60999.816800000008"/>
  </r>
  <r>
    <x v="2"/>
    <d v="2023-06-08T00:00:00"/>
    <s v="040/23-24"/>
    <n v="2301003194"/>
    <s v="Jindal Aluminium Limited"/>
    <s v="103.5x15.2x1.1 Air Grill Section - 514.75 Kgs"/>
    <n v="151094.57"/>
    <n v="0"/>
    <n v="1029.5"/>
    <n v="152124.07"/>
    <n v="0.18"/>
    <m/>
    <n v="13691.166300000001"/>
    <n v="13691.166300000001"/>
    <n v="179506.40260000003"/>
  </r>
  <r>
    <x v="2"/>
    <d v="2023-06-07T00:00:00"/>
    <s v="041/23-24"/>
    <s v="KM/03355/2023-24"/>
    <s v="Kothari Metals"/>
    <s v="MS Square Tube - 42 Length"/>
    <n v="40749"/>
    <n v="4500"/>
    <n v="196"/>
    <n v="45445"/>
    <n v="0.18"/>
    <m/>
    <n v="4090.0499999999997"/>
    <n v="4090.0499999999997"/>
    <n v="53625.100000000006"/>
  </r>
  <r>
    <x v="2"/>
    <d v="2023-06-09T00:00:00"/>
    <s v="042/23-24"/>
    <n v="28"/>
    <s v="Industrial Marketing"/>
    <s v="Seal Kit for 100mm Eco Cylinder - 1 nos"/>
    <n v="1638"/>
    <n v="0"/>
    <n v="0"/>
    <n v="1638"/>
    <n v="0.18"/>
    <m/>
    <n v="147.41999999999999"/>
    <n v="147.41999999999999"/>
    <n v="1932.8400000000001"/>
  </r>
  <r>
    <x v="2"/>
    <d v="2023-06-12T00:00:00"/>
    <s v="043/23-24"/>
    <s v="23-24/0482"/>
    <s v="Shree Jashraj Insulation"/>
    <s v="25mm Acoustic - 238 Sqmt"/>
    <n v="276556"/>
    <n v="6000"/>
    <n v="0"/>
    <n v="282556"/>
    <n v="0.18"/>
    <m/>
    <n v="25430.04"/>
    <n v="25430.04"/>
    <n v="333416.07999999996"/>
  </r>
  <r>
    <x v="2"/>
    <d v="2023-06-09T00:00:00"/>
    <s v="044/23-24"/>
    <n v="1137"/>
    <s v="Shri Sumukha Industries"/>
    <s v="Seam Clousure Parts - 22 nos"/>
    <n v="21895.16"/>
    <n v="0"/>
    <n v="0"/>
    <n v="21895.16"/>
    <n v="0.18"/>
    <m/>
    <n v="1970.5644"/>
    <n v="1970.5644"/>
    <n v="25836.288799999998"/>
  </r>
  <r>
    <x v="2"/>
    <d v="2023-06-09T00:00:00"/>
    <s v="045/23-24"/>
    <n v="1138"/>
    <s v="Shri Sumukha Industries"/>
    <s v="2022-02-01-03-R - 1 nos"/>
    <n v="15036.75"/>
    <n v="0"/>
    <n v="0"/>
    <n v="15036.75"/>
    <n v="0.18"/>
    <m/>
    <n v="1353.3074999999999"/>
    <n v="1353.3074999999999"/>
    <n v="17743.364999999998"/>
  </r>
  <r>
    <x v="2"/>
    <d v="2023-06-15T00:00:00"/>
    <s v="046/23-24"/>
    <s v="SAI1935/23-24"/>
    <s v="Sri Arihant Industries"/>
    <s v="6mm - 720 Sqmt, 9mm - 648 Sqmt &amp; 15mm - 252 Sqmt"/>
    <n v="321012"/>
    <n v="7000"/>
    <n v="0"/>
    <n v="328012"/>
    <n v="0.18"/>
    <m/>
    <n v="29521.079999999998"/>
    <n v="29521.079999999998"/>
    <n v="387054.16000000003"/>
  </r>
  <r>
    <x v="2"/>
    <d v="2023-06-20T00:00:00"/>
    <s v="047/23-24"/>
    <s v="SAI2064/23-24"/>
    <s v="Sri Arihant Industries"/>
    <s v="15mm - 480 Sqmt"/>
    <n v="319200"/>
    <n v="0"/>
    <n v="0"/>
    <n v="319200"/>
    <n v="0.18"/>
    <m/>
    <n v="28728"/>
    <n v="28728"/>
    <n v="376656"/>
  </r>
  <r>
    <x v="2"/>
    <d v="2023-06-22T00:00:00"/>
    <s v="048/23-24"/>
    <s v="HRP/00160/23-24"/>
    <s v="HR Precisions"/>
    <s v="GI Corners - 13500 nos"/>
    <n v="97875"/>
    <n v="0"/>
    <n v="0"/>
    <n v="97875"/>
    <n v="0.18"/>
    <m/>
    <n v="8808.75"/>
    <n v="8808.75"/>
    <n v="115492.5"/>
  </r>
  <r>
    <x v="2"/>
    <d v="2023-06-22T00:00:00"/>
    <s v="049/23-24"/>
    <s v="HRP/00161/23-24"/>
    <s v="HR Precisions"/>
    <s v="Damper Lever - 10mm - 1000 nos"/>
    <n v="34000"/>
    <n v="0"/>
    <n v="0"/>
    <n v="34000"/>
    <n v="0.18"/>
    <m/>
    <n v="3060"/>
    <n v="3060"/>
    <n v="40120"/>
  </r>
  <r>
    <x v="2"/>
    <d v="2023-06-23T00:00:00"/>
    <s v="050/23-24"/>
    <s v="PCT/0189/23-24"/>
    <s v="Power Care Technologies"/>
    <s v="Microtek Legend UPS - 1nos"/>
    <n v="2350"/>
    <n v="0"/>
    <n v="0"/>
    <n v="2350"/>
    <n v="0.18"/>
    <m/>
    <n v="211.5"/>
    <n v="211.5"/>
    <n v="2773"/>
  </r>
  <r>
    <x v="2"/>
    <d v="2023-06-24T00:00:00"/>
    <s v="051/23-24"/>
    <n v="3631"/>
    <s v="New Mataji Electricals"/>
    <s v="Electric Material Purchased"/>
    <n v="6732"/>
    <n v="0"/>
    <n v="0"/>
    <n v="6732"/>
    <n v="0.18"/>
    <m/>
    <n v="605.88"/>
    <n v="605.88"/>
    <n v="7943.76"/>
  </r>
  <r>
    <x v="2"/>
    <d v="2023-06-27T00:00:00"/>
    <s v="052/23-24"/>
    <s v="SAI2231/23-24"/>
    <s v="Sri Arihant Industries"/>
    <s v="19mm Alu. -216 Sqmt &amp; 13mm - 974.4 Sqmt"/>
    <n v="260736"/>
    <n v="0"/>
    <n v="0"/>
    <n v="260736"/>
    <n v="0.18"/>
    <m/>
    <n v="23466.239999999998"/>
    <n v="23466.239999999998"/>
    <n v="307668.47999999998"/>
  </r>
  <r>
    <x v="2"/>
    <d v="2023-06-28T00:00:00"/>
    <s v="053/23-24"/>
    <s v="HA1101"/>
    <s v="Aloukik Agencies"/>
    <s v="9mm-1008 Sqmt &amp; 15mm - 120 Sqmt"/>
    <n v="202008"/>
    <n v="4000"/>
    <n v="0"/>
    <n v="206008"/>
    <n v="0.18"/>
    <n v="37081.439999999995"/>
    <n v="0"/>
    <n v="0"/>
    <n v="243089.44"/>
  </r>
  <r>
    <x v="2"/>
    <d v="2023-06-29T00:00:00"/>
    <s v="054/23-24"/>
    <s v="HRP/00187/23-24"/>
    <s v="HR Precisions"/>
    <s v="GI Corners - 18000 nos"/>
    <n v="130500"/>
    <n v="0"/>
    <n v="0"/>
    <n v="130500"/>
    <n v="0.18"/>
    <m/>
    <n v="11745"/>
    <n v="11745"/>
    <n v="153990"/>
  </r>
  <r>
    <x v="2"/>
    <d v="2023-06-29T00:00:00"/>
    <s v="055/23-24"/>
    <s v="HRP/00188/23-24"/>
    <s v="HR Precisions"/>
    <s v="Damper Lever - 10mm - 700 nos"/>
    <n v="23800"/>
    <n v="0"/>
    <n v="0"/>
    <n v="23800"/>
    <n v="0.18"/>
    <m/>
    <n v="2142"/>
    <n v="2142"/>
    <n v="28084"/>
  </r>
  <r>
    <x v="2"/>
    <d v="2023-06-29T00:00:00"/>
    <s v="056/23-24"/>
    <s v="10831/26.06.23"/>
    <s v="Hardware Junction"/>
    <s v="Hardware Material"/>
    <n v="2260"/>
    <n v="0"/>
    <n v="0"/>
    <n v="2260"/>
    <n v="0.18"/>
    <m/>
    <n v="203.4"/>
    <n v="203.4"/>
    <n v="2666.8"/>
  </r>
  <r>
    <x v="2"/>
    <d v="2023-06-29T00:00:00"/>
    <s v="057/23-24"/>
    <s v="10836/28.06.23"/>
    <s v="Hardware Junction"/>
    <s v="Hardware Material"/>
    <n v="4117.5"/>
    <n v="0"/>
    <n v="0"/>
    <n v="4117.5"/>
    <n v="0.18"/>
    <m/>
    <n v="370.57499999999999"/>
    <n v="370.57499999999999"/>
    <n v="4858.6499999999996"/>
  </r>
  <r>
    <x v="3"/>
    <d v="2023-07-04T00:00:00"/>
    <s v="058/23-24"/>
    <s v="1504/04.07.2023"/>
    <s v="Classic Trading"/>
    <s v="Bearing - 10 nos"/>
    <n v="7460"/>
    <n v="0"/>
    <n v="0"/>
    <n v="7460"/>
    <n v="0.18"/>
    <m/>
    <n v="671.4"/>
    <n v="671.4"/>
    <n v="8802.7999999999993"/>
  </r>
  <r>
    <x v="3"/>
    <d v="2023-07-07T00:00:00"/>
    <s v="059/23-24"/>
    <s v="HRP/00212/23-24"/>
    <s v="HR Precisions"/>
    <s v="Corners - 17550 nos"/>
    <n v="127237.5"/>
    <n v="0"/>
    <n v="0"/>
    <n v="127237.5"/>
    <n v="0.18"/>
    <m/>
    <n v="11451.375"/>
    <n v="11451.375"/>
    <n v="150140.25"/>
  </r>
  <r>
    <x v="3"/>
    <d v="2023-07-07T00:00:00"/>
    <s v="060/23-24"/>
    <s v="HRP/00213/23-24"/>
    <s v="HR Precisions"/>
    <s v="Damper Operation Lever 10mm - 300 nos"/>
    <n v="10200"/>
    <n v="0"/>
    <n v="0"/>
    <n v="10200"/>
    <n v="0.18"/>
    <m/>
    <n v="918"/>
    <n v="918"/>
    <n v="12036"/>
  </r>
  <r>
    <x v="3"/>
    <d v="2023-07-10T00:00:00"/>
    <s v="061/23-24"/>
    <s v="153/10.07.2023"/>
    <s v="Supreme Home Appliances"/>
    <s v="50 LPH Water Purifier &amp; RO Tank - 1 nos"/>
    <n v="35500"/>
    <n v="0"/>
    <n v="0"/>
    <n v="35500"/>
    <n v="0.18"/>
    <m/>
    <n v="3195"/>
    <n v="3195"/>
    <n v="41890"/>
  </r>
  <r>
    <x v="3"/>
    <d v="2023-07-12T00:00:00"/>
    <s v="062/23-24"/>
    <s v="SAI2613/23-24"/>
    <s v="Sri Arihant Industries"/>
    <s v="Nitrile Rubber 9mm - 720 Sqmt &amp; 13 mm - 420 Sqmt"/>
    <n v="180600"/>
    <n v="0"/>
    <n v="0"/>
    <n v="180600"/>
    <n v="0.18"/>
    <m/>
    <n v="16254"/>
    <n v="16254"/>
    <n v="213108"/>
  </r>
  <r>
    <x v="3"/>
    <d v="2023-07-13T00:00:00"/>
    <s v="063/23-24"/>
    <s v="MS2324/IN/10728"/>
    <s v="Mandot Steel"/>
    <s v="GI Coil 0.6 - 10440 Kgs"/>
    <n v="793440"/>
    <n v="5250"/>
    <n v="150"/>
    <n v="798840"/>
    <n v="0.18"/>
    <m/>
    <n v="71895.599999999991"/>
    <n v="71895.599999999991"/>
    <n v="942631.2"/>
  </r>
  <r>
    <x v="3"/>
    <d v="2023-07-13T00:00:00"/>
    <s v="064/23-24"/>
    <s v="MS2324/IN/10729"/>
    <s v="Mandot Steel"/>
    <s v="GI Coil 0.8 - 5185 Kgs"/>
    <n v="386282.5"/>
    <n v="0"/>
    <n v="0"/>
    <n v="386282.5"/>
    <n v="0.18"/>
    <m/>
    <n v="34765.424999999996"/>
    <n v="34765.424999999996"/>
    <n v="455813.35"/>
  </r>
  <r>
    <x v="3"/>
    <d v="2023-07-13T00:00:00"/>
    <s v="065/23-24"/>
    <s v="MS2324/IN/10750"/>
    <s v="Mandot Steel"/>
    <s v="GI Coil 0.6 - 3530 Kgs"/>
    <n v="268280"/>
    <n v="9610"/>
    <n v="150"/>
    <n v="278040"/>
    <n v="0.18"/>
    <m/>
    <n v="25023.599999999999"/>
    <n v="25023.599999999999"/>
    <n v="328087.19999999995"/>
  </r>
  <r>
    <x v="3"/>
    <d v="2023-07-13T00:00:00"/>
    <s v="066/23-24"/>
    <s v="MS2324/IN/10751"/>
    <s v="Mandot Steel"/>
    <s v="GI Coil 0.6 - 8645 Kgs &amp; 0.8mm - 7045 Kgs"/>
    <n v="1181872.5"/>
    <n v="0"/>
    <n v="0"/>
    <n v="1181872.5"/>
    <n v="0.18"/>
    <m/>
    <n v="106368.52499999999"/>
    <n v="106368.52499999999"/>
    <n v="1394609.5499999998"/>
  </r>
  <r>
    <x v="3"/>
    <d v="2023-07-14T00:00:00"/>
    <s v="067/23-24"/>
    <s v="23-24/0637"/>
    <s v="Shree Jashraj Insulation"/>
    <s v="Armasound ductliner 10mm - 204 Sqmt"/>
    <n v="93840"/>
    <n v="2200"/>
    <n v="0"/>
    <n v="96040"/>
    <n v="0.18"/>
    <m/>
    <n v="8643.6"/>
    <n v="8643.6"/>
    <n v="113327.20000000001"/>
  </r>
  <r>
    <x v="3"/>
    <d v="2023-07-14T00:00:00"/>
    <s v="068/23-24"/>
    <s v="TI/23-24/07 "/>
    <s v="Shalan  Sales &amp; Services"/>
    <s v="B&amp; R make ACOPOS Drive with cards - 01 Set"/>
    <n v="245000"/>
    <n v="0"/>
    <n v="0"/>
    <n v="245000"/>
    <n v="0.18"/>
    <n v="44100"/>
    <n v="0"/>
    <n v="0"/>
    <n v="289100"/>
  </r>
  <r>
    <x v="3"/>
    <d v="2023-07-18T00:00:00"/>
    <s v="069/23-24"/>
    <s v="VP:023/23-24"/>
    <s v="Vinayaka Plastics"/>
    <s v="Gear - 458 nos, Bush Square - 2488 nos &amp; Bush Round - 2500 nos"/>
    <n v="13665"/>
    <n v="0"/>
    <n v="0"/>
    <n v="13665"/>
    <n v="0.18"/>
    <m/>
    <n v="1229.8499999999999"/>
    <n v="1229.8499999999999"/>
    <n v="16124.7"/>
  </r>
  <r>
    <x v="3"/>
    <d v="2023-07-18T00:00:00"/>
    <s v="070/23-24"/>
    <s v="232411269/15.07.2023"/>
    <s v="Capricot Technologies Pvt Ltd"/>
    <s v="Printer &amp; Automatic Sheet feeder - 1 nos"/>
    <n v="76000"/>
    <n v="0"/>
    <n v="0"/>
    <n v="76000"/>
    <n v="0.18"/>
    <m/>
    <n v="6840"/>
    <n v="6840"/>
    <n v="89680"/>
  </r>
  <r>
    <x v="3"/>
    <d v="2023-07-21T00:00:00"/>
    <s v="071/23-24"/>
    <s v="HA1398"/>
    <s v="Aloukik Agencies"/>
    <s v="Nitrile Rubber 13mm - 336 Sqmt &amp; 16 mm - 14.4 Sqmt"/>
    <n v="63648"/>
    <n v="800"/>
    <n v="0"/>
    <n v="64448"/>
    <n v="0.18"/>
    <n v="11600.64"/>
    <n v="0"/>
    <n v="0"/>
    <n v="76048.639999999999"/>
  </r>
  <r>
    <x v="3"/>
    <d v="2023-07-21T00:00:00"/>
    <s v="072/23-24"/>
    <s v="SAI2855/23-24"/>
    <s v="Sri Arihant Industries"/>
    <s v="Nitrile Rubber Sheet Cl -1 15mm  - 240 Sqmt"/>
    <n v="162000"/>
    <n v="0"/>
    <n v="0"/>
    <n v="162000"/>
    <n v="0.18"/>
    <m/>
    <n v="14580"/>
    <n v="14580"/>
    <n v="191160"/>
  </r>
  <r>
    <x v="3"/>
    <d v="2023-07-21T00:00:00"/>
    <s v="073/23-24"/>
    <s v="MS/23-24/IN/10913"/>
    <s v="Mandot Steel"/>
    <s v="GI Coil 0.6 - 5275 Kgs &amp; 0.8mm - 5075 Kgs"/>
    <n v="778987.5"/>
    <n v="5175"/>
    <n v="150"/>
    <n v="784312.5"/>
    <n v="0.18"/>
    <m/>
    <n v="70588.125"/>
    <n v="70588.125"/>
    <n v="925488.75"/>
  </r>
  <r>
    <x v="3"/>
    <d v="2023-07-26T00:00:00"/>
    <s v="074/23-24"/>
    <s v="MS/23-24/IN/10985"/>
    <s v="Mandot Steel"/>
    <s v="GI Coil 0.6 - 4135 Kgs, 0.8mm - 8230 Kgs &amp; 1.0mm - 5290 Kgs"/>
    <n v="1321500"/>
    <n v="0"/>
    <n v="150"/>
    <n v="1321650"/>
    <n v="0.18"/>
    <m/>
    <n v="118948.5"/>
    <n v="118948.5"/>
    <n v="1559547"/>
  </r>
  <r>
    <x v="3"/>
    <d v="2023-07-27T00:00:00"/>
    <s v="075/23-24"/>
    <s v="SAI3021/23-24"/>
    <s v="Sri Arihant Industries"/>
    <s v="Nitrile Rubber Shee 16mm  - 100.8 Sqmt"/>
    <n v="21672"/>
    <n v="2100"/>
    <n v="0"/>
    <n v="23772"/>
    <n v="0.18"/>
    <m/>
    <n v="2139.48"/>
    <n v="2139.48"/>
    <n v="28050.959999999999"/>
  </r>
  <r>
    <x v="3"/>
    <d v="2023-07-27T00:00:00"/>
    <s v="076/23-24"/>
    <s v="HRP/00252/23-24"/>
    <s v="HR Precisions"/>
    <s v="Corners - 950 nos"/>
    <n v="6887.5"/>
    <n v="0"/>
    <n v="0"/>
    <n v="6887.5"/>
    <n v="0.18"/>
    <m/>
    <n v="619.875"/>
    <n v="619.875"/>
    <n v="8127.25"/>
  </r>
  <r>
    <x v="3"/>
    <d v="2023-07-27T00:00:00"/>
    <s v="077/23-24"/>
    <s v="HRP/00256/23-24"/>
    <s v="HR Precisions"/>
    <s v="Corners - 23800 nos"/>
    <n v="154700"/>
    <n v="0"/>
    <n v="0"/>
    <n v="154700"/>
    <n v="0.18"/>
    <m/>
    <n v="13923"/>
    <n v="13923"/>
    <n v="182546"/>
  </r>
  <r>
    <x v="3"/>
    <d v="2023-07-27T00:00:00"/>
    <s v="078/23-24"/>
    <s v="HRP/00257/23-24"/>
    <s v="HR Precisions"/>
    <s v="Damper Operation Lever 10mm - 1000 nos &amp; 13mm - 700 nos"/>
    <n v="57800"/>
    <n v="0"/>
    <n v="0"/>
    <n v="57800"/>
    <n v="0.18"/>
    <m/>
    <n v="5202"/>
    <n v="5202"/>
    <n v="68204"/>
  </r>
  <r>
    <x v="3"/>
    <d v="2023-07-29T00:00:00"/>
    <s v="079/23-24"/>
    <s v="HA1498"/>
    <s v="Aloukik Agencies"/>
    <s v="Supreme 13mm - 823.2 Sqmt &amp; 16 mm - 187.2 Sqmt"/>
    <n v="189360"/>
    <n v="3000"/>
    <n v="0"/>
    <n v="192360"/>
    <n v="0.18"/>
    <n v="34624.799999999996"/>
    <n v="0"/>
    <n v="0"/>
    <n v="226984.8"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4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98">
  <r>
    <x v="0"/>
    <d v="2023-04-06T00:00:00"/>
    <s v="APR001/23-24"/>
    <s v="Sanair Conditioners"/>
    <n v="1305"/>
    <s v="Labour Charges"/>
    <s v="Air Compressor Copper Piping Work"/>
    <n v="5750"/>
    <m/>
    <n v="0"/>
    <n v="0"/>
    <n v="0"/>
    <n v="5750"/>
    <m/>
  </r>
  <r>
    <x v="0"/>
    <d v="2023-04-06T00:00:00"/>
    <s v="APR002/23-24"/>
    <s v="The Professional Couriers"/>
    <s v="HRD232/01.04.2023"/>
    <s v="Courier Charges"/>
    <s v="For the month of Mar 2023"/>
    <n v="724.5"/>
    <n v="0.18"/>
    <m/>
    <n v="65.204999999999998"/>
    <n v="65.204999999999998"/>
    <n v="854.91000000000008"/>
    <m/>
  </r>
  <r>
    <x v="0"/>
    <d v="2023-04-15T00:00:00"/>
    <s v="APR003/23-24"/>
    <s v="Sri Venkateshwara Enterprises"/>
    <n v="16607"/>
    <s v="Co2 Cylinder"/>
    <s v="2 nos"/>
    <n v="1860"/>
    <n v="0.18"/>
    <m/>
    <n v="167.4"/>
    <n v="167.4"/>
    <n v="2194.8000000000002"/>
    <m/>
  </r>
  <r>
    <x v="0"/>
    <d v="2023-04-21T00:00:00"/>
    <s v="APR004/23-24"/>
    <s v="Cartridge Plus"/>
    <s v="0091/21.04.2023"/>
    <s v="Printing Charges"/>
    <s v="Cartridge refilling - 3 unit"/>
    <n v="2600"/>
    <n v="0.18"/>
    <m/>
    <n v="234"/>
    <n v="234"/>
    <n v="3068"/>
    <m/>
  </r>
  <r>
    <x v="0"/>
    <d v="2023-04-27T00:00:00"/>
    <s v="APR005/23-24"/>
    <s v="P. Venkatesh &amp; Associates"/>
    <n v="27"/>
    <s v="Professional Fees"/>
    <s v="MSME Half Yearly Returns as on 31/03/2023"/>
    <n v="3000"/>
    <n v="0.18"/>
    <m/>
    <n v="270"/>
    <n v="270"/>
    <n v="3540"/>
    <m/>
  </r>
  <r>
    <x v="0"/>
    <d v="2023-04-28T00:00:00"/>
    <s v="APR006/23-24"/>
    <s v="Rajeev H M"/>
    <s v="22-23"/>
    <s v="Professional Fees"/>
    <s v="Consultation Fees for implementation of ISO 900:2015 Cert."/>
    <n v="30000"/>
    <m/>
    <m/>
    <n v="0"/>
    <n v="0"/>
    <n v="30000"/>
    <m/>
  </r>
  <r>
    <x v="0"/>
    <d v="2023-04-30T00:00:00"/>
    <s v="APR007/23-24"/>
    <s v="Sri Veerabhadraswamy Transport"/>
    <s v="0005/30.04.2023"/>
    <s v="Carriage Outward"/>
    <s v="for the month of Apr 2023"/>
    <n v="83700"/>
    <m/>
    <m/>
    <n v="0"/>
    <n v="0"/>
    <n v="83700"/>
    <m/>
  </r>
  <r>
    <x v="0"/>
    <d v="2023-04-30T00:00:00"/>
    <s v="APR008/23-24"/>
    <s v="The Professional Couriers"/>
    <s v="HRD233508/30.04.2023"/>
    <s v="Courier Charges"/>
    <s v="for the month of Apr 2023"/>
    <n v="655.5"/>
    <n v="0.18"/>
    <m/>
    <n v="58.994999999999997"/>
    <n v="58.994999999999997"/>
    <n v="773.49"/>
    <m/>
  </r>
  <r>
    <x v="0"/>
    <d v="2023-04-30T00:00:00"/>
    <s v="APR009/23-24"/>
    <s v="Suresh Travel"/>
    <s v="934/22-23"/>
    <s v="Taxi Hire Charges"/>
    <s v="for the month of Apr 2023 (Ravishankar &amp; Auditor)"/>
    <n v="3805"/>
    <m/>
    <m/>
    <n v="0"/>
    <n v="0"/>
    <n v="3805"/>
    <m/>
  </r>
  <r>
    <x v="1"/>
    <d v="2023-05-01T00:00:00"/>
    <s v="MAY001/23-24"/>
    <s v="Aishwarya Security Services"/>
    <s v="Aiss/23-24/21"/>
    <s v="Security  Service Charges"/>
    <s v="for the month of Apr 2023"/>
    <n v="60442"/>
    <m/>
    <m/>
    <n v="0"/>
    <n v="0"/>
    <n v="60442"/>
    <m/>
  </r>
  <r>
    <x v="1"/>
    <d v="2023-05-01T00:00:00"/>
    <s v="MAY002/23-24"/>
    <s v="SME Network"/>
    <s v="0186/GST/23-24"/>
    <s v="Professional Fees"/>
    <s v="IEC Modification ( Import &amp; Export Certi)"/>
    <n v="2500"/>
    <n v="0.18"/>
    <m/>
    <n v="225"/>
    <n v="225"/>
    <n v="2950"/>
    <m/>
  </r>
  <r>
    <x v="1"/>
    <d v="2023-05-04T00:00:00"/>
    <s v="MAY003/23-24"/>
    <s v="Cleanway Management Systems (India) Pvt Ltd"/>
    <s v="CMS/0111"/>
    <s v="Salary Maintenance"/>
    <s v="for the month of Apr 2023"/>
    <n v="187240"/>
    <n v="0.18"/>
    <m/>
    <n v="16851.599999999999"/>
    <n v="16851.599999999999"/>
    <n v="220943.2"/>
    <m/>
  </r>
  <r>
    <x v="1"/>
    <d v="2023-05-05T00:00:00"/>
    <s v="MAY004/23-24"/>
    <s v="Nikhila Engineering"/>
    <n v="983"/>
    <s v="Outside Insulation Job"/>
    <s v="Rakon Project"/>
    <n v="48256.67"/>
    <n v="0.18"/>
    <m/>
    <n v="4343.1003000000001"/>
    <n v="4343.1003000000001"/>
    <n v="56942.870599999995"/>
    <m/>
  </r>
  <r>
    <x v="1"/>
    <d v="2023-05-05T00:00:00"/>
    <s v="MAY005/23-24"/>
    <s v="Nikhila Engineering"/>
    <n v="984"/>
    <s v="Outside Insulation Job"/>
    <s v="KH Manipal Project - 647.8 Sqmt"/>
    <n v="80276.73"/>
    <n v="0.18"/>
    <m/>
    <n v="7224.9056999999993"/>
    <n v="7224.9056999999993"/>
    <n v="94726.541400000002"/>
    <m/>
  </r>
  <r>
    <x v="1"/>
    <d v="2023-05-05T00:00:00"/>
    <s v="MAY006/23-24"/>
    <s v="Nikhila Engineering"/>
    <n v="985"/>
    <s v="Outside Insulation Job"/>
    <s v="Tamara bengaluru Project - 115.2 Sqmt"/>
    <n v="14500.27"/>
    <n v="0.18"/>
    <m/>
    <n v="1305.0243"/>
    <n v="1305.0243"/>
    <n v="17110.318600000002"/>
    <m/>
  </r>
  <r>
    <x v="1"/>
    <d v="2023-05-05T00:00:00"/>
    <s v="MAY007/23-24"/>
    <s v="Nikhila Engineering"/>
    <n v="986"/>
    <s v="Outside Insulation Job"/>
    <s v="We Work Project - 1267 Sqmt"/>
    <n v="158364.60999999999"/>
    <n v="0.18"/>
    <m/>
    <n v="14252.814899999998"/>
    <n v="14252.814899999998"/>
    <n v="186870.23979999998"/>
    <m/>
  </r>
  <r>
    <x v="1"/>
    <d v="2023-05-05T00:00:00"/>
    <s v="MAY008/23-24"/>
    <s v="Nikhila Engineering"/>
    <n v="987"/>
    <s v="Outside Insulation Job"/>
    <s v="Knnd, Climatics &amp;  Welkin -1431.1 Sqmt"/>
    <n v="177518.53"/>
    <n v="0.18"/>
    <m/>
    <n v="15976.6677"/>
    <n v="15976.6677"/>
    <n v="209471.86539999998"/>
    <m/>
  </r>
  <r>
    <x v="1"/>
    <d v="2023-05-05T00:00:00"/>
    <s v="MAY009/23-24"/>
    <s v="Nikhila Engineering"/>
    <n v="988"/>
    <s v="Outside Insulation Job"/>
    <s v="MAHE Project - 1437.7 Sqmt"/>
    <n v="178464.92"/>
    <n v="0.18"/>
    <m/>
    <n v="16061.8428"/>
    <n v="16061.8428"/>
    <n v="210588.60560000004"/>
    <m/>
  </r>
  <r>
    <x v="1"/>
    <d v="2023-05-09T00:00:00"/>
    <s v="MAY010/23-24"/>
    <s v="Yes24 Guarding &amp; Facility Solutions Pvt Ltd"/>
    <s v="YES24/08797"/>
    <s v="Salary Maintenance"/>
    <s v="for the month of Apr 2023"/>
    <n v="392169.81"/>
    <n v="0.18"/>
    <m/>
    <n v="35295.282899999998"/>
    <n v="35295.282899999998"/>
    <n v="462760.37579999998"/>
    <m/>
  </r>
  <r>
    <x v="1"/>
    <d v="2023-05-11T00:00:00"/>
    <s v="MAY011/23-24"/>
    <s v="SBM Engineering  Works"/>
    <n v="893"/>
    <s v="Outside Jobwork"/>
    <s v="Lath working"/>
    <n v="8780"/>
    <m/>
    <m/>
    <n v="0"/>
    <n v="0"/>
    <n v="8780"/>
    <m/>
  </r>
  <r>
    <x v="1"/>
    <d v="2023-05-15T00:00:00"/>
    <s v="MAY012/23-24"/>
    <s v="Nandini Milk Parlour"/>
    <n v="235"/>
    <s v="Butter Milk"/>
    <s v="19/04/2023 to 15/05/2023 - 1010 nos"/>
    <n v="10100"/>
    <m/>
    <m/>
    <n v="0"/>
    <n v="0"/>
    <n v="10100"/>
    <m/>
  </r>
  <r>
    <x v="1"/>
    <d v="2023-05-24T00:00:00"/>
    <s v="MAY013/23-24"/>
    <s v="SMS Automobiles"/>
    <s v="SMS-I01873 "/>
    <s v="Car Service"/>
    <s v="Painting &amp; Denting Charges"/>
    <n v="10500"/>
    <n v="0.18"/>
    <m/>
    <n v="945"/>
    <n v="945"/>
    <n v="12390"/>
    <m/>
  </r>
  <r>
    <x v="1"/>
    <d v="2023-05-31T00:00:00"/>
    <s v="MAY014/23-24"/>
    <s v="Maruthi Service Station"/>
    <s v="00166"/>
    <s v="Petrol"/>
    <s v="10 Ltrs"/>
    <n v="1016.4"/>
    <m/>
    <m/>
    <n v="0"/>
    <n v="0"/>
    <n v="1016.4"/>
    <m/>
  </r>
  <r>
    <x v="1"/>
    <d v="2023-05-31T00:00:00"/>
    <s v="MAY015/23-24"/>
    <s v="Jupiter &amp; Company"/>
    <s v="0115/2023-24"/>
    <s v="Professional Fees"/>
    <s v="Labour Compliance Fees May 2023"/>
    <n v="1500"/>
    <n v="0.18"/>
    <m/>
    <n v="135"/>
    <n v="135"/>
    <n v="1770"/>
    <m/>
  </r>
  <r>
    <x v="1"/>
    <d v="2023-05-31T00:00:00"/>
    <s v="MAY016/23-24"/>
    <s v="Sri Veerabhadraswamy Transport"/>
    <s v="0018"/>
    <s v="Carriage Outward"/>
    <s v="for the month of May 2023"/>
    <n v="78850"/>
    <m/>
    <m/>
    <n v="0"/>
    <n v="0"/>
    <n v="78850"/>
    <m/>
  </r>
  <r>
    <x v="1"/>
    <d v="2023-05-31T00:00:00"/>
    <s v="MAY017/23-24"/>
    <s v="Nandini Milk Parlour"/>
    <n v="244"/>
    <s v="Butter Milk"/>
    <s v="16/05/2023 to 31/05/2023 - 660 nos"/>
    <n v="6600"/>
    <m/>
    <m/>
    <n v="0"/>
    <n v="0"/>
    <n v="6600"/>
    <m/>
  </r>
  <r>
    <x v="1"/>
    <d v="2023-05-31T00:00:00"/>
    <s v="MAY018/23-24"/>
    <s v="The Professional Couriers"/>
    <s v="HRD236600"/>
    <s v="Courier Charges"/>
    <s v="for the month of May 2023"/>
    <n v="655.5"/>
    <n v="0.18"/>
    <m/>
    <n v="58.994999999999997"/>
    <n v="58.994999999999997"/>
    <n v="773.49"/>
    <m/>
  </r>
  <r>
    <x v="2"/>
    <d v="2023-06-01T00:00:00"/>
    <s v="JUN001/23-24"/>
    <s v="Aishwarya Security Services"/>
    <s v="Aiss/23-244/200"/>
    <s v="Security  Service Charges"/>
    <s v="for the month of May 2023"/>
    <n v="60401"/>
    <m/>
    <m/>
    <n v="0"/>
    <n v="0"/>
    <n v="60401"/>
    <m/>
  </r>
  <r>
    <x v="2"/>
    <d v="2023-06-01T00:00:00"/>
    <s v="JUN002/23-24"/>
    <s v="Nikhila Engineering"/>
    <n v="991"/>
    <s v="Outside Insulation Job"/>
    <s v="We Work Project - 2583.8 Sqmt"/>
    <n v="322480.45"/>
    <n v="0.18"/>
    <m/>
    <n v="29023.2405"/>
    <n v="29023.2405"/>
    <n v="380526.93100000004"/>
    <m/>
  </r>
  <r>
    <x v="2"/>
    <d v="2023-06-01T00:00:00"/>
    <s v="JUN003/23-24"/>
    <s v="Nikhila Engineering"/>
    <n v="992"/>
    <s v="Outside Insulation Job"/>
    <s v="MHB - 692.8 Sqmt"/>
    <n v="86535.06"/>
    <n v="0.18"/>
    <m/>
    <n v="7788.1553999999996"/>
    <n v="7788.1553999999996"/>
    <n v="102111.3708"/>
    <m/>
  </r>
  <r>
    <x v="2"/>
    <d v="2023-06-01T00:00:00"/>
    <s v="JUN004/23-24"/>
    <s v="Nikhila Engineering"/>
    <n v="993"/>
    <s v="Outside Insulation Job"/>
    <s v="Nitte Karkala - 466.9 Sqmt"/>
    <n v="58114.18"/>
    <n v="0.18"/>
    <m/>
    <n v="5230.2762000000002"/>
    <n v="5230.2762000000002"/>
    <n v="68574.732400000008"/>
    <m/>
  </r>
  <r>
    <x v="2"/>
    <d v="2023-06-01T00:00:00"/>
    <s v="JUN005/23-24"/>
    <s v="Nikhila Engineering"/>
    <n v="994"/>
    <s v="Outside Insulation Job"/>
    <s v="Jayalaxmi - 727.9 Sqmt"/>
    <n v="90573.33"/>
    <n v="0.18"/>
    <m/>
    <n v="8151.5996999999998"/>
    <n v="8151.5996999999998"/>
    <n v="106876.52940000001"/>
    <m/>
  </r>
  <r>
    <x v="2"/>
    <d v="2023-06-06T00:00:00"/>
    <s v="JUN006/23-24"/>
    <s v="Capricot Technologies Pvt Ltd"/>
    <n v="232430523"/>
    <s v="Email Migration &amp; Renewal"/>
    <s v="29-05-2023 to 28-05-2024"/>
    <n v="17902.5"/>
    <n v="0.18"/>
    <m/>
    <n v="1611.2249999999999"/>
    <n v="1611.2249999999999"/>
    <n v="21124.949999999997"/>
    <m/>
  </r>
  <r>
    <x v="2"/>
    <d v="2023-06-07T00:00:00"/>
    <s v="JUN007/23-24"/>
    <s v="Cleanway Management Systems (India) Pvt Ltd"/>
    <s v="CMS/0265"/>
    <s v="Salary Maintenance"/>
    <s v="for the month of May 2023"/>
    <n v="182868"/>
    <n v="0.18"/>
    <m/>
    <n v="16458.12"/>
    <n v="16458.12"/>
    <n v="215784.24"/>
    <m/>
  </r>
  <r>
    <x v="2"/>
    <d v="2023-06-09T00:00:00"/>
    <s v="JUN008/23-24"/>
    <s v="Shri Sumukha Industries"/>
    <n v="1139"/>
    <s v="Outside Jobwork"/>
    <s v="Seam Closer machine Parts"/>
    <n v="7203"/>
    <n v="0.12"/>
    <m/>
    <n v="432.18"/>
    <n v="432.18"/>
    <n v="8067.3600000000006"/>
    <m/>
  </r>
  <r>
    <x v="2"/>
    <d v="2023-06-06T00:00:00"/>
    <s v="JUN009/23-24"/>
    <s v="Yes24 Guarding &amp; Facility Solutions Pvt Ltd"/>
    <s v="YES24/08971"/>
    <s v="Salary Maintenance"/>
    <s v="for the month of May 2023"/>
    <n v="377652.27"/>
    <n v="0.18"/>
    <m/>
    <n v="33988.704299999998"/>
    <n v="33988.704299999998"/>
    <n v="445629.67859999998"/>
    <m/>
  </r>
  <r>
    <x v="2"/>
    <d v="2023-06-21T00:00:00"/>
    <s v="JUN010/23-24"/>
    <s v="Sri Venkateshwara Enterprises"/>
    <n v="17509"/>
    <s v="Co2 Cylinder"/>
    <s v="1 nos"/>
    <n v="930"/>
    <n v="0.18"/>
    <m/>
    <n v="83.7"/>
    <n v="83.7"/>
    <n v="1097.4000000000001"/>
    <m/>
  </r>
  <r>
    <x v="2"/>
    <d v="2023-06-23T00:00:00"/>
    <s v="JUN011/23-24"/>
    <s v="Sri Venkateshwara Enterprises"/>
    <n v="17546"/>
    <s v="Co2 Cylinder"/>
    <s v="1 nos"/>
    <n v="930"/>
    <n v="0.18"/>
    <m/>
    <n v="83.7"/>
    <n v="83.7"/>
    <n v="1097.4000000000001"/>
    <m/>
  </r>
  <r>
    <x v="2"/>
    <d v="2023-06-22T00:00:00"/>
    <s v="JUN012/23-24"/>
    <s v="Cartridge Plus"/>
    <n v="307"/>
    <s v="Printing Charges"/>
    <s v="4 nos"/>
    <n v="4000"/>
    <n v="0.18"/>
    <m/>
    <n v="360"/>
    <n v="360"/>
    <n v="4720"/>
    <m/>
  </r>
  <r>
    <x v="2"/>
    <d v="2023-06-26T00:00:00"/>
    <s v="JUN013/23-24"/>
    <s v="Hydro Ion Pure Systems"/>
    <s v="265/23-24"/>
    <s v="Outside Jobwork"/>
    <s v="Installation for AutoBleed System"/>
    <n v="9000"/>
    <n v="0.18"/>
    <m/>
    <n v="810"/>
    <n v="810"/>
    <n v="10620"/>
    <m/>
  </r>
  <r>
    <x v="2"/>
    <d v="2023-06-26T00:00:00"/>
    <s v="JUN014/23-24"/>
    <s v="RBS IT Solutions"/>
    <s v="RBS/181/23-24"/>
    <s v="Tally Software"/>
    <s v="1 nos"/>
    <n v="10800"/>
    <n v="0.18"/>
    <m/>
    <n v="972"/>
    <n v="972"/>
    <n v="12744"/>
    <m/>
  </r>
  <r>
    <x v="2"/>
    <d v="2023-06-28T00:00:00"/>
    <s v="JUN015/23-24"/>
    <s v="SBM Engineering  Works"/>
    <n v="665"/>
    <s v="Outside Jobwork"/>
    <s v="Lath working"/>
    <n v="9400"/>
    <m/>
    <m/>
    <n v="0"/>
    <n v="0"/>
    <n v="9400"/>
    <m/>
  </r>
  <r>
    <x v="2"/>
    <d v="2023-06-28T00:00:00"/>
    <s v="JUN016/23-24"/>
    <s v="SBM Engineering  Works"/>
    <n v="667"/>
    <s v="Outside Jobwork"/>
    <s v="Lath working"/>
    <n v="10000"/>
    <m/>
    <m/>
    <n v="0"/>
    <n v="0"/>
    <n v="10000"/>
    <m/>
  </r>
  <r>
    <x v="2"/>
    <d v="2023-06-28T00:00:00"/>
    <s v="JUN017/23-24"/>
    <s v="Shandliya Softech Pvt Ltd"/>
    <s v="INV0010-23/10.06.23"/>
    <s v="Professional Fees"/>
    <s v="Form 26Q4, 24Q4 &amp; 24Q2 Filling"/>
    <n v="4050"/>
    <m/>
    <m/>
    <n v="351"/>
    <n v="351"/>
    <n v="4752"/>
    <m/>
  </r>
  <r>
    <x v="2"/>
    <d v="2023-06-30T00:00:00"/>
    <s v="JUN018/23-24"/>
    <s v="The Professional Couriers"/>
    <s v="HRD237793"/>
    <s v="Courier Charges"/>
    <s v="for the month of Jun 2023"/>
    <n v="517.5"/>
    <n v="0.18"/>
    <m/>
    <n v="46.574999999999996"/>
    <n v="46.574999999999996"/>
    <n v="610.65000000000009"/>
    <m/>
  </r>
  <r>
    <x v="2"/>
    <d v="2023-06-30T00:00:00"/>
    <s v="JUN019/23-24"/>
    <s v="Sri Veerabhadraswamy Transport"/>
    <s v="0038/30.06.23"/>
    <s v="Carriage Outward"/>
    <s v="for the month of Jun 2023"/>
    <n v="73450"/>
    <m/>
    <m/>
    <n v="0"/>
    <n v="0"/>
    <n v="73450"/>
    <m/>
  </r>
  <r>
    <x v="2"/>
    <d v="2023-06-30T00:00:00"/>
    <s v="JUN020/23-24"/>
    <s v="Sri Veerabhadraswamy Transport"/>
    <s v="0039/30.06.23"/>
    <s v="Carriage Outward"/>
    <s v="for the month of Jun 2023"/>
    <n v="39800"/>
    <m/>
    <m/>
    <n v="0"/>
    <n v="0"/>
    <n v="39800"/>
    <m/>
  </r>
  <r>
    <x v="2"/>
    <d v="2023-06-30T00:00:00"/>
    <s v="JUN021/23-24"/>
    <s v="Sri Veerabhadraswamy Transport"/>
    <s v="0040/30.06.23"/>
    <s v="Transportation Charges"/>
    <s v="for the month of Jun 2023"/>
    <n v="23100"/>
    <m/>
    <m/>
    <n v="0"/>
    <n v="0"/>
    <n v="23100"/>
    <m/>
  </r>
  <r>
    <x v="2"/>
    <d v="2023-06-30T00:00:00"/>
    <s v="JUN022/23-24"/>
    <s v="Nandini Milk Parlour"/>
    <n v="266"/>
    <s v="Butter Milk"/>
    <s v="01/06/2023 to 20/06/2023 - 755 nos"/>
    <n v="7550"/>
    <m/>
    <m/>
    <n v="0"/>
    <n v="0"/>
    <n v="7550"/>
    <m/>
  </r>
  <r>
    <x v="2"/>
    <d v="2023-06-30T00:00:00"/>
    <s v="JUN023/23-24"/>
    <s v="Suresh Travel"/>
    <s v="1021/23-24"/>
    <s v="Taxi Hire Charges"/>
    <s v="Ravi sir visited Kolar"/>
    <n v="4550"/>
    <m/>
    <m/>
    <n v="0"/>
    <n v="0"/>
    <n v="4550"/>
    <m/>
  </r>
  <r>
    <x v="2"/>
    <d v="2023-06-30T00:00:00"/>
    <s v="JUN024/23-24"/>
    <s v="Armstrong International Consultants"/>
    <s v="BLR/2023-24/0729"/>
    <s v="Professional Fees"/>
    <s v="Gratuity report consulting fees"/>
    <n v="500"/>
    <n v="0.18"/>
    <m/>
    <n v="45"/>
    <n v="45"/>
    <n v="590"/>
    <m/>
  </r>
  <r>
    <x v="3"/>
    <d v="2023-07-01T00:00:00"/>
    <s v="JUL001/23-24"/>
    <s v="Aishwarya Security Services"/>
    <s v="Aiss/23-24/383"/>
    <s v="Security  Service Charges"/>
    <s v="for the month of Jun 2023"/>
    <n v="60442"/>
    <m/>
    <m/>
    <n v="0"/>
    <n v="0"/>
    <n v="60442"/>
    <m/>
  </r>
  <r>
    <x v="3"/>
    <d v="2023-07-04T00:00:00"/>
    <s v="JUL002/23-24"/>
    <s v="Nikhila Engineering"/>
    <n v="996"/>
    <s v="Outside Insulation Job"/>
    <s v="Yenepoya BCIT"/>
    <n v="195928.91"/>
    <n v="0.18"/>
    <m/>
    <n v="17633.601900000001"/>
    <n v="17633.601900000001"/>
    <n v="231196.11380000002"/>
    <m/>
  </r>
  <r>
    <x v="3"/>
    <d v="2023-07-04T00:00:00"/>
    <s v="JUL003/23-24"/>
    <s v="Nikhila Engineering"/>
    <n v="997"/>
    <s v="Outside Insulation Job"/>
    <s v="WE Work PTP - Jupiter"/>
    <n v="55848.26"/>
    <n v="0.18"/>
    <m/>
    <n v="5026.3433999999997"/>
    <n v="5026.3433999999997"/>
    <n v="65900.946800000005"/>
    <m/>
  </r>
  <r>
    <x v="3"/>
    <d v="2023-07-04T00:00:00"/>
    <s v="JUL004/23-24"/>
    <s v="Nikhila Engineering"/>
    <n v="998"/>
    <s v="Outside Insulation Job"/>
    <s v="MIT - AB5 Manipal"/>
    <n v="54258.31"/>
    <n v="0.18"/>
    <m/>
    <n v="4883.2478999999994"/>
    <n v="4883.2478999999994"/>
    <n v="64024.805800000002"/>
    <m/>
  </r>
  <r>
    <x v="3"/>
    <d v="2023-07-04T00:00:00"/>
    <s v="JUL005/23-24"/>
    <s v="Nikhila Engineering"/>
    <n v="999"/>
    <s v="Outside Insulation Job"/>
    <s v="Blood Sample Collection Area Manipal"/>
    <n v="65809.850000000006"/>
    <n v="0.18"/>
    <m/>
    <n v="5922.8865000000005"/>
    <n v="5922.8865000000005"/>
    <n v="77655.622999999992"/>
    <m/>
  </r>
  <r>
    <x v="3"/>
    <d v="2023-07-04T00:00:00"/>
    <s v="JUL006/23-24"/>
    <s v="Nikhila Engineering"/>
    <n v="1000"/>
    <s v="Outside Insulation Job"/>
    <s v="Waterproofing Insulation (Camduct Factory)"/>
    <n v="29650"/>
    <n v="0.18"/>
    <m/>
    <n v="2668.5"/>
    <n v="2668.5"/>
    <n v="34987"/>
    <m/>
  </r>
  <r>
    <x v="3"/>
    <d v="2023-07-05T00:00:00"/>
    <s v="JUL007/23-24"/>
    <s v="Nikhila Engineering"/>
    <s v="012/05.07.23"/>
    <s v="Outside Jobwork"/>
    <s v="Installation and Shifting  Work"/>
    <n v="64800"/>
    <n v="0.18"/>
    <m/>
    <n v="5832"/>
    <n v="5832"/>
    <n v="76464"/>
    <m/>
  </r>
  <r>
    <x v="3"/>
    <d v="2023-07-10T00:00:00"/>
    <s v="JUL008/23-24"/>
    <s v="Asta Engineering Solutions"/>
    <s v="2023-24/019"/>
    <s v="Biometric Installation"/>
    <s v="Biometric Installation"/>
    <n v="25200"/>
    <n v="0.18"/>
    <m/>
    <n v="2268"/>
    <n v="2268"/>
    <n v="29736"/>
    <m/>
  </r>
  <r>
    <x v="3"/>
    <d v="2023-07-12T00:00:00"/>
    <s v="JUL009/23-24"/>
    <s v="Asta Engineering Solutions"/>
    <s v="2023-24/021"/>
    <s v="CC TV Service"/>
    <s v="CC TV  - 1 nos &amp; Service Charges"/>
    <n v="6500"/>
    <n v="0.18"/>
    <m/>
    <n v="585"/>
    <n v="585"/>
    <n v="7670"/>
    <m/>
  </r>
  <r>
    <x v="3"/>
    <d v="2023-07-15T00:00:00"/>
    <s v="JUL010/23-24"/>
    <s v="Maruthi Service Station"/>
    <s v="00337"/>
    <s v="Diesel for DG"/>
    <s v="120 Ltrs"/>
    <n v="10514"/>
    <m/>
    <m/>
    <n v="0"/>
    <n v="0"/>
    <n v="10514"/>
    <m/>
  </r>
  <r>
    <x v="3"/>
    <d v="2023-07-11T00:00:00"/>
    <s v="JUL011/23-24"/>
    <s v="Yes24 Guarding &amp; Facility Solutions Pvt Ltd"/>
    <s v="YES24/09148"/>
    <s v="Salary Maintenance"/>
    <s v="for the month of Jun 2023"/>
    <n v="407102.93"/>
    <n v="0.18"/>
    <m/>
    <n v="36639.263699999996"/>
    <n v="36639.263699999996"/>
    <n v="480381.45740000001"/>
    <m/>
  </r>
  <r>
    <x v="3"/>
    <d v="2023-07-11T00:00:00"/>
    <s v="JUL012/23-24"/>
    <s v="Yes24 Guarding &amp; Facility Solutions Pvt Ltd"/>
    <s v="YES24/09149"/>
    <s v="Salary Maintenance"/>
    <s v="Arrears for the month of Apr &amp; May 2023"/>
    <n v="58789"/>
    <n v="0.18"/>
    <m/>
    <n v="5291.01"/>
    <n v="5291.01"/>
    <n v="69371.02"/>
    <m/>
  </r>
  <r>
    <x v="3"/>
    <d v="2023-07-18T00:00:00"/>
    <s v="JUL013/23-24"/>
    <s v="Cartridge Plus"/>
    <n v="425"/>
    <s v="Printing Charges"/>
    <s v="Catridge refilling - 3 nos &amp; Replacing pick up roller - 2 nos"/>
    <n v="4500"/>
    <n v="0.18"/>
    <m/>
    <n v="405"/>
    <n v="405"/>
    <n v="5310"/>
    <m/>
  </r>
  <r>
    <x v="3"/>
    <d v="2023-07-21T00:00:00"/>
    <s v="JUL014/23-24"/>
    <s v="Cleanway Management Systems (India) Pvt Ltd"/>
    <s v="SAKACW/0075/2324"/>
    <s v="Salary Maintenance"/>
    <s v="for the month of Jun 2023"/>
    <n v="201672"/>
    <n v="0.18"/>
    <m/>
    <n v="18150.48"/>
    <n v="18150.48"/>
    <n v="237972.96000000002"/>
    <m/>
  </r>
  <r>
    <x v="3"/>
    <d v="2023-07-25T00:00:00"/>
    <s v="JUL015/23-24"/>
    <s v="Sri Venkateshwara Enterprises"/>
    <n v="17984"/>
    <s v="Co2 Cylinder"/>
    <s v=" 2 nos"/>
    <n v="1860"/>
    <n v="0.18"/>
    <m/>
    <n v="167.4"/>
    <n v="167.4"/>
    <n v="2194.8000000000002"/>
    <m/>
  </r>
  <r>
    <x v="3"/>
    <d v="2023-07-27T00:00:00"/>
    <s v="JUL016/23-24"/>
    <s v="Farmotex Solutions Private Limited"/>
    <s v="042/27.07.23"/>
    <s v="Service Charges"/>
    <s v="Service for Controlled Voltage stabilizer - 3 nos"/>
    <n v="9000"/>
    <n v="0.18"/>
    <m/>
    <n v="810"/>
    <n v="810"/>
    <n v="10620"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5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4"/>
    <m/>
    <m/>
    <m/>
    <m/>
    <m/>
    <m/>
    <m/>
    <m/>
    <m/>
    <m/>
    <m/>
    <m/>
    <m/>
  </r>
  <r>
    <x v="5"/>
    <m/>
    <m/>
    <m/>
    <m/>
    <m/>
    <m/>
    <m/>
    <m/>
    <m/>
    <m/>
    <m/>
    <m/>
    <m/>
  </r>
  <r>
    <x v="5"/>
    <m/>
    <m/>
    <m/>
    <m/>
    <m/>
    <m/>
    <m/>
    <m/>
    <m/>
    <m/>
    <m/>
    <m/>
    <m/>
  </r>
  <r>
    <x v="5"/>
    <m/>
    <m/>
    <m/>
    <m/>
    <m/>
    <m/>
    <m/>
    <m/>
    <m/>
    <m/>
    <m/>
    <m/>
    <m/>
  </r>
  <r>
    <x v="5"/>
    <m/>
    <m/>
    <m/>
    <m/>
    <m/>
    <m/>
    <m/>
    <m/>
    <m/>
    <m/>
    <m/>
    <m/>
    <m/>
  </r>
  <r>
    <x v="5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Month">
  <location ref="E3:F8" firstHeaderRow="1" firstDataRow="1" firstDataCol="1"/>
  <pivotFields count="14">
    <pivotField axis="axisRow" showAll="0">
      <items count="7">
        <item x="0"/>
        <item x="1"/>
        <item h="1" x="4"/>
        <item h="1"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4"/>
    </i>
    <i>
      <x v="5"/>
    </i>
    <i t="grand">
      <x/>
    </i>
  </rowItems>
  <colItems count="1">
    <i/>
  </colItems>
  <dataFields count="1">
    <dataField name="Total  Invoice's Value" fld="12" baseField="0" baseItem="0" numFmtId="165"/>
  </dataFields>
  <formats count="15">
    <format dxfId="44">
      <pivotArea field="0" type="button" dataOnly="0" labelOnly="1" outline="0" axis="axisRow" fieldPosition="0"/>
    </format>
    <format dxfId="43">
      <pivotArea dataOnly="0" labelOnly="1" outline="0" axis="axisValues" fieldPosition="0"/>
    </format>
    <format dxfId="42">
      <pivotArea field="0" type="button" dataOnly="0" labelOnly="1" outline="0" axis="axisRow" fieldPosition="0"/>
    </format>
    <format dxfId="41">
      <pivotArea dataOnly="0" labelOnly="1" outline="0" axis="axisValues" fieldPosition="0"/>
    </format>
    <format dxfId="40">
      <pivotArea grandRow="1" outline="0" collapsedLevelsAreSubtotals="1" fieldPosition="0"/>
    </format>
    <format dxfId="39">
      <pivotArea dataOnly="0" labelOnly="1" grandRow="1" outline="0" fieldPosition="0"/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outline="0" collapsedLevelsAreSubtotals="1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outline="0" axis="axisValues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Month">
  <location ref="B3:C8" firstHeaderRow="1" firstDataRow="1" firstDataCol="1"/>
  <pivotFields count="15">
    <pivotField axis="axisRow" showAll="0">
      <items count="7">
        <item x="0"/>
        <item h="1" x="4"/>
        <item x="1"/>
        <item h="1"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2"/>
    </i>
    <i>
      <x v="4"/>
    </i>
    <i>
      <x v="5"/>
    </i>
    <i t="grand">
      <x/>
    </i>
  </rowItems>
  <colItems count="1">
    <i/>
  </colItems>
  <dataFields count="1">
    <dataField name="Total  Invoice's Value" fld="14" baseField="0" baseItem="0" numFmtId="165"/>
  </dataFields>
  <formats count="14">
    <format dxfId="58">
      <pivotArea field="0" type="button" dataOnly="0" labelOnly="1" outline="0" axis="axisRow" fieldPosition="0"/>
    </format>
    <format dxfId="57">
      <pivotArea dataOnly="0" labelOnly="1" outline="0" axis="axisValues" fieldPosition="0"/>
    </format>
    <format dxfId="56">
      <pivotArea field="0" type="button" dataOnly="0" labelOnly="1" outline="0" axis="axisRow" fieldPosition="0"/>
    </format>
    <format dxfId="55">
      <pivotArea dataOnly="0" labelOnly="1" outline="0" axis="axisValues" fieldPosition="0"/>
    </format>
    <format dxfId="54">
      <pivotArea dataOnly="0" grandRow="1" axis="axisRow" fieldPosition="0"/>
    </format>
    <format dxfId="53">
      <pivotArea dataOnly="0" grandRow="1" axis="axisRow" fieldPosition="0"/>
    </format>
    <format dxfId="52">
      <pivotArea outline="0" collapsedLevelsAreSubtotals="1" fieldPosition="0"/>
    </format>
    <format dxfId="51">
      <pivotArea collapsedLevelsAreSubtotals="1" fieldPosition="0">
        <references count="1">
          <reference field="0" count="0"/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0" type="button" dataOnly="0" labelOnly="1" outline="0" axis="axisRow" fieldPosition="0"/>
    </format>
    <format dxfId="47">
      <pivotArea dataOnly="0" labelOnly="1" outline="0" axis="axisValues" fieldPosition="0"/>
    </format>
    <format dxfId="46">
      <pivotArea dataOnly="0" labelOnly="1" fieldPosition="0">
        <references count="1">
          <reference field="0" count="0"/>
        </references>
      </pivotArea>
    </format>
    <format dxfId="4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F22"/>
  <sheetViews>
    <sheetView workbookViewId="0">
      <selection activeCell="B7" sqref="B7:F22"/>
    </sheetView>
  </sheetViews>
  <sheetFormatPr defaultRowHeight="15" x14ac:dyDescent="0.25"/>
  <cols>
    <col min="3" max="3" width="29.5703125" customWidth="1"/>
    <col min="4" max="4" width="17.5703125" customWidth="1"/>
    <col min="5" max="5" width="14.28515625" bestFit="1" customWidth="1"/>
  </cols>
  <sheetData>
    <row r="6" spans="2:6" ht="15.75" thickBot="1" x14ac:dyDescent="0.3"/>
    <row r="7" spans="2:6" ht="15.75" thickBot="1" x14ac:dyDescent="0.3">
      <c r="B7" s="79" t="s">
        <v>0</v>
      </c>
      <c r="C7" s="80"/>
      <c r="D7" s="80"/>
      <c r="E7" s="80"/>
      <c r="F7" s="81"/>
    </row>
    <row r="8" spans="2:6" ht="15.75" thickBot="1" x14ac:dyDescent="0.3">
      <c r="B8" s="1" t="s">
        <v>1</v>
      </c>
      <c r="C8" s="2" t="s">
        <v>2</v>
      </c>
      <c r="D8" s="1" t="s">
        <v>3</v>
      </c>
      <c r="E8" s="2" t="s">
        <v>4</v>
      </c>
      <c r="F8" s="1" t="s">
        <v>5</v>
      </c>
    </row>
    <row r="9" spans="2:6" x14ac:dyDescent="0.25">
      <c r="B9" s="3">
        <v>1</v>
      </c>
      <c r="C9" t="s">
        <v>6</v>
      </c>
      <c r="D9" s="4" t="s">
        <v>7</v>
      </c>
      <c r="E9" t="s">
        <v>8</v>
      </c>
      <c r="F9" s="4">
        <v>66080</v>
      </c>
    </row>
    <row r="10" spans="2:6" x14ac:dyDescent="0.25">
      <c r="B10" s="5">
        <v>2</v>
      </c>
      <c r="C10" t="s">
        <v>9</v>
      </c>
      <c r="D10" s="6" t="s">
        <v>10</v>
      </c>
      <c r="E10" t="s">
        <v>11</v>
      </c>
      <c r="F10" s="6">
        <v>139222</v>
      </c>
    </row>
    <row r="11" spans="2:6" x14ac:dyDescent="0.25">
      <c r="B11" s="5">
        <v>3</v>
      </c>
      <c r="C11" t="s">
        <v>12</v>
      </c>
      <c r="D11" s="6" t="s">
        <v>13</v>
      </c>
      <c r="E11" t="s">
        <v>14</v>
      </c>
      <c r="F11" s="6">
        <v>345744</v>
      </c>
    </row>
    <row r="12" spans="2:6" x14ac:dyDescent="0.25">
      <c r="B12" s="5">
        <v>4</v>
      </c>
      <c r="C12" t="s">
        <v>15</v>
      </c>
      <c r="D12" s="6" t="s">
        <v>16</v>
      </c>
      <c r="E12" t="s">
        <v>17</v>
      </c>
      <c r="F12" s="6">
        <v>2655</v>
      </c>
    </row>
    <row r="13" spans="2:6" x14ac:dyDescent="0.25">
      <c r="B13" s="5">
        <v>5</v>
      </c>
      <c r="C13" t="s">
        <v>18</v>
      </c>
      <c r="D13" s="6" t="s">
        <v>19</v>
      </c>
      <c r="E13" t="s">
        <v>20</v>
      </c>
      <c r="F13" s="6">
        <v>2561</v>
      </c>
    </row>
    <row r="14" spans="2:6" x14ac:dyDescent="0.25">
      <c r="B14" s="5">
        <v>6</v>
      </c>
      <c r="C14" t="s">
        <v>12</v>
      </c>
      <c r="D14" s="6" t="s">
        <v>21</v>
      </c>
      <c r="E14" t="s">
        <v>22</v>
      </c>
      <c r="F14" s="6">
        <v>350343</v>
      </c>
    </row>
    <row r="15" spans="2:6" ht="15.75" thickBot="1" x14ac:dyDescent="0.3">
      <c r="B15" s="5">
        <v>7</v>
      </c>
      <c r="C15" t="s">
        <v>23</v>
      </c>
      <c r="D15" s="6" t="s">
        <v>24</v>
      </c>
      <c r="E15" t="s">
        <v>25</v>
      </c>
      <c r="F15" s="7">
        <v>22300</v>
      </c>
    </row>
    <row r="16" spans="2:6" ht="15.75" thickBot="1" x14ac:dyDescent="0.3">
      <c r="B16" s="79" t="s">
        <v>26</v>
      </c>
      <c r="C16" s="80"/>
      <c r="D16" s="80"/>
      <c r="E16" s="81"/>
      <c r="F16" s="8">
        <f>SUM(F9:F15)</f>
        <v>928905</v>
      </c>
    </row>
    <row r="17" spans="2:6" ht="15.75" thickBot="1" x14ac:dyDescent="0.3"/>
    <row r="18" spans="2:6" ht="15.75" thickBot="1" x14ac:dyDescent="0.3">
      <c r="B18" s="79" t="s">
        <v>27</v>
      </c>
      <c r="C18" s="80"/>
      <c r="D18" s="80"/>
      <c r="E18" s="80"/>
      <c r="F18" s="81"/>
    </row>
    <row r="19" spans="2:6" ht="15.75" thickBot="1" x14ac:dyDescent="0.3">
      <c r="B19" s="9" t="s">
        <v>1</v>
      </c>
      <c r="C19" s="1" t="s">
        <v>2</v>
      </c>
      <c r="D19" s="1" t="s">
        <v>3</v>
      </c>
      <c r="E19" s="2" t="s">
        <v>28</v>
      </c>
      <c r="F19" s="1" t="s">
        <v>5</v>
      </c>
    </row>
    <row r="20" spans="2:6" x14ac:dyDescent="0.25">
      <c r="B20" s="3">
        <v>1</v>
      </c>
      <c r="C20" t="s">
        <v>29</v>
      </c>
      <c r="D20" s="4" t="s">
        <v>30</v>
      </c>
      <c r="E20" t="s">
        <v>31</v>
      </c>
      <c r="F20" s="4">
        <v>89953</v>
      </c>
    </row>
    <row r="21" spans="2:6" ht="15.75" thickBot="1" x14ac:dyDescent="0.3">
      <c r="B21" s="10">
        <v>2</v>
      </c>
      <c r="C21" t="s">
        <v>32</v>
      </c>
      <c r="D21" s="7" t="s">
        <v>33</v>
      </c>
      <c r="E21" t="s">
        <v>34</v>
      </c>
      <c r="F21" s="7">
        <v>773</v>
      </c>
    </row>
    <row r="22" spans="2:6" ht="15.75" thickBot="1" x14ac:dyDescent="0.3">
      <c r="B22" s="79" t="s">
        <v>26</v>
      </c>
      <c r="C22" s="80"/>
      <c r="D22" s="80"/>
      <c r="E22" s="81"/>
      <c r="F22" s="8">
        <f>SUM(F20:F21)</f>
        <v>90726</v>
      </c>
    </row>
  </sheetData>
  <mergeCells count="4">
    <mergeCell ref="B7:F7"/>
    <mergeCell ref="B16:E16"/>
    <mergeCell ref="B18:F18"/>
    <mergeCell ref="B22:E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"/>
  <sheetViews>
    <sheetView showGridLines="0" zoomScale="115" zoomScaleNormal="115" workbookViewId="0">
      <selection activeCell="C5" sqref="C5"/>
    </sheetView>
  </sheetViews>
  <sheetFormatPr defaultRowHeight="15" x14ac:dyDescent="0.25"/>
  <cols>
    <col min="2" max="2" width="9.5703125" bestFit="1" customWidth="1"/>
    <col min="3" max="3" width="16.42578125" bestFit="1" customWidth="1"/>
    <col min="5" max="5" width="9.5703125" bestFit="1" customWidth="1"/>
    <col min="6" max="6" width="16.42578125" bestFit="1" customWidth="1"/>
  </cols>
  <sheetData>
    <row r="1" spans="2:6" x14ac:dyDescent="0.25">
      <c r="B1" s="82" t="s">
        <v>57</v>
      </c>
      <c r="C1" s="82"/>
      <c r="D1" s="72"/>
      <c r="E1" s="83" t="s">
        <v>58</v>
      </c>
      <c r="F1" s="83"/>
    </row>
    <row r="2" spans="2:6" hidden="1" x14ac:dyDescent="0.25">
      <c r="B2" s="72"/>
      <c r="C2" s="72"/>
      <c r="D2" s="72"/>
      <c r="E2" s="72"/>
      <c r="F2" s="72"/>
    </row>
    <row r="3" spans="2:6" x14ac:dyDescent="0.25">
      <c r="B3" s="73" t="s">
        <v>56</v>
      </c>
      <c r="C3" s="73" t="s">
        <v>59</v>
      </c>
      <c r="D3" s="72"/>
      <c r="E3" s="73" t="s">
        <v>56</v>
      </c>
      <c r="F3" s="73" t="s">
        <v>59</v>
      </c>
    </row>
    <row r="4" spans="2:6" x14ac:dyDescent="0.25">
      <c r="B4" s="74" t="s">
        <v>54</v>
      </c>
      <c r="C4" s="75">
        <v>7822539.9127999973</v>
      </c>
      <c r="D4" s="72"/>
      <c r="E4" s="74" t="s">
        <v>54</v>
      </c>
      <c r="F4" s="75">
        <v>133686.20000000001</v>
      </c>
    </row>
    <row r="5" spans="2:6" x14ac:dyDescent="0.25">
      <c r="B5" s="74" t="s">
        <v>181</v>
      </c>
      <c r="C5" s="75">
        <v>6293031.0959999999</v>
      </c>
      <c r="D5" s="72"/>
      <c r="E5" s="74" t="s">
        <v>181</v>
      </c>
      <c r="F5" s="75">
        <v>1643085.9072</v>
      </c>
    </row>
    <row r="6" spans="2:6" x14ac:dyDescent="0.25">
      <c r="B6" s="74" t="s">
        <v>364</v>
      </c>
      <c r="C6" s="75">
        <v>2446937.2552</v>
      </c>
      <c r="D6" s="72"/>
      <c r="E6" s="74" t="s">
        <v>364</v>
      </c>
      <c r="F6" s="75">
        <v>1613178.2421999997</v>
      </c>
    </row>
    <row r="7" spans="2:6" x14ac:dyDescent="0.25">
      <c r="B7" s="74" t="s">
        <v>436</v>
      </c>
      <c r="C7" s="75">
        <v>7321507.6500000004</v>
      </c>
      <c r="D7" s="72"/>
      <c r="E7" s="74" t="s">
        <v>436</v>
      </c>
      <c r="F7" s="75">
        <v>1464440.7268000001</v>
      </c>
    </row>
    <row r="8" spans="2:6" x14ac:dyDescent="0.25">
      <c r="B8" s="76" t="s">
        <v>55</v>
      </c>
      <c r="C8" s="77">
        <v>23884015.913999997</v>
      </c>
      <c r="D8" s="72"/>
      <c r="E8" s="76" t="s">
        <v>55</v>
      </c>
      <c r="F8" s="77">
        <v>4854391.0762</v>
      </c>
    </row>
    <row r="9" spans="2:6" x14ac:dyDescent="0.25">
      <c r="D9" s="72"/>
    </row>
    <row r="10" spans="2:6" x14ac:dyDescent="0.25">
      <c r="D10" s="72"/>
    </row>
    <row r="11" spans="2:6" x14ac:dyDescent="0.25">
      <c r="D11" s="72"/>
    </row>
    <row r="12" spans="2:6" x14ac:dyDescent="0.25">
      <c r="D12" s="72"/>
    </row>
    <row r="13" spans="2:6" x14ac:dyDescent="0.25">
      <c r="D13" s="72"/>
    </row>
    <row r="14" spans="2:6" x14ac:dyDescent="0.25">
      <c r="D14" s="72"/>
    </row>
    <row r="15" spans="2:6" x14ac:dyDescent="0.25">
      <c r="D15" s="72"/>
    </row>
    <row r="16" spans="2:6" x14ac:dyDescent="0.25">
      <c r="D16" s="72"/>
    </row>
  </sheetData>
  <mergeCells count="2">
    <mergeCell ref="B1:C1"/>
    <mergeCell ref="E1:F1"/>
  </mergeCell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4"/>
  <sheetViews>
    <sheetView showGridLines="0" tabSelected="1" topLeftCell="D1" workbookViewId="0">
      <pane ySplit="3" topLeftCell="A52" activePane="bottomLeft" state="frozen"/>
      <selection pane="bottomLeft" activeCell="P83" sqref="P83"/>
    </sheetView>
  </sheetViews>
  <sheetFormatPr defaultRowHeight="15" x14ac:dyDescent="0.25"/>
  <cols>
    <col min="1" max="1" width="10.42578125" bestFit="1" customWidth="1"/>
    <col min="2" max="3" width="12.28515625" customWidth="1"/>
    <col min="4" max="4" width="11.28515625" customWidth="1"/>
    <col min="5" max="5" width="27.85546875" bestFit="1" customWidth="1"/>
    <col min="6" max="6" width="37.5703125" bestFit="1" customWidth="1"/>
    <col min="7" max="7" width="76.85546875" bestFit="1" customWidth="1"/>
    <col min="8" max="8" width="15.28515625" customWidth="1"/>
    <col min="9" max="9" width="10.5703125" customWidth="1"/>
    <col min="10" max="10" width="13.140625" bestFit="1" customWidth="1"/>
    <col min="11" max="11" width="14.42578125" bestFit="1" customWidth="1"/>
    <col min="12" max="12" width="8.85546875" customWidth="1"/>
    <col min="13" max="15" width="12.140625" bestFit="1" customWidth="1"/>
    <col min="16" max="16" width="14.140625" bestFit="1" customWidth="1"/>
  </cols>
  <sheetData>
    <row r="1" spans="1:16" ht="23.25" x14ac:dyDescent="0.35">
      <c r="A1" s="84" t="s">
        <v>62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6"/>
    </row>
    <row r="2" spans="1:16" ht="18.75" x14ac:dyDescent="0.3">
      <c r="A2" s="11"/>
      <c r="B2" s="39"/>
      <c r="C2" s="39"/>
      <c r="D2" s="39"/>
      <c r="E2" s="39"/>
      <c r="F2" s="39"/>
      <c r="G2" s="39"/>
      <c r="H2" s="40">
        <f t="shared" ref="H2:P2" si="0">SUM(H4:H1006)</f>
        <v>20104280.800000001</v>
      </c>
      <c r="I2" s="40">
        <f t="shared" si="0"/>
        <v>137275</v>
      </c>
      <c r="J2" s="40">
        <f t="shared" si="0"/>
        <v>2186.5</v>
      </c>
      <c r="K2" s="40">
        <f t="shared" si="0"/>
        <v>20243742.300000001</v>
      </c>
      <c r="L2" s="40">
        <f t="shared" si="0"/>
        <v>14.399999999999986</v>
      </c>
      <c r="M2" s="40">
        <f t="shared" si="0"/>
        <v>253695.88799999998</v>
      </c>
      <c r="N2" s="40">
        <f t="shared" si="0"/>
        <v>1693288.8630000004</v>
      </c>
      <c r="O2" s="40">
        <f t="shared" si="0"/>
        <v>1693288.8630000004</v>
      </c>
      <c r="P2" s="40">
        <f t="shared" si="0"/>
        <v>23884015.914000001</v>
      </c>
    </row>
    <row r="3" spans="1:16" s="16" customFormat="1" ht="31.5" x14ac:dyDescent="0.25">
      <c r="A3" s="20" t="s">
        <v>50</v>
      </c>
      <c r="B3" s="21" t="s">
        <v>51</v>
      </c>
      <c r="C3" s="53" t="s">
        <v>52</v>
      </c>
      <c r="D3" s="37" t="s">
        <v>53</v>
      </c>
      <c r="E3" s="37" t="s">
        <v>3</v>
      </c>
      <c r="F3" s="37" t="s">
        <v>2</v>
      </c>
      <c r="G3" s="37" t="s">
        <v>37</v>
      </c>
      <c r="H3" s="37" t="s">
        <v>44</v>
      </c>
      <c r="I3" s="37" t="s">
        <v>38</v>
      </c>
      <c r="J3" s="37" t="s">
        <v>43</v>
      </c>
      <c r="K3" s="37" t="s">
        <v>39</v>
      </c>
      <c r="L3" s="37" t="s">
        <v>45</v>
      </c>
      <c r="M3" s="37" t="s">
        <v>40</v>
      </c>
      <c r="N3" s="37" t="s">
        <v>41</v>
      </c>
      <c r="O3" s="37" t="s">
        <v>42</v>
      </c>
      <c r="P3" s="37" t="s">
        <v>48</v>
      </c>
    </row>
    <row r="4" spans="1:16" x14ac:dyDescent="0.25">
      <c r="A4" s="22">
        <f>IF(C4="","",COUNTA($C$4:C4))</f>
        <v>1</v>
      </c>
      <c r="B4" s="23" t="str">
        <f t="shared" ref="B4" si="1">IF(C4="","",TEXT(C4,"mmmm"))</f>
        <v>April</v>
      </c>
      <c r="C4" s="35">
        <v>45020</v>
      </c>
      <c r="D4" s="24" t="s">
        <v>64</v>
      </c>
      <c r="E4" s="25" t="s">
        <v>65</v>
      </c>
      <c r="F4" s="25" t="s">
        <v>60</v>
      </c>
      <c r="G4" s="25" t="s">
        <v>66</v>
      </c>
      <c r="H4" s="26">
        <v>61248</v>
      </c>
      <c r="I4" s="26">
        <v>2500</v>
      </c>
      <c r="J4" s="26">
        <v>0</v>
      </c>
      <c r="K4" s="26">
        <f t="shared" ref="K4:K83" si="2">H4+I4+J4</f>
        <v>63748</v>
      </c>
      <c r="L4" s="41">
        <v>0.18</v>
      </c>
      <c r="M4" s="27">
        <f>K4*18%</f>
        <v>11474.64</v>
      </c>
      <c r="N4" s="26">
        <v>0</v>
      </c>
      <c r="O4" s="26">
        <v>0</v>
      </c>
      <c r="P4" s="42">
        <f t="shared" ref="P4:P24" si="3">K4+M4+N4+O4</f>
        <v>75222.64</v>
      </c>
    </row>
    <row r="5" spans="1:16" x14ac:dyDescent="0.25">
      <c r="A5" s="22">
        <f>IF(C5="","",COUNTA($C$4:C5))</f>
        <v>2</v>
      </c>
      <c r="B5" s="23" t="str">
        <f t="shared" ref="B5" si="4">IF(C5="","",TEXT(C5,"mmmm"))</f>
        <v>April</v>
      </c>
      <c r="C5" s="35">
        <v>45024</v>
      </c>
      <c r="D5" s="24" t="s">
        <v>67</v>
      </c>
      <c r="E5" s="25" t="s">
        <v>68</v>
      </c>
      <c r="F5" s="25" t="s">
        <v>69</v>
      </c>
      <c r="G5" s="25" t="s">
        <v>70</v>
      </c>
      <c r="H5" s="26">
        <v>16000</v>
      </c>
      <c r="I5" s="26">
        <v>0</v>
      </c>
      <c r="J5" s="26">
        <v>0</v>
      </c>
      <c r="K5" s="26">
        <f t="shared" si="2"/>
        <v>16000</v>
      </c>
      <c r="L5" s="41">
        <v>0.18</v>
      </c>
      <c r="M5" s="27">
        <v>0</v>
      </c>
      <c r="N5" s="26">
        <f>K5*9%</f>
        <v>1440</v>
      </c>
      <c r="O5" s="26">
        <f>K5*9%</f>
        <v>1440</v>
      </c>
      <c r="P5" s="42">
        <f t="shared" si="3"/>
        <v>18880</v>
      </c>
    </row>
    <row r="6" spans="1:16" x14ac:dyDescent="0.25">
      <c r="A6" s="22">
        <f>IF(C6="","",COUNTA($C$4:C6))</f>
        <v>3</v>
      </c>
      <c r="B6" s="23" t="str">
        <f t="shared" ref="B6:B73" si="5">IF(C6="","",TEXT(C6,"mmmm"))</f>
        <v>April</v>
      </c>
      <c r="C6" s="35">
        <v>45025</v>
      </c>
      <c r="D6" s="24" t="s">
        <v>71</v>
      </c>
      <c r="E6" s="34">
        <v>1090</v>
      </c>
      <c r="F6" s="25" t="s">
        <v>72</v>
      </c>
      <c r="G6" s="25" t="s">
        <v>73</v>
      </c>
      <c r="H6" s="26">
        <v>32865.25</v>
      </c>
      <c r="I6" s="26">
        <v>0</v>
      </c>
      <c r="J6" s="26">
        <v>0</v>
      </c>
      <c r="K6" s="26">
        <f t="shared" si="2"/>
        <v>32865.25</v>
      </c>
      <c r="L6" s="41">
        <v>0.18</v>
      </c>
      <c r="M6" s="27">
        <v>0</v>
      </c>
      <c r="N6" s="26">
        <f>K6*9%</f>
        <v>2957.8724999999999</v>
      </c>
      <c r="O6" s="26">
        <f>K6*9%</f>
        <v>2957.8724999999999</v>
      </c>
      <c r="P6" s="42">
        <f t="shared" si="3"/>
        <v>38780.994999999995</v>
      </c>
    </row>
    <row r="7" spans="1:16" x14ac:dyDescent="0.25">
      <c r="A7" s="22">
        <f>IF(C7="","",COUNTA($C$4:C7))</f>
        <v>4</v>
      </c>
      <c r="B7" s="23" t="str">
        <f t="shared" si="5"/>
        <v>April</v>
      </c>
      <c r="C7" s="35">
        <v>45025</v>
      </c>
      <c r="D7" s="24" t="s">
        <v>74</v>
      </c>
      <c r="E7" s="34">
        <v>1091</v>
      </c>
      <c r="F7" s="25" t="s">
        <v>72</v>
      </c>
      <c r="G7" s="25" t="s">
        <v>75</v>
      </c>
      <c r="H7" s="26">
        <v>144452.46</v>
      </c>
      <c r="I7" s="26">
        <v>0</v>
      </c>
      <c r="J7" s="26">
        <v>0</v>
      </c>
      <c r="K7" s="26">
        <f t="shared" si="2"/>
        <v>144452.46</v>
      </c>
      <c r="L7" s="41">
        <v>0.18</v>
      </c>
      <c r="M7" s="27">
        <v>0</v>
      </c>
      <c r="N7" s="26">
        <f>K7*9%</f>
        <v>13000.721399999999</v>
      </c>
      <c r="O7" s="26">
        <f>K7*9%</f>
        <v>13000.721399999999</v>
      </c>
      <c r="P7" s="42">
        <f t="shared" si="3"/>
        <v>170453.90280000001</v>
      </c>
    </row>
    <row r="8" spans="1:16" x14ac:dyDescent="0.25">
      <c r="A8" s="22">
        <f>IF(C8="","",COUNTA($C$4:C8))</f>
        <v>5</v>
      </c>
      <c r="B8" s="23" t="str">
        <f t="shared" si="5"/>
        <v>April</v>
      </c>
      <c r="C8" s="35">
        <v>45025</v>
      </c>
      <c r="D8" s="24" t="s">
        <v>79</v>
      </c>
      <c r="E8" s="28" t="s">
        <v>82</v>
      </c>
      <c r="F8" s="25" t="s">
        <v>80</v>
      </c>
      <c r="G8" s="25" t="s">
        <v>81</v>
      </c>
      <c r="H8" s="26">
        <v>408978.4</v>
      </c>
      <c r="I8" s="26">
        <v>0</v>
      </c>
      <c r="J8" s="26">
        <v>0</v>
      </c>
      <c r="K8" s="26">
        <f t="shared" si="2"/>
        <v>408978.4</v>
      </c>
      <c r="L8" s="41">
        <v>0.18</v>
      </c>
      <c r="M8" s="27">
        <f>K8*18%</f>
        <v>73616.112000000008</v>
      </c>
      <c r="N8" s="26">
        <v>0</v>
      </c>
      <c r="O8" s="26">
        <v>0</v>
      </c>
      <c r="P8" s="42">
        <f t="shared" si="3"/>
        <v>482594.51200000005</v>
      </c>
    </row>
    <row r="9" spans="1:16" x14ac:dyDescent="0.25">
      <c r="A9" s="22">
        <f>IF(C9="","",COUNTA($C$4:C9))</f>
        <v>6</v>
      </c>
      <c r="B9" s="23" t="str">
        <f t="shared" si="5"/>
        <v>April</v>
      </c>
      <c r="C9" s="35">
        <v>45025</v>
      </c>
      <c r="D9" s="24" t="s">
        <v>83</v>
      </c>
      <c r="E9" s="28" t="s">
        <v>84</v>
      </c>
      <c r="F9" s="25" t="s">
        <v>85</v>
      </c>
      <c r="G9" s="25" t="s">
        <v>86</v>
      </c>
      <c r="H9" s="26">
        <v>24840</v>
      </c>
      <c r="I9" s="26">
        <v>500</v>
      </c>
      <c r="J9" s="26">
        <v>0</v>
      </c>
      <c r="K9" s="26">
        <f t="shared" si="2"/>
        <v>25340</v>
      </c>
      <c r="L9" s="41">
        <v>0.18</v>
      </c>
      <c r="M9" s="27">
        <f>K9*18%</f>
        <v>4561.2</v>
      </c>
      <c r="N9" s="26">
        <v>0</v>
      </c>
      <c r="O9" s="26">
        <v>0</v>
      </c>
      <c r="P9" s="42">
        <f t="shared" si="3"/>
        <v>29901.200000000001</v>
      </c>
    </row>
    <row r="10" spans="1:16" x14ac:dyDescent="0.25">
      <c r="A10" s="22">
        <f>IF(C10="","",COUNTA($C$4:C10))</f>
        <v>7</v>
      </c>
      <c r="B10" s="23" t="str">
        <f t="shared" si="5"/>
        <v>April</v>
      </c>
      <c r="C10" s="35">
        <v>45029</v>
      </c>
      <c r="D10" s="24" t="s">
        <v>87</v>
      </c>
      <c r="E10" s="25" t="s">
        <v>88</v>
      </c>
      <c r="F10" s="25" t="s">
        <v>89</v>
      </c>
      <c r="G10" s="25" t="s">
        <v>90</v>
      </c>
      <c r="H10" s="26">
        <v>2081990</v>
      </c>
      <c r="I10" s="26">
        <v>18870</v>
      </c>
      <c r="J10" s="26">
        <v>0</v>
      </c>
      <c r="K10" s="26">
        <f t="shared" si="2"/>
        <v>2100860</v>
      </c>
      <c r="L10" s="41">
        <v>0.18</v>
      </c>
      <c r="M10" s="27"/>
      <c r="N10" s="26">
        <f t="shared" ref="N10:N23" si="6">K10*9%</f>
        <v>189077.4</v>
      </c>
      <c r="O10" s="26">
        <f t="shared" ref="O10:O23" si="7">K10*9%</f>
        <v>189077.4</v>
      </c>
      <c r="P10" s="42">
        <f t="shared" si="3"/>
        <v>2479014.7999999998</v>
      </c>
    </row>
    <row r="11" spans="1:16" x14ac:dyDescent="0.25">
      <c r="A11" s="22">
        <f>IF(C11="","",COUNTA($C$4:C11))</f>
        <v>8</v>
      </c>
      <c r="B11" s="23" t="str">
        <f t="shared" si="5"/>
        <v>April</v>
      </c>
      <c r="C11" s="35">
        <v>45029</v>
      </c>
      <c r="D11" s="24" t="s">
        <v>87</v>
      </c>
      <c r="E11" s="25" t="s">
        <v>91</v>
      </c>
      <c r="F11" s="25" t="s">
        <v>89</v>
      </c>
      <c r="G11" s="25" t="s">
        <v>92</v>
      </c>
      <c r="H11" s="26">
        <v>16935</v>
      </c>
      <c r="I11" s="26">
        <v>0</v>
      </c>
      <c r="J11" s="26">
        <v>0</v>
      </c>
      <c r="K11" s="26">
        <f t="shared" si="2"/>
        <v>16935</v>
      </c>
      <c r="L11" s="41">
        <v>0.18</v>
      </c>
      <c r="M11" s="27"/>
      <c r="N11" s="26">
        <f t="shared" si="6"/>
        <v>1524.1499999999999</v>
      </c>
      <c r="O11" s="26">
        <f t="shared" si="7"/>
        <v>1524.1499999999999</v>
      </c>
      <c r="P11" s="42">
        <f t="shared" si="3"/>
        <v>19983.300000000003</v>
      </c>
    </row>
    <row r="12" spans="1:16" x14ac:dyDescent="0.25">
      <c r="A12" s="22">
        <f>IF(C12="","",COUNTA($C$4:C12))</f>
        <v>9</v>
      </c>
      <c r="B12" s="23" t="str">
        <f t="shared" si="5"/>
        <v>April</v>
      </c>
      <c r="C12" s="35">
        <v>45029</v>
      </c>
      <c r="D12" s="24" t="s">
        <v>93</v>
      </c>
      <c r="E12" s="25" t="s">
        <v>94</v>
      </c>
      <c r="F12" s="25" t="s">
        <v>89</v>
      </c>
      <c r="G12" s="25" t="s">
        <v>95</v>
      </c>
      <c r="H12" s="26">
        <v>1862425</v>
      </c>
      <c r="I12" s="26">
        <v>16725</v>
      </c>
      <c r="J12" s="26">
        <v>0</v>
      </c>
      <c r="K12" s="26">
        <f t="shared" si="2"/>
        <v>1879150</v>
      </c>
      <c r="L12" s="41">
        <v>0.18</v>
      </c>
      <c r="M12" s="27"/>
      <c r="N12" s="26">
        <f t="shared" si="6"/>
        <v>169123.5</v>
      </c>
      <c r="O12" s="26">
        <f t="shared" si="7"/>
        <v>169123.5</v>
      </c>
      <c r="P12" s="42">
        <f t="shared" si="3"/>
        <v>2217397</v>
      </c>
    </row>
    <row r="13" spans="1:16" x14ac:dyDescent="0.25">
      <c r="A13" s="22">
        <f>IF(C13="","",COUNTA($C$4:C13))</f>
        <v>10</v>
      </c>
      <c r="B13" s="23" t="str">
        <f t="shared" si="5"/>
        <v>April</v>
      </c>
      <c r="C13" s="35">
        <v>45030</v>
      </c>
      <c r="D13" s="24" t="s">
        <v>96</v>
      </c>
      <c r="E13" s="78">
        <v>1096</v>
      </c>
      <c r="F13" s="25" t="s">
        <v>72</v>
      </c>
      <c r="G13" s="25" t="s">
        <v>97</v>
      </c>
      <c r="H13" s="26">
        <v>15002.62</v>
      </c>
      <c r="I13" s="26">
        <v>0</v>
      </c>
      <c r="J13" s="26">
        <v>0</v>
      </c>
      <c r="K13" s="26">
        <f t="shared" si="2"/>
        <v>15002.62</v>
      </c>
      <c r="L13" s="41">
        <v>0.18</v>
      </c>
      <c r="M13" s="27"/>
      <c r="N13" s="26">
        <f t="shared" si="6"/>
        <v>1350.2357999999999</v>
      </c>
      <c r="O13" s="26">
        <f t="shared" si="7"/>
        <v>1350.2357999999999</v>
      </c>
      <c r="P13" s="42">
        <f t="shared" si="3"/>
        <v>17703.0916</v>
      </c>
    </row>
    <row r="14" spans="1:16" x14ac:dyDescent="0.25">
      <c r="A14" s="22">
        <f>IF(C14="","",COUNTA($C$4:C14))</f>
        <v>11</v>
      </c>
      <c r="B14" s="23" t="str">
        <f t="shared" si="5"/>
        <v>April</v>
      </c>
      <c r="C14" s="35">
        <v>45033</v>
      </c>
      <c r="D14" s="24" t="s">
        <v>98</v>
      </c>
      <c r="E14" s="28" t="s">
        <v>99</v>
      </c>
      <c r="F14" s="25" t="s">
        <v>100</v>
      </c>
      <c r="G14" s="25" t="s">
        <v>101</v>
      </c>
      <c r="H14" s="26">
        <v>50175.23</v>
      </c>
      <c r="I14" s="26">
        <v>0</v>
      </c>
      <c r="J14" s="26">
        <v>0</v>
      </c>
      <c r="K14" s="26">
        <f t="shared" si="2"/>
        <v>50175.23</v>
      </c>
      <c r="L14" s="41">
        <v>0.18</v>
      </c>
      <c r="M14" s="26"/>
      <c r="N14" s="26">
        <f t="shared" si="6"/>
        <v>4515.7707</v>
      </c>
      <c r="O14" s="26">
        <f t="shared" si="7"/>
        <v>4515.7707</v>
      </c>
      <c r="P14" s="42">
        <f t="shared" si="3"/>
        <v>59206.771400000005</v>
      </c>
    </row>
    <row r="15" spans="1:16" x14ac:dyDescent="0.25">
      <c r="A15" s="22">
        <f>IF(C15="","",COUNTA($C$4:C15))</f>
        <v>12</v>
      </c>
      <c r="B15" s="23" t="str">
        <f t="shared" si="5"/>
        <v>April</v>
      </c>
      <c r="C15" s="35">
        <v>45033</v>
      </c>
      <c r="D15" s="24" t="s">
        <v>102</v>
      </c>
      <c r="E15" s="28" t="s">
        <v>103</v>
      </c>
      <c r="F15" s="25" t="s">
        <v>104</v>
      </c>
      <c r="G15" s="25" t="s">
        <v>105</v>
      </c>
      <c r="H15" s="26">
        <v>1176908</v>
      </c>
      <c r="I15" s="26">
        <v>0</v>
      </c>
      <c r="J15" s="26">
        <v>0</v>
      </c>
      <c r="K15" s="26">
        <f t="shared" si="2"/>
        <v>1176908</v>
      </c>
      <c r="L15" s="41">
        <v>0.18</v>
      </c>
      <c r="M15" s="27"/>
      <c r="N15" s="26">
        <f t="shared" si="6"/>
        <v>105921.72</v>
      </c>
      <c r="O15" s="26">
        <f t="shared" si="7"/>
        <v>105921.72</v>
      </c>
      <c r="P15" s="42">
        <f t="shared" si="3"/>
        <v>1388751.44</v>
      </c>
    </row>
    <row r="16" spans="1:16" x14ac:dyDescent="0.25">
      <c r="A16" s="22">
        <f>IF(C16="","",COUNTA($C$4:C16))</f>
        <v>13</v>
      </c>
      <c r="B16" s="23" t="str">
        <f t="shared" si="5"/>
        <v>April</v>
      </c>
      <c r="C16" s="35">
        <v>45033</v>
      </c>
      <c r="D16" s="24" t="s">
        <v>106</v>
      </c>
      <c r="E16" s="28" t="s">
        <v>107</v>
      </c>
      <c r="F16" s="25" t="s">
        <v>69</v>
      </c>
      <c r="G16" s="25" t="s">
        <v>108</v>
      </c>
      <c r="H16" s="26">
        <v>34000</v>
      </c>
      <c r="I16" s="26">
        <v>0</v>
      </c>
      <c r="J16" s="26">
        <v>0</v>
      </c>
      <c r="K16" s="26">
        <f t="shared" si="2"/>
        <v>34000</v>
      </c>
      <c r="L16" s="41">
        <v>0.18</v>
      </c>
      <c r="M16" s="27"/>
      <c r="N16" s="26">
        <f t="shared" si="6"/>
        <v>3060</v>
      </c>
      <c r="O16" s="26">
        <f t="shared" si="7"/>
        <v>3060</v>
      </c>
      <c r="P16" s="42">
        <f t="shared" si="3"/>
        <v>40120</v>
      </c>
    </row>
    <row r="17" spans="1:16" x14ac:dyDescent="0.25">
      <c r="A17" s="22">
        <f>IF(C17="","",COUNTA($C$4:C17))</f>
        <v>14</v>
      </c>
      <c r="B17" s="23" t="str">
        <f t="shared" si="5"/>
        <v>April</v>
      </c>
      <c r="C17" s="35">
        <v>45035</v>
      </c>
      <c r="D17" s="24" t="s">
        <v>109</v>
      </c>
      <c r="E17" s="28" t="s">
        <v>110</v>
      </c>
      <c r="F17" s="25" t="s">
        <v>111</v>
      </c>
      <c r="G17" s="25" t="s">
        <v>112</v>
      </c>
      <c r="H17" s="26">
        <v>6950</v>
      </c>
      <c r="I17" s="26">
        <v>0</v>
      </c>
      <c r="J17" s="26">
        <v>0</v>
      </c>
      <c r="K17" s="26">
        <f t="shared" si="2"/>
        <v>6950</v>
      </c>
      <c r="L17" s="41">
        <v>0.18</v>
      </c>
      <c r="M17" s="27"/>
      <c r="N17" s="26">
        <f t="shared" si="6"/>
        <v>625.5</v>
      </c>
      <c r="O17" s="26">
        <f t="shared" si="7"/>
        <v>625.5</v>
      </c>
      <c r="P17" s="42">
        <f t="shared" si="3"/>
        <v>8201</v>
      </c>
    </row>
    <row r="18" spans="1:16" x14ac:dyDescent="0.25">
      <c r="A18" s="22">
        <f>IF(C18="","",COUNTA($C$4:C18))</f>
        <v>15</v>
      </c>
      <c r="B18" s="23" t="str">
        <f t="shared" si="5"/>
        <v>April</v>
      </c>
      <c r="C18" s="35">
        <v>45038</v>
      </c>
      <c r="D18" s="24" t="s">
        <v>113</v>
      </c>
      <c r="E18" s="28" t="s">
        <v>114</v>
      </c>
      <c r="F18" s="25" t="s">
        <v>104</v>
      </c>
      <c r="G18" s="25" t="s">
        <v>115</v>
      </c>
      <c r="H18" s="26">
        <v>89488</v>
      </c>
      <c r="I18" s="26">
        <v>0</v>
      </c>
      <c r="J18" s="26">
        <v>0</v>
      </c>
      <c r="K18" s="26">
        <f t="shared" si="2"/>
        <v>89488</v>
      </c>
      <c r="L18" s="41">
        <v>0.18</v>
      </c>
      <c r="M18" s="27"/>
      <c r="N18" s="26">
        <f t="shared" si="6"/>
        <v>8053.92</v>
      </c>
      <c r="O18" s="26">
        <f t="shared" si="7"/>
        <v>8053.92</v>
      </c>
      <c r="P18" s="42">
        <f t="shared" si="3"/>
        <v>105595.84</v>
      </c>
    </row>
    <row r="19" spans="1:16" x14ac:dyDescent="0.25">
      <c r="A19" s="22">
        <f>IF(C19="","",COUNTA($C$4:C19))</f>
        <v>16</v>
      </c>
      <c r="B19" s="23" t="str">
        <f t="shared" si="5"/>
        <v>April</v>
      </c>
      <c r="C19" s="35">
        <v>45040</v>
      </c>
      <c r="D19" s="24" t="s">
        <v>116</v>
      </c>
      <c r="E19" s="25" t="s">
        <v>117</v>
      </c>
      <c r="F19" s="25" t="s">
        <v>118</v>
      </c>
      <c r="G19" s="25" t="s">
        <v>119</v>
      </c>
      <c r="H19" s="26">
        <v>181250</v>
      </c>
      <c r="I19" s="26">
        <v>0</v>
      </c>
      <c r="J19" s="26">
        <v>0</v>
      </c>
      <c r="K19" s="26">
        <f t="shared" si="2"/>
        <v>181250</v>
      </c>
      <c r="L19" s="41">
        <v>0.18</v>
      </c>
      <c r="M19" s="27"/>
      <c r="N19" s="26">
        <f t="shared" si="6"/>
        <v>16312.5</v>
      </c>
      <c r="O19" s="26">
        <f t="shared" si="7"/>
        <v>16312.5</v>
      </c>
      <c r="P19" s="42">
        <f t="shared" si="3"/>
        <v>213875</v>
      </c>
    </row>
    <row r="20" spans="1:16" x14ac:dyDescent="0.25">
      <c r="A20" s="22">
        <f>IF(C20="","",COUNTA($C$4:C20))</f>
        <v>17</v>
      </c>
      <c r="B20" s="23" t="str">
        <f t="shared" si="5"/>
        <v>April</v>
      </c>
      <c r="C20" s="35">
        <v>45041</v>
      </c>
      <c r="D20" s="24" t="s">
        <v>120</v>
      </c>
      <c r="E20" s="25" t="s">
        <v>121</v>
      </c>
      <c r="F20" s="25" t="s">
        <v>122</v>
      </c>
      <c r="G20" s="25" t="s">
        <v>123</v>
      </c>
      <c r="H20" s="26">
        <v>44415</v>
      </c>
      <c r="I20" s="26">
        <v>4500</v>
      </c>
      <c r="J20" s="26">
        <v>216</v>
      </c>
      <c r="K20" s="26">
        <f t="shared" si="2"/>
        <v>49131</v>
      </c>
      <c r="L20" s="41">
        <v>0.18</v>
      </c>
      <c r="M20" s="27"/>
      <c r="N20" s="26">
        <f t="shared" si="6"/>
        <v>4421.79</v>
      </c>
      <c r="O20" s="26">
        <f t="shared" si="7"/>
        <v>4421.79</v>
      </c>
      <c r="P20" s="42">
        <f t="shared" si="3"/>
        <v>57974.58</v>
      </c>
    </row>
    <row r="21" spans="1:16" x14ac:dyDescent="0.25">
      <c r="A21" s="22">
        <f>IF(C21="","",COUNTA($C$4:C21))</f>
        <v>18</v>
      </c>
      <c r="B21" s="23" t="str">
        <f t="shared" si="5"/>
        <v>April</v>
      </c>
      <c r="C21" s="35">
        <v>45042</v>
      </c>
      <c r="D21" s="24" t="s">
        <v>124</v>
      </c>
      <c r="E21" s="25" t="s">
        <v>125</v>
      </c>
      <c r="F21" s="25" t="s">
        <v>126</v>
      </c>
      <c r="G21" s="25" t="s">
        <v>127</v>
      </c>
      <c r="H21" s="26">
        <v>52296</v>
      </c>
      <c r="I21" s="26">
        <v>145</v>
      </c>
      <c r="J21" s="26">
        <v>0</v>
      </c>
      <c r="K21" s="26">
        <f t="shared" si="2"/>
        <v>52441</v>
      </c>
      <c r="L21" s="41">
        <v>0.18</v>
      </c>
      <c r="M21" s="27"/>
      <c r="N21" s="26">
        <f t="shared" si="6"/>
        <v>4719.6899999999996</v>
      </c>
      <c r="O21" s="26">
        <f t="shared" si="7"/>
        <v>4719.6899999999996</v>
      </c>
      <c r="P21" s="42">
        <f t="shared" si="3"/>
        <v>61880.380000000005</v>
      </c>
    </row>
    <row r="22" spans="1:16" x14ac:dyDescent="0.25">
      <c r="A22" s="22">
        <f>IF(C22="","",COUNTA($C$4:C22))</f>
        <v>19</v>
      </c>
      <c r="B22" s="23" t="str">
        <f t="shared" si="5"/>
        <v>April</v>
      </c>
      <c r="C22" s="35">
        <v>45042</v>
      </c>
      <c r="D22" s="24" t="s">
        <v>128</v>
      </c>
      <c r="E22" s="28" t="s">
        <v>129</v>
      </c>
      <c r="F22" s="25" t="s">
        <v>118</v>
      </c>
      <c r="G22" s="25" t="s">
        <v>119</v>
      </c>
      <c r="H22" s="26">
        <v>181250</v>
      </c>
      <c r="I22" s="26">
        <v>0</v>
      </c>
      <c r="J22" s="26">
        <v>0</v>
      </c>
      <c r="K22" s="26">
        <f t="shared" si="2"/>
        <v>181250</v>
      </c>
      <c r="L22" s="41">
        <v>0.18</v>
      </c>
      <c r="M22" s="27"/>
      <c r="N22" s="26">
        <f t="shared" si="6"/>
        <v>16312.5</v>
      </c>
      <c r="O22" s="26">
        <f t="shared" si="7"/>
        <v>16312.5</v>
      </c>
      <c r="P22" s="42">
        <f t="shared" si="3"/>
        <v>213875</v>
      </c>
    </row>
    <row r="23" spans="1:16" x14ac:dyDescent="0.25">
      <c r="A23" s="22">
        <f>IF(C23="","",COUNTA($C$4:C23))</f>
        <v>20</v>
      </c>
      <c r="B23" s="23" t="str">
        <f t="shared" si="5"/>
        <v>April</v>
      </c>
      <c r="C23" s="35">
        <v>45042</v>
      </c>
      <c r="D23" s="24" t="s">
        <v>130</v>
      </c>
      <c r="E23" s="34">
        <v>6</v>
      </c>
      <c r="F23" s="25" t="s">
        <v>131</v>
      </c>
      <c r="G23" s="28" t="s">
        <v>132</v>
      </c>
      <c r="H23" s="26">
        <v>4914</v>
      </c>
      <c r="I23" s="26">
        <v>0</v>
      </c>
      <c r="J23" s="26">
        <v>0</v>
      </c>
      <c r="K23" s="26">
        <f t="shared" si="2"/>
        <v>4914</v>
      </c>
      <c r="L23" s="41">
        <v>0.18</v>
      </c>
      <c r="M23" s="27"/>
      <c r="N23" s="26">
        <f t="shared" si="6"/>
        <v>442.26</v>
      </c>
      <c r="O23" s="26">
        <f t="shared" si="7"/>
        <v>442.26</v>
      </c>
      <c r="P23" s="42">
        <f t="shared" si="3"/>
        <v>5798.52</v>
      </c>
    </row>
    <row r="24" spans="1:16" x14ac:dyDescent="0.25">
      <c r="A24" s="22">
        <f>IF(C24="","",COUNTA($C$4:C24))</f>
        <v>21</v>
      </c>
      <c r="B24" s="23" t="str">
        <f t="shared" si="5"/>
        <v>April</v>
      </c>
      <c r="C24" s="35">
        <v>45044</v>
      </c>
      <c r="D24" s="24" t="s">
        <v>133</v>
      </c>
      <c r="E24" s="28" t="s">
        <v>134</v>
      </c>
      <c r="F24" s="25" t="s">
        <v>60</v>
      </c>
      <c r="G24" s="28" t="s">
        <v>135</v>
      </c>
      <c r="H24" s="26">
        <v>34320</v>
      </c>
      <c r="I24" s="26">
        <v>0</v>
      </c>
      <c r="J24" s="26">
        <v>0</v>
      </c>
      <c r="K24" s="26">
        <f t="shared" si="2"/>
        <v>34320</v>
      </c>
      <c r="L24" s="41">
        <v>0.18</v>
      </c>
      <c r="M24" s="27">
        <f>K24*18%</f>
        <v>6177.5999999999995</v>
      </c>
      <c r="N24" s="26">
        <v>0</v>
      </c>
      <c r="O24" s="26">
        <v>0</v>
      </c>
      <c r="P24" s="42">
        <f t="shared" si="3"/>
        <v>40497.599999999999</v>
      </c>
    </row>
    <row r="25" spans="1:16" x14ac:dyDescent="0.25">
      <c r="A25" s="22">
        <f>IF(C25="","",COUNTA($C$4:C25))</f>
        <v>22</v>
      </c>
      <c r="B25" s="23" t="str">
        <f t="shared" si="5"/>
        <v>April</v>
      </c>
      <c r="C25" s="35">
        <v>45045</v>
      </c>
      <c r="D25" s="24" t="s">
        <v>154</v>
      </c>
      <c r="E25" s="78" t="s">
        <v>159</v>
      </c>
      <c r="F25" s="25" t="s">
        <v>155</v>
      </c>
      <c r="G25" s="28" t="s">
        <v>156</v>
      </c>
      <c r="H25" s="26">
        <v>5370</v>
      </c>
      <c r="I25" s="26">
        <v>0</v>
      </c>
      <c r="J25" s="26">
        <v>0</v>
      </c>
      <c r="K25" s="26">
        <f t="shared" si="2"/>
        <v>5370</v>
      </c>
      <c r="L25" s="41">
        <v>0.18</v>
      </c>
      <c r="M25" s="27"/>
      <c r="N25" s="26">
        <f t="shared" ref="N25:N27" si="8">K25*9%</f>
        <v>483.29999999999995</v>
      </c>
      <c r="O25" s="26">
        <f t="shared" ref="O25:O27" si="9">K25*9%</f>
        <v>483.29999999999995</v>
      </c>
      <c r="P25" s="42">
        <f t="shared" ref="P25:P29" si="10">K25+M25+N25+O25</f>
        <v>6336.6</v>
      </c>
    </row>
    <row r="26" spans="1:16" x14ac:dyDescent="0.25">
      <c r="A26" s="22">
        <f>IF(C26="","",COUNTA($C$4:C26))</f>
        <v>23</v>
      </c>
      <c r="B26" s="23" t="str">
        <f t="shared" si="5"/>
        <v>April</v>
      </c>
      <c r="C26" s="35">
        <v>45045</v>
      </c>
      <c r="D26" s="24" t="s">
        <v>157</v>
      </c>
      <c r="E26" s="78" t="s">
        <v>160</v>
      </c>
      <c r="F26" s="25" t="s">
        <v>155</v>
      </c>
      <c r="G26" s="28" t="s">
        <v>156</v>
      </c>
      <c r="H26" s="26">
        <v>2570</v>
      </c>
      <c r="I26" s="26">
        <v>0</v>
      </c>
      <c r="J26" s="26">
        <v>0</v>
      </c>
      <c r="K26" s="26">
        <f t="shared" si="2"/>
        <v>2570</v>
      </c>
      <c r="L26" s="41">
        <v>0.18</v>
      </c>
      <c r="M26" s="27"/>
      <c r="N26" s="26">
        <f t="shared" si="8"/>
        <v>231.29999999999998</v>
      </c>
      <c r="O26" s="26">
        <f t="shared" si="9"/>
        <v>231.29999999999998</v>
      </c>
      <c r="P26" s="42">
        <f t="shared" si="10"/>
        <v>3032.6000000000004</v>
      </c>
    </row>
    <row r="27" spans="1:16" x14ac:dyDescent="0.25">
      <c r="A27" s="22">
        <f>IF(C27="","",COUNTA($C$4:C27))</f>
        <v>24</v>
      </c>
      <c r="B27" s="23" t="str">
        <f t="shared" si="5"/>
        <v>April</v>
      </c>
      <c r="C27" s="35">
        <v>45045</v>
      </c>
      <c r="D27" s="24" t="s">
        <v>158</v>
      </c>
      <c r="E27" s="78">
        <v>10585</v>
      </c>
      <c r="F27" s="25" t="s">
        <v>155</v>
      </c>
      <c r="G27" s="28" t="s">
        <v>156</v>
      </c>
      <c r="H27" s="26">
        <v>4223</v>
      </c>
      <c r="I27" s="26">
        <v>0</v>
      </c>
      <c r="J27" s="26">
        <v>0</v>
      </c>
      <c r="K27" s="26">
        <f t="shared" si="2"/>
        <v>4223</v>
      </c>
      <c r="L27" s="41">
        <v>0.18</v>
      </c>
      <c r="M27" s="27"/>
      <c r="N27" s="26">
        <f t="shared" si="8"/>
        <v>380.07</v>
      </c>
      <c r="O27" s="26">
        <f t="shared" si="9"/>
        <v>380.07</v>
      </c>
      <c r="P27" s="42">
        <f t="shared" si="10"/>
        <v>4983.1399999999994</v>
      </c>
    </row>
    <row r="28" spans="1:16" x14ac:dyDescent="0.25">
      <c r="A28" s="22">
        <f>IF(C28="","",COUNTA($C$4:C28))</f>
        <v>25</v>
      </c>
      <c r="B28" s="23" t="str">
        <f t="shared" si="5"/>
        <v>April</v>
      </c>
      <c r="C28" s="35">
        <v>45045</v>
      </c>
      <c r="D28" s="24" t="s">
        <v>161</v>
      </c>
      <c r="E28" s="28" t="s">
        <v>162</v>
      </c>
      <c r="F28" s="25" t="s">
        <v>163</v>
      </c>
      <c r="G28" s="28" t="s">
        <v>164</v>
      </c>
      <c r="H28" s="26">
        <v>20000</v>
      </c>
      <c r="I28" s="26">
        <v>0</v>
      </c>
      <c r="J28" s="26">
        <v>0</v>
      </c>
      <c r="K28" s="26">
        <f t="shared" si="2"/>
        <v>20000</v>
      </c>
      <c r="L28" s="41">
        <v>0.18</v>
      </c>
      <c r="M28" s="27"/>
      <c r="N28" s="26">
        <v>0</v>
      </c>
      <c r="O28" s="26">
        <v>0</v>
      </c>
      <c r="P28" s="42">
        <f t="shared" si="10"/>
        <v>20000</v>
      </c>
    </row>
    <row r="29" spans="1:16" x14ac:dyDescent="0.25">
      <c r="A29" s="22">
        <f>IF(C29="","",COUNTA($C$4:C29))</f>
        <v>26</v>
      </c>
      <c r="B29" s="23" t="str">
        <f t="shared" si="5"/>
        <v>April</v>
      </c>
      <c r="C29" s="55">
        <v>45045</v>
      </c>
      <c r="D29" s="24" t="s">
        <v>165</v>
      </c>
      <c r="E29" s="29">
        <v>176</v>
      </c>
      <c r="F29" s="29" t="s">
        <v>166</v>
      </c>
      <c r="G29" s="30" t="s">
        <v>167</v>
      </c>
      <c r="H29" s="26">
        <v>36000</v>
      </c>
      <c r="I29" s="26">
        <v>0</v>
      </c>
      <c r="J29" s="26">
        <v>0</v>
      </c>
      <c r="K29" s="26">
        <f t="shared" si="2"/>
        <v>36000</v>
      </c>
      <c r="L29" s="41">
        <v>0.18</v>
      </c>
      <c r="M29" s="27">
        <f>K29*18%</f>
        <v>6480</v>
      </c>
      <c r="N29" s="26">
        <v>0</v>
      </c>
      <c r="O29" s="26">
        <v>0</v>
      </c>
      <c r="P29" s="42">
        <f t="shared" si="10"/>
        <v>42480</v>
      </c>
    </row>
    <row r="30" spans="1:16" x14ac:dyDescent="0.25">
      <c r="A30" s="22">
        <f>IF(C30="","",COUNTA($C$4:C30))</f>
        <v>27</v>
      </c>
      <c r="B30" s="23" t="str">
        <f t="shared" si="5"/>
        <v>May</v>
      </c>
      <c r="C30" s="55">
        <v>45055</v>
      </c>
      <c r="D30" s="24" t="s">
        <v>168</v>
      </c>
      <c r="E30" s="31" t="s">
        <v>169</v>
      </c>
      <c r="F30" s="31" t="s">
        <v>104</v>
      </c>
      <c r="G30" s="56" t="s">
        <v>170</v>
      </c>
      <c r="H30" s="26">
        <v>244020</v>
      </c>
      <c r="I30" s="26">
        <v>0</v>
      </c>
      <c r="J30" s="26">
        <v>0</v>
      </c>
      <c r="K30" s="26">
        <f t="shared" si="2"/>
        <v>244020</v>
      </c>
      <c r="L30" s="41">
        <v>0.18</v>
      </c>
      <c r="M30" s="36"/>
      <c r="N30" s="26">
        <f t="shared" ref="N30:N33" si="11">K30*9%</f>
        <v>21961.8</v>
      </c>
      <c r="O30" s="26">
        <f t="shared" ref="O30:O33" si="12">K30*9%</f>
        <v>21961.8</v>
      </c>
      <c r="P30" s="42">
        <f t="shared" ref="P30:P34" si="13">K30+M30+N30+O30</f>
        <v>287943.59999999998</v>
      </c>
    </row>
    <row r="31" spans="1:16" x14ac:dyDescent="0.25">
      <c r="A31" s="22">
        <f>IF(C31="","",COUNTA($C$4:C31))</f>
        <v>28</v>
      </c>
      <c r="B31" s="23" t="str">
        <f t="shared" si="5"/>
        <v>May</v>
      </c>
      <c r="C31" s="55">
        <v>45057</v>
      </c>
      <c r="D31" s="24" t="s">
        <v>171</v>
      </c>
      <c r="E31" s="31">
        <v>18</v>
      </c>
      <c r="F31" s="31" t="s">
        <v>131</v>
      </c>
      <c r="G31" s="56" t="s">
        <v>172</v>
      </c>
      <c r="H31" s="26">
        <v>6026</v>
      </c>
      <c r="I31" s="26">
        <v>0</v>
      </c>
      <c r="J31" s="26">
        <v>0</v>
      </c>
      <c r="K31" s="26">
        <f t="shared" si="2"/>
        <v>6026</v>
      </c>
      <c r="L31" s="41">
        <v>0.18</v>
      </c>
      <c r="M31" s="36"/>
      <c r="N31" s="26">
        <f t="shared" si="11"/>
        <v>542.34</v>
      </c>
      <c r="O31" s="26">
        <f t="shared" si="12"/>
        <v>542.34</v>
      </c>
      <c r="P31" s="42">
        <f t="shared" si="13"/>
        <v>7110.68</v>
      </c>
    </row>
    <row r="32" spans="1:16" x14ac:dyDescent="0.25">
      <c r="A32" s="22">
        <f>IF(C32="","",COUNTA($C$4:C32))</f>
        <v>29</v>
      </c>
      <c r="B32" s="23" t="str">
        <f t="shared" si="5"/>
        <v>May</v>
      </c>
      <c r="C32" s="57">
        <v>45061</v>
      </c>
      <c r="D32" s="24" t="s">
        <v>173</v>
      </c>
      <c r="E32" s="31">
        <v>42942</v>
      </c>
      <c r="F32" s="31" t="s">
        <v>174</v>
      </c>
      <c r="G32" s="56" t="s">
        <v>175</v>
      </c>
      <c r="H32" s="26">
        <v>503010</v>
      </c>
      <c r="I32" s="26">
        <v>4000</v>
      </c>
      <c r="J32" s="26">
        <v>0</v>
      </c>
      <c r="K32" s="26">
        <f t="shared" si="2"/>
        <v>507010</v>
      </c>
      <c r="L32" s="41">
        <v>0.18</v>
      </c>
      <c r="M32" s="36"/>
      <c r="N32" s="26">
        <f t="shared" si="11"/>
        <v>45630.9</v>
      </c>
      <c r="O32" s="26">
        <f t="shared" si="12"/>
        <v>45630.9</v>
      </c>
      <c r="P32" s="42">
        <f t="shared" si="13"/>
        <v>598271.80000000005</v>
      </c>
    </row>
    <row r="33" spans="1:16" x14ac:dyDescent="0.25">
      <c r="A33" s="22">
        <f>IF(C33="","",COUNTA($C$4:C33))</f>
        <v>30</v>
      </c>
      <c r="B33" s="23" t="str">
        <f t="shared" si="5"/>
        <v>May</v>
      </c>
      <c r="C33" s="57">
        <v>45062</v>
      </c>
      <c r="D33" s="24" t="s">
        <v>176</v>
      </c>
      <c r="E33" s="31">
        <v>42948</v>
      </c>
      <c r="F33" s="31" t="s">
        <v>174</v>
      </c>
      <c r="G33" s="56" t="s">
        <v>177</v>
      </c>
      <c r="H33" s="26">
        <v>928000</v>
      </c>
      <c r="I33" s="26">
        <v>7500</v>
      </c>
      <c r="J33" s="26">
        <v>0</v>
      </c>
      <c r="K33" s="26">
        <f t="shared" si="2"/>
        <v>935500</v>
      </c>
      <c r="L33" s="41">
        <v>0.18</v>
      </c>
      <c r="M33" s="27"/>
      <c r="N33" s="26">
        <f t="shared" si="11"/>
        <v>84195</v>
      </c>
      <c r="O33" s="26">
        <f t="shared" si="12"/>
        <v>84195</v>
      </c>
      <c r="P33" s="42">
        <f t="shared" si="13"/>
        <v>1103890</v>
      </c>
    </row>
    <row r="34" spans="1:16" x14ac:dyDescent="0.25">
      <c r="A34" s="22">
        <f>IF(C34="","",COUNTA($C$4:C34))</f>
        <v>31</v>
      </c>
      <c r="B34" s="23" t="str">
        <f t="shared" si="5"/>
        <v>May</v>
      </c>
      <c r="C34" s="57">
        <v>45063</v>
      </c>
      <c r="D34" s="24" t="s">
        <v>178</v>
      </c>
      <c r="E34" s="31" t="s">
        <v>179</v>
      </c>
      <c r="F34" s="31" t="s">
        <v>60</v>
      </c>
      <c r="G34" s="56" t="s">
        <v>180</v>
      </c>
      <c r="H34" s="26">
        <v>46800</v>
      </c>
      <c r="I34" s="26">
        <v>2000</v>
      </c>
      <c r="J34" s="26">
        <v>0</v>
      </c>
      <c r="K34" s="26">
        <f t="shared" si="2"/>
        <v>48800</v>
      </c>
      <c r="L34" s="41">
        <v>0.18</v>
      </c>
      <c r="M34" s="27">
        <f>K34*18%</f>
        <v>8784</v>
      </c>
      <c r="N34" s="26">
        <v>0</v>
      </c>
      <c r="O34" s="26">
        <v>0</v>
      </c>
      <c r="P34" s="42">
        <f t="shared" si="13"/>
        <v>57584</v>
      </c>
    </row>
    <row r="35" spans="1:16" x14ac:dyDescent="0.25">
      <c r="A35" s="22">
        <f>IF(C35="","",COUNTA($C$4:C35))</f>
        <v>32</v>
      </c>
      <c r="B35" s="23" t="str">
        <f t="shared" si="5"/>
        <v>May</v>
      </c>
      <c r="C35" s="57">
        <v>45064</v>
      </c>
      <c r="D35" s="24" t="s">
        <v>231</v>
      </c>
      <c r="E35" s="31">
        <v>42962</v>
      </c>
      <c r="F35" s="31" t="s">
        <v>174</v>
      </c>
      <c r="G35" s="56" t="s">
        <v>232</v>
      </c>
      <c r="H35" s="26">
        <v>1827360</v>
      </c>
      <c r="I35" s="26">
        <v>14700</v>
      </c>
      <c r="J35" s="26">
        <v>0</v>
      </c>
      <c r="K35" s="26">
        <f t="shared" si="2"/>
        <v>1842060</v>
      </c>
      <c r="L35" s="41">
        <v>0.18</v>
      </c>
      <c r="M35" s="36"/>
      <c r="N35" s="26">
        <f t="shared" ref="N35:N36" si="14">K35*9%</f>
        <v>165785.4</v>
      </c>
      <c r="O35" s="26">
        <f t="shared" ref="O35:O36" si="15">K35*9%</f>
        <v>165785.4</v>
      </c>
      <c r="P35" s="42">
        <f t="shared" ref="P35:P37" si="16">K35+M35+N35+O35</f>
        <v>2173630.7999999998</v>
      </c>
    </row>
    <row r="36" spans="1:16" x14ac:dyDescent="0.25">
      <c r="A36" s="22">
        <f>IF(C36="","",COUNTA($C$4:C36))</f>
        <v>33</v>
      </c>
      <c r="B36" s="23" t="str">
        <f t="shared" si="5"/>
        <v>May</v>
      </c>
      <c r="C36" s="57">
        <v>45064</v>
      </c>
      <c r="D36" s="24" t="s">
        <v>233</v>
      </c>
      <c r="E36" s="31">
        <v>42965</v>
      </c>
      <c r="F36" s="31" t="s">
        <v>174</v>
      </c>
      <c r="G36" s="56" t="s">
        <v>234</v>
      </c>
      <c r="H36" s="26">
        <v>1626535</v>
      </c>
      <c r="I36" s="26">
        <v>13100</v>
      </c>
      <c r="J36" s="26">
        <v>0</v>
      </c>
      <c r="K36" s="26">
        <f t="shared" si="2"/>
        <v>1639635</v>
      </c>
      <c r="L36" s="41">
        <v>0.18</v>
      </c>
      <c r="M36" s="36"/>
      <c r="N36" s="26">
        <f t="shared" si="14"/>
        <v>147567.15</v>
      </c>
      <c r="O36" s="26">
        <f t="shared" si="15"/>
        <v>147567.15</v>
      </c>
      <c r="P36" s="42">
        <f t="shared" si="16"/>
        <v>1934769.2999999998</v>
      </c>
    </row>
    <row r="37" spans="1:16" x14ac:dyDescent="0.25">
      <c r="A37" s="22">
        <f>IF(C37="","",COUNTA($C$4:C37))</f>
        <v>34</v>
      </c>
      <c r="B37" s="23" t="str">
        <f t="shared" si="5"/>
        <v>May</v>
      </c>
      <c r="C37" s="57">
        <v>45065</v>
      </c>
      <c r="D37" s="24" t="s">
        <v>235</v>
      </c>
      <c r="E37" s="31" t="s">
        <v>236</v>
      </c>
      <c r="F37" s="31" t="s">
        <v>60</v>
      </c>
      <c r="G37" s="56" t="s">
        <v>237</v>
      </c>
      <c r="H37" s="26">
        <v>81619.199999999997</v>
      </c>
      <c r="I37" s="26">
        <v>2800</v>
      </c>
      <c r="J37" s="26">
        <v>0</v>
      </c>
      <c r="K37" s="26">
        <f t="shared" si="2"/>
        <v>84419.199999999997</v>
      </c>
      <c r="L37" s="41">
        <v>0.18</v>
      </c>
      <c r="M37" s="27">
        <f>K37*18%</f>
        <v>15195.455999999998</v>
      </c>
      <c r="N37" s="26">
        <v>0</v>
      </c>
      <c r="O37" s="26">
        <v>0</v>
      </c>
      <c r="P37" s="42">
        <f t="shared" si="16"/>
        <v>99614.655999999988</v>
      </c>
    </row>
    <row r="38" spans="1:16" x14ac:dyDescent="0.25">
      <c r="A38" s="22">
        <f>IF(C38="","",COUNTA($C$4:C38))</f>
        <v>35</v>
      </c>
      <c r="B38" s="23" t="str">
        <f t="shared" si="5"/>
        <v>May</v>
      </c>
      <c r="C38" s="57">
        <v>45065</v>
      </c>
      <c r="D38" s="24" t="s">
        <v>242</v>
      </c>
      <c r="E38" s="31">
        <v>20</v>
      </c>
      <c r="F38" s="31" t="s">
        <v>131</v>
      </c>
      <c r="G38" s="56" t="s">
        <v>243</v>
      </c>
      <c r="H38" s="26">
        <v>20482</v>
      </c>
      <c r="I38" s="26">
        <v>0</v>
      </c>
      <c r="J38" s="26">
        <v>0</v>
      </c>
      <c r="K38" s="26">
        <f t="shared" si="2"/>
        <v>20482</v>
      </c>
      <c r="L38" s="41">
        <v>0.18</v>
      </c>
      <c r="M38" s="36"/>
      <c r="N38" s="26">
        <f t="shared" ref="N38:N56" si="17">K38*9%</f>
        <v>1843.3799999999999</v>
      </c>
      <c r="O38" s="26">
        <f t="shared" ref="O38:O56" si="18">K38*9%</f>
        <v>1843.3799999999999</v>
      </c>
      <c r="P38" s="42">
        <f t="shared" ref="P38:P72" si="19">K38+M38+N38+O38</f>
        <v>24168.760000000002</v>
      </c>
    </row>
    <row r="39" spans="1:16" x14ac:dyDescent="0.25">
      <c r="A39" s="22">
        <f>IF(C39="","",COUNTA($C$4:C39))</f>
        <v>36</v>
      </c>
      <c r="B39" s="23" t="str">
        <f t="shared" si="5"/>
        <v>May</v>
      </c>
      <c r="C39" s="57">
        <v>45076</v>
      </c>
      <c r="D39" s="24" t="s">
        <v>244</v>
      </c>
      <c r="E39" s="31">
        <v>10715</v>
      </c>
      <c r="F39" s="31" t="s">
        <v>155</v>
      </c>
      <c r="G39" s="56" t="s">
        <v>156</v>
      </c>
      <c r="H39" s="26">
        <v>5125</v>
      </c>
      <c r="I39" s="26">
        <v>0</v>
      </c>
      <c r="J39" s="26">
        <v>0</v>
      </c>
      <c r="K39" s="26">
        <f t="shared" si="2"/>
        <v>5125</v>
      </c>
      <c r="L39" s="41">
        <v>0.18</v>
      </c>
      <c r="M39" s="36"/>
      <c r="N39" s="26">
        <f t="shared" si="17"/>
        <v>461.25</v>
      </c>
      <c r="O39" s="26">
        <f t="shared" si="18"/>
        <v>461.25</v>
      </c>
      <c r="P39" s="42">
        <f t="shared" si="19"/>
        <v>6047.5</v>
      </c>
    </row>
    <row r="40" spans="1:16" x14ac:dyDescent="0.25">
      <c r="A40" s="22">
        <f>IF(C40="","",COUNTA($C$4:C40))</f>
        <v>37</v>
      </c>
      <c r="B40" s="23" t="str">
        <f t="shared" si="5"/>
        <v>June</v>
      </c>
      <c r="C40" s="57">
        <v>45079</v>
      </c>
      <c r="D40" s="24" t="s">
        <v>245</v>
      </c>
      <c r="E40" s="31" t="s">
        <v>246</v>
      </c>
      <c r="F40" s="31" t="s">
        <v>247</v>
      </c>
      <c r="G40" s="25" t="s">
        <v>248</v>
      </c>
      <c r="H40" s="26">
        <v>24500</v>
      </c>
      <c r="I40" s="26">
        <v>300</v>
      </c>
      <c r="J40" s="26">
        <v>0</v>
      </c>
      <c r="K40" s="26">
        <f t="shared" si="2"/>
        <v>24800</v>
      </c>
      <c r="L40" s="41">
        <v>0.18</v>
      </c>
      <c r="M40" s="36"/>
      <c r="N40" s="26">
        <f t="shared" si="17"/>
        <v>2232</v>
      </c>
      <c r="O40" s="26">
        <f t="shared" si="18"/>
        <v>2232</v>
      </c>
      <c r="P40" s="42">
        <f t="shared" si="19"/>
        <v>29264</v>
      </c>
    </row>
    <row r="41" spans="1:16" x14ac:dyDescent="0.25">
      <c r="A41" s="22">
        <f>IF(C41="","",COUNTA($C$4:C41))</f>
        <v>38</v>
      </c>
      <c r="B41" s="23" t="str">
        <f t="shared" si="5"/>
        <v>June</v>
      </c>
      <c r="C41" s="57">
        <v>45080</v>
      </c>
      <c r="D41" s="24" t="s">
        <v>249</v>
      </c>
      <c r="E41" s="31" t="s">
        <v>250</v>
      </c>
      <c r="F41" s="31" t="s">
        <v>251</v>
      </c>
      <c r="G41" s="25" t="s">
        <v>252</v>
      </c>
      <c r="H41" s="26">
        <v>40895.4</v>
      </c>
      <c r="I41" s="26">
        <v>0</v>
      </c>
      <c r="J41" s="26">
        <v>0</v>
      </c>
      <c r="K41" s="26">
        <f t="shared" si="2"/>
        <v>40895.4</v>
      </c>
      <c r="L41" s="41">
        <v>0.18</v>
      </c>
      <c r="M41" s="36"/>
      <c r="N41" s="26">
        <f t="shared" si="17"/>
        <v>3680.5859999999998</v>
      </c>
      <c r="O41" s="26">
        <f t="shared" si="18"/>
        <v>3680.5859999999998</v>
      </c>
      <c r="P41" s="42">
        <f t="shared" si="19"/>
        <v>48256.572000000007</v>
      </c>
    </row>
    <row r="42" spans="1:16" x14ac:dyDescent="0.25">
      <c r="A42" s="22">
        <f>IF(C42="","",COUNTA($C$4:C42))</f>
        <v>39</v>
      </c>
      <c r="B42" s="23" t="str">
        <f t="shared" si="5"/>
        <v>June</v>
      </c>
      <c r="C42" s="57">
        <v>45084</v>
      </c>
      <c r="D42" s="24" t="s">
        <v>253</v>
      </c>
      <c r="E42" s="31">
        <v>31</v>
      </c>
      <c r="F42" s="31" t="s">
        <v>254</v>
      </c>
      <c r="G42" s="56" t="s">
        <v>255</v>
      </c>
      <c r="H42" s="26">
        <v>22000</v>
      </c>
      <c r="I42" s="26">
        <v>0</v>
      </c>
      <c r="J42" s="26">
        <v>0</v>
      </c>
      <c r="K42" s="26">
        <f t="shared" si="2"/>
        <v>22000</v>
      </c>
      <c r="L42" s="41">
        <v>0.18</v>
      </c>
      <c r="M42" s="27"/>
      <c r="N42" s="26">
        <f t="shared" si="17"/>
        <v>1980</v>
      </c>
      <c r="O42" s="26">
        <f t="shared" si="18"/>
        <v>1980</v>
      </c>
      <c r="P42" s="42">
        <f t="shared" si="19"/>
        <v>25960</v>
      </c>
    </row>
    <row r="43" spans="1:16" x14ac:dyDescent="0.25">
      <c r="A43" s="22">
        <f>IF(C43="","",COUNTA($C$4:C43))</f>
        <v>40</v>
      </c>
      <c r="B43" s="23" t="str">
        <f t="shared" si="5"/>
        <v>June</v>
      </c>
      <c r="C43" s="57">
        <v>45084</v>
      </c>
      <c r="D43" s="24" t="s">
        <v>256</v>
      </c>
      <c r="E43" s="31" t="s">
        <v>257</v>
      </c>
      <c r="F43" s="31" t="s">
        <v>126</v>
      </c>
      <c r="G43" s="25" t="s">
        <v>127</v>
      </c>
      <c r="H43" s="26">
        <v>51549.760000000002</v>
      </c>
      <c r="I43" s="26">
        <v>0</v>
      </c>
      <c r="J43" s="26">
        <v>145</v>
      </c>
      <c r="K43" s="26">
        <f t="shared" si="2"/>
        <v>51694.76</v>
      </c>
      <c r="L43" s="41">
        <v>0.18</v>
      </c>
      <c r="M43" s="36"/>
      <c r="N43" s="26">
        <f t="shared" si="17"/>
        <v>4652.5284000000001</v>
      </c>
      <c r="O43" s="26">
        <f t="shared" si="18"/>
        <v>4652.5284000000001</v>
      </c>
      <c r="P43" s="42">
        <f t="shared" si="19"/>
        <v>60999.816800000008</v>
      </c>
    </row>
    <row r="44" spans="1:16" x14ac:dyDescent="0.25">
      <c r="A44" s="22">
        <f>IF(C44="","",COUNTA($C$4:C44))</f>
        <v>41</v>
      </c>
      <c r="B44" s="23" t="str">
        <f t="shared" si="5"/>
        <v>June</v>
      </c>
      <c r="C44" s="57">
        <v>45085</v>
      </c>
      <c r="D44" s="24" t="s">
        <v>258</v>
      </c>
      <c r="E44" s="31">
        <v>2301003194</v>
      </c>
      <c r="F44" s="31" t="s">
        <v>259</v>
      </c>
      <c r="G44" s="56" t="s">
        <v>260</v>
      </c>
      <c r="H44" s="26">
        <f>153395.5-2300.93</f>
        <v>151094.57</v>
      </c>
      <c r="I44" s="26">
        <v>0</v>
      </c>
      <c r="J44" s="26">
        <v>1029.5</v>
      </c>
      <c r="K44" s="26">
        <f t="shared" si="2"/>
        <v>152124.07</v>
      </c>
      <c r="L44" s="41">
        <v>0.18</v>
      </c>
      <c r="M44" s="36"/>
      <c r="N44" s="26">
        <f t="shared" si="17"/>
        <v>13691.166300000001</v>
      </c>
      <c r="O44" s="26">
        <f t="shared" si="18"/>
        <v>13691.166300000001</v>
      </c>
      <c r="P44" s="42">
        <f t="shared" si="19"/>
        <v>179506.40260000003</v>
      </c>
    </row>
    <row r="45" spans="1:16" x14ac:dyDescent="0.25">
      <c r="A45" s="22">
        <f>IF(C45="","",COUNTA($C$4:C45))</f>
        <v>42</v>
      </c>
      <c r="B45" s="23" t="str">
        <f t="shared" si="5"/>
        <v>June</v>
      </c>
      <c r="C45" s="57">
        <v>45084</v>
      </c>
      <c r="D45" s="24" t="s">
        <v>261</v>
      </c>
      <c r="E45" s="31" t="s">
        <v>262</v>
      </c>
      <c r="F45" s="31" t="s">
        <v>122</v>
      </c>
      <c r="G45" s="56" t="s">
        <v>123</v>
      </c>
      <c r="H45" s="26">
        <v>40749</v>
      </c>
      <c r="I45" s="26">
        <v>4500</v>
      </c>
      <c r="J45" s="26">
        <v>196</v>
      </c>
      <c r="K45" s="26">
        <f t="shared" si="2"/>
        <v>45445</v>
      </c>
      <c r="L45" s="41">
        <v>0.18</v>
      </c>
      <c r="M45" s="36"/>
      <c r="N45" s="26">
        <f t="shared" si="17"/>
        <v>4090.0499999999997</v>
      </c>
      <c r="O45" s="26">
        <f t="shared" si="18"/>
        <v>4090.0499999999997</v>
      </c>
      <c r="P45" s="42">
        <f t="shared" si="19"/>
        <v>53625.100000000006</v>
      </c>
    </row>
    <row r="46" spans="1:16" x14ac:dyDescent="0.25">
      <c r="A46" s="22">
        <f>IF(C46="","",COUNTA($C$4:C46))</f>
        <v>43</v>
      </c>
      <c r="B46" s="23" t="str">
        <f t="shared" si="5"/>
        <v>June</v>
      </c>
      <c r="C46" s="57">
        <v>45086</v>
      </c>
      <c r="D46" s="24" t="s">
        <v>263</v>
      </c>
      <c r="E46" s="31">
        <v>28</v>
      </c>
      <c r="F46" s="31" t="s">
        <v>131</v>
      </c>
      <c r="G46" s="56" t="s">
        <v>264</v>
      </c>
      <c r="H46" s="26">
        <v>1638</v>
      </c>
      <c r="I46" s="26">
        <v>0</v>
      </c>
      <c r="J46" s="26">
        <v>0</v>
      </c>
      <c r="K46" s="26">
        <f t="shared" si="2"/>
        <v>1638</v>
      </c>
      <c r="L46" s="41">
        <v>0.18</v>
      </c>
      <c r="M46" s="36"/>
      <c r="N46" s="26">
        <f t="shared" si="17"/>
        <v>147.41999999999999</v>
      </c>
      <c r="O46" s="26">
        <f t="shared" si="18"/>
        <v>147.41999999999999</v>
      </c>
      <c r="P46" s="42">
        <f t="shared" si="19"/>
        <v>1932.8400000000001</v>
      </c>
    </row>
    <row r="47" spans="1:16" x14ac:dyDescent="0.25">
      <c r="A47" s="22">
        <f>IF(C47="","",COUNTA($C$4:C47))</f>
        <v>44</v>
      </c>
      <c r="B47" s="23" t="str">
        <f t="shared" si="5"/>
        <v>June</v>
      </c>
      <c r="C47" s="57">
        <v>45089</v>
      </c>
      <c r="D47" s="24" t="s">
        <v>265</v>
      </c>
      <c r="E47" s="31" t="s">
        <v>266</v>
      </c>
      <c r="F47" s="31" t="s">
        <v>104</v>
      </c>
      <c r="G47" s="56" t="s">
        <v>267</v>
      </c>
      <c r="H47" s="26">
        <v>276556</v>
      </c>
      <c r="I47" s="26">
        <v>6000</v>
      </c>
      <c r="J47" s="26">
        <v>0</v>
      </c>
      <c r="K47" s="26">
        <f t="shared" si="2"/>
        <v>282556</v>
      </c>
      <c r="L47" s="41">
        <v>0.18</v>
      </c>
      <c r="M47" s="36"/>
      <c r="N47" s="26">
        <f t="shared" si="17"/>
        <v>25430.04</v>
      </c>
      <c r="O47" s="26">
        <f t="shared" si="18"/>
        <v>25430.04</v>
      </c>
      <c r="P47" s="42">
        <f t="shared" si="19"/>
        <v>333416.07999999996</v>
      </c>
    </row>
    <row r="48" spans="1:16" x14ac:dyDescent="0.25">
      <c r="A48" s="22">
        <f>IF(C48="","",COUNTA($C$4:C48))</f>
        <v>45</v>
      </c>
      <c r="B48" s="23" t="str">
        <f t="shared" si="5"/>
        <v>June</v>
      </c>
      <c r="C48" s="57">
        <v>45086</v>
      </c>
      <c r="D48" s="24" t="s">
        <v>268</v>
      </c>
      <c r="E48" s="31">
        <v>1137</v>
      </c>
      <c r="F48" s="31" t="s">
        <v>72</v>
      </c>
      <c r="G48" s="25" t="s">
        <v>269</v>
      </c>
      <c r="H48" s="26">
        <v>21895.16</v>
      </c>
      <c r="I48" s="26">
        <v>0</v>
      </c>
      <c r="J48" s="26">
        <v>0</v>
      </c>
      <c r="K48" s="26">
        <f t="shared" si="2"/>
        <v>21895.16</v>
      </c>
      <c r="L48" s="41">
        <v>0.18</v>
      </c>
      <c r="M48" s="36"/>
      <c r="N48" s="26">
        <f t="shared" si="17"/>
        <v>1970.5644</v>
      </c>
      <c r="O48" s="26">
        <f t="shared" si="18"/>
        <v>1970.5644</v>
      </c>
      <c r="P48" s="42">
        <f t="shared" si="19"/>
        <v>25836.288799999998</v>
      </c>
    </row>
    <row r="49" spans="1:16" x14ac:dyDescent="0.25">
      <c r="A49" s="22">
        <f>IF(C49="","",COUNTA($C$4:C49))</f>
        <v>46</v>
      </c>
      <c r="B49" s="23" t="str">
        <f t="shared" si="5"/>
        <v>June</v>
      </c>
      <c r="C49" s="57">
        <v>45086</v>
      </c>
      <c r="D49" s="24" t="s">
        <v>270</v>
      </c>
      <c r="E49" s="31">
        <v>1138</v>
      </c>
      <c r="F49" s="31" t="s">
        <v>72</v>
      </c>
      <c r="G49" s="25" t="s">
        <v>271</v>
      </c>
      <c r="H49" s="26">
        <v>15036.75</v>
      </c>
      <c r="I49" s="26">
        <v>0</v>
      </c>
      <c r="J49" s="26">
        <v>0</v>
      </c>
      <c r="K49" s="26">
        <f t="shared" si="2"/>
        <v>15036.75</v>
      </c>
      <c r="L49" s="41">
        <v>0.18</v>
      </c>
      <c r="M49" s="36"/>
      <c r="N49" s="26">
        <f t="shared" si="17"/>
        <v>1353.3074999999999</v>
      </c>
      <c r="O49" s="26">
        <f t="shared" si="18"/>
        <v>1353.3074999999999</v>
      </c>
      <c r="P49" s="42">
        <f t="shared" si="19"/>
        <v>17743.364999999998</v>
      </c>
    </row>
    <row r="50" spans="1:16" x14ac:dyDescent="0.25">
      <c r="A50" s="22">
        <f>IF(C50="","",COUNTA($C$4:C50))</f>
        <v>47</v>
      </c>
      <c r="B50" s="23" t="str">
        <f t="shared" si="5"/>
        <v>June</v>
      </c>
      <c r="C50" s="57">
        <v>45092</v>
      </c>
      <c r="D50" s="24" t="s">
        <v>272</v>
      </c>
      <c r="E50" s="31" t="s">
        <v>277</v>
      </c>
      <c r="F50" s="31" t="s">
        <v>273</v>
      </c>
      <c r="G50" s="56" t="s">
        <v>274</v>
      </c>
      <c r="H50" s="26">
        <v>321012</v>
      </c>
      <c r="I50" s="26">
        <v>7000</v>
      </c>
      <c r="J50" s="26">
        <v>0</v>
      </c>
      <c r="K50" s="26">
        <f t="shared" si="2"/>
        <v>328012</v>
      </c>
      <c r="L50" s="41">
        <v>0.18</v>
      </c>
      <c r="M50" s="36"/>
      <c r="N50" s="26">
        <f t="shared" si="17"/>
        <v>29521.079999999998</v>
      </c>
      <c r="O50" s="26">
        <f t="shared" si="18"/>
        <v>29521.079999999998</v>
      </c>
      <c r="P50" s="42">
        <f t="shared" si="19"/>
        <v>387054.16000000003</v>
      </c>
    </row>
    <row r="51" spans="1:16" x14ac:dyDescent="0.25">
      <c r="A51" s="22">
        <f>IF(C51="","",COUNTA($C$4:C51))</f>
        <v>48</v>
      </c>
      <c r="B51" s="23" t="str">
        <f t="shared" ref="B51:B54" si="20">IF(C51="","",TEXT(C51,"mmmm"))</f>
        <v>June</v>
      </c>
      <c r="C51" s="57">
        <v>45097</v>
      </c>
      <c r="D51" s="24" t="s">
        <v>275</v>
      </c>
      <c r="E51" s="31" t="s">
        <v>276</v>
      </c>
      <c r="F51" s="31" t="s">
        <v>273</v>
      </c>
      <c r="G51" s="56" t="s">
        <v>278</v>
      </c>
      <c r="H51" s="26">
        <v>319200</v>
      </c>
      <c r="I51" s="26">
        <v>0</v>
      </c>
      <c r="J51" s="26">
        <v>0</v>
      </c>
      <c r="K51" s="26">
        <f t="shared" si="2"/>
        <v>319200</v>
      </c>
      <c r="L51" s="41">
        <v>0.18</v>
      </c>
      <c r="M51" s="36"/>
      <c r="N51" s="26">
        <f t="shared" si="17"/>
        <v>28728</v>
      </c>
      <c r="O51" s="26">
        <f t="shared" si="18"/>
        <v>28728</v>
      </c>
      <c r="P51" s="42">
        <f t="shared" si="19"/>
        <v>376656</v>
      </c>
    </row>
    <row r="52" spans="1:16" x14ac:dyDescent="0.25">
      <c r="A52" s="22">
        <f>IF(C52="","",COUNTA($C$4:C52))</f>
        <v>49</v>
      </c>
      <c r="B52" s="23" t="str">
        <f t="shared" si="20"/>
        <v>June</v>
      </c>
      <c r="C52" s="57">
        <v>45099</v>
      </c>
      <c r="D52" s="24" t="s">
        <v>279</v>
      </c>
      <c r="E52" s="31" t="s">
        <v>280</v>
      </c>
      <c r="F52" s="31" t="s">
        <v>118</v>
      </c>
      <c r="G52" s="56" t="s">
        <v>281</v>
      </c>
      <c r="H52" s="26">
        <v>97875</v>
      </c>
      <c r="I52" s="26">
        <v>0</v>
      </c>
      <c r="J52" s="26">
        <v>0</v>
      </c>
      <c r="K52" s="26">
        <f t="shared" si="2"/>
        <v>97875</v>
      </c>
      <c r="L52" s="41">
        <v>0.18</v>
      </c>
      <c r="M52" s="36"/>
      <c r="N52" s="26">
        <f t="shared" si="17"/>
        <v>8808.75</v>
      </c>
      <c r="O52" s="26">
        <f t="shared" si="18"/>
        <v>8808.75</v>
      </c>
      <c r="P52" s="42">
        <f t="shared" si="19"/>
        <v>115492.5</v>
      </c>
    </row>
    <row r="53" spans="1:16" x14ac:dyDescent="0.25">
      <c r="A53" s="22">
        <f>IF(C53="","",COUNTA($C$4:C53))</f>
        <v>50</v>
      </c>
      <c r="B53" s="23" t="str">
        <f t="shared" si="20"/>
        <v>June</v>
      </c>
      <c r="C53" s="57">
        <v>45099</v>
      </c>
      <c r="D53" s="24" t="s">
        <v>282</v>
      </c>
      <c r="E53" s="31" t="s">
        <v>283</v>
      </c>
      <c r="F53" s="31" t="s">
        <v>118</v>
      </c>
      <c r="G53" s="56" t="s">
        <v>284</v>
      </c>
      <c r="H53" s="26">
        <v>34000</v>
      </c>
      <c r="I53" s="26">
        <v>0</v>
      </c>
      <c r="J53" s="26">
        <v>0</v>
      </c>
      <c r="K53" s="26">
        <f t="shared" si="2"/>
        <v>34000</v>
      </c>
      <c r="L53" s="41">
        <v>0.18</v>
      </c>
      <c r="M53" s="26"/>
      <c r="N53" s="26">
        <f t="shared" si="17"/>
        <v>3060</v>
      </c>
      <c r="O53" s="26">
        <f t="shared" si="18"/>
        <v>3060</v>
      </c>
      <c r="P53" s="42">
        <f t="shared" si="19"/>
        <v>40120</v>
      </c>
    </row>
    <row r="54" spans="1:16" x14ac:dyDescent="0.25">
      <c r="A54" s="22">
        <f>IF(C54="","",COUNTA($C$4:C54))</f>
        <v>51</v>
      </c>
      <c r="B54" s="23" t="str">
        <f t="shared" si="20"/>
        <v>June</v>
      </c>
      <c r="C54" s="57">
        <v>45100</v>
      </c>
      <c r="D54" s="24" t="s">
        <v>285</v>
      </c>
      <c r="E54" s="31" t="s">
        <v>286</v>
      </c>
      <c r="F54" s="31" t="s">
        <v>287</v>
      </c>
      <c r="G54" s="56" t="s">
        <v>288</v>
      </c>
      <c r="H54" s="26">
        <v>2350</v>
      </c>
      <c r="I54" s="26">
        <v>0</v>
      </c>
      <c r="J54" s="26">
        <v>0</v>
      </c>
      <c r="K54" s="26">
        <f t="shared" si="2"/>
        <v>2350</v>
      </c>
      <c r="L54" s="41">
        <v>0.18</v>
      </c>
      <c r="M54" s="36"/>
      <c r="N54" s="26">
        <f t="shared" si="17"/>
        <v>211.5</v>
      </c>
      <c r="O54" s="26">
        <f t="shared" si="18"/>
        <v>211.5</v>
      </c>
      <c r="P54" s="42">
        <f t="shared" si="19"/>
        <v>2773</v>
      </c>
    </row>
    <row r="55" spans="1:16" x14ac:dyDescent="0.25">
      <c r="A55" s="22">
        <f>IF(C55="","",COUNTA($C$4:C55))</f>
        <v>52</v>
      </c>
      <c r="B55" s="23" t="str">
        <f t="shared" si="5"/>
        <v>June</v>
      </c>
      <c r="C55" s="57">
        <v>45101</v>
      </c>
      <c r="D55" s="24" t="s">
        <v>289</v>
      </c>
      <c r="E55" s="31">
        <v>3631</v>
      </c>
      <c r="F55" s="31" t="s">
        <v>290</v>
      </c>
      <c r="G55" s="56" t="s">
        <v>291</v>
      </c>
      <c r="H55" s="26">
        <v>6732</v>
      </c>
      <c r="I55" s="26">
        <v>0</v>
      </c>
      <c r="J55" s="26">
        <v>0</v>
      </c>
      <c r="K55" s="26">
        <f t="shared" si="2"/>
        <v>6732</v>
      </c>
      <c r="L55" s="41">
        <v>0.18</v>
      </c>
      <c r="M55" s="36"/>
      <c r="N55" s="26">
        <f t="shared" si="17"/>
        <v>605.88</v>
      </c>
      <c r="O55" s="26">
        <f t="shared" si="18"/>
        <v>605.88</v>
      </c>
      <c r="P55" s="42">
        <f t="shared" si="19"/>
        <v>7943.76</v>
      </c>
    </row>
    <row r="56" spans="1:16" x14ac:dyDescent="0.25">
      <c r="A56" s="22">
        <f>IF(C56="","",COUNTA($C$4:C56))</f>
        <v>53</v>
      </c>
      <c r="B56" s="23" t="str">
        <f t="shared" si="5"/>
        <v>June</v>
      </c>
      <c r="C56" s="57">
        <v>45104</v>
      </c>
      <c r="D56" s="24" t="s">
        <v>292</v>
      </c>
      <c r="E56" s="31" t="s">
        <v>293</v>
      </c>
      <c r="F56" s="31" t="s">
        <v>273</v>
      </c>
      <c r="G56" s="56" t="s">
        <v>294</v>
      </c>
      <c r="H56" s="26">
        <v>260736</v>
      </c>
      <c r="I56" s="26">
        <v>0</v>
      </c>
      <c r="J56" s="26">
        <v>0</v>
      </c>
      <c r="K56" s="26">
        <f t="shared" si="2"/>
        <v>260736</v>
      </c>
      <c r="L56" s="41">
        <v>0.18</v>
      </c>
      <c r="M56" s="36"/>
      <c r="N56" s="26">
        <f t="shared" si="17"/>
        <v>23466.239999999998</v>
      </c>
      <c r="O56" s="26">
        <f t="shared" si="18"/>
        <v>23466.239999999998</v>
      </c>
      <c r="P56" s="42">
        <f t="shared" si="19"/>
        <v>307668.47999999998</v>
      </c>
    </row>
    <row r="57" spans="1:16" x14ac:dyDescent="0.25">
      <c r="A57" s="22">
        <f>IF(C57="","",COUNTA($C$4:C57))</f>
        <v>54</v>
      </c>
      <c r="B57" s="23" t="str">
        <f t="shared" ref="B57" si="21">IF(C57="","",TEXT(C57,"mmmm"))</f>
        <v>June</v>
      </c>
      <c r="C57" s="57">
        <v>45105</v>
      </c>
      <c r="D57" s="24" t="s">
        <v>295</v>
      </c>
      <c r="E57" s="31" t="s">
        <v>296</v>
      </c>
      <c r="F57" s="31" t="s">
        <v>60</v>
      </c>
      <c r="G57" s="56" t="s">
        <v>297</v>
      </c>
      <c r="H57" s="26">
        <v>202008</v>
      </c>
      <c r="I57" s="26">
        <v>4000</v>
      </c>
      <c r="J57" s="26">
        <v>0</v>
      </c>
      <c r="K57" s="26">
        <f t="shared" si="2"/>
        <v>206008</v>
      </c>
      <c r="L57" s="41">
        <v>0.18</v>
      </c>
      <c r="M57" s="27">
        <f>K57*18%</f>
        <v>37081.439999999995</v>
      </c>
      <c r="N57" s="26">
        <v>0</v>
      </c>
      <c r="O57" s="26">
        <v>0</v>
      </c>
      <c r="P57" s="42">
        <f t="shared" si="19"/>
        <v>243089.44</v>
      </c>
    </row>
    <row r="58" spans="1:16" x14ac:dyDescent="0.25">
      <c r="A58" s="22">
        <f>IF(C58="","",COUNTA($C$4:C58))</f>
        <v>55</v>
      </c>
      <c r="B58" s="23" t="str">
        <f t="shared" si="5"/>
        <v>June</v>
      </c>
      <c r="C58" s="57">
        <v>45106</v>
      </c>
      <c r="D58" s="24" t="s">
        <v>298</v>
      </c>
      <c r="E58" s="31" t="s">
        <v>299</v>
      </c>
      <c r="F58" s="31" t="s">
        <v>118</v>
      </c>
      <c r="G58" s="56" t="s">
        <v>300</v>
      </c>
      <c r="H58" s="26">
        <v>130500</v>
      </c>
      <c r="I58" s="26">
        <v>0</v>
      </c>
      <c r="J58" s="26">
        <v>0</v>
      </c>
      <c r="K58" s="26">
        <f t="shared" si="2"/>
        <v>130500</v>
      </c>
      <c r="L58" s="41">
        <v>0.18</v>
      </c>
      <c r="M58" s="27"/>
      <c r="N58" s="26">
        <f t="shared" ref="N58:N72" si="22">K58*9%</f>
        <v>11745</v>
      </c>
      <c r="O58" s="26">
        <f t="shared" ref="O58:O72" si="23">K58*9%</f>
        <v>11745</v>
      </c>
      <c r="P58" s="42">
        <f t="shared" si="19"/>
        <v>153990</v>
      </c>
    </row>
    <row r="59" spans="1:16" x14ac:dyDescent="0.25">
      <c r="A59" s="22">
        <f>IF(C59="","",COUNTA($C$4:C59))</f>
        <v>56</v>
      </c>
      <c r="B59" s="23" t="str">
        <f t="shared" si="5"/>
        <v>June</v>
      </c>
      <c r="C59" s="57">
        <v>45106</v>
      </c>
      <c r="D59" s="24" t="s">
        <v>301</v>
      </c>
      <c r="E59" s="31" t="s">
        <v>302</v>
      </c>
      <c r="F59" s="31" t="s">
        <v>118</v>
      </c>
      <c r="G59" s="56" t="s">
        <v>303</v>
      </c>
      <c r="H59" s="26">
        <v>23800</v>
      </c>
      <c r="I59" s="26">
        <v>0</v>
      </c>
      <c r="J59" s="26">
        <v>0</v>
      </c>
      <c r="K59" s="26">
        <f t="shared" si="2"/>
        <v>23800</v>
      </c>
      <c r="L59" s="41">
        <v>0.18</v>
      </c>
      <c r="M59" s="27"/>
      <c r="N59" s="26">
        <f t="shared" si="22"/>
        <v>2142</v>
      </c>
      <c r="O59" s="26">
        <f t="shared" si="23"/>
        <v>2142</v>
      </c>
      <c r="P59" s="42">
        <f t="shared" si="19"/>
        <v>28084</v>
      </c>
    </row>
    <row r="60" spans="1:16" x14ac:dyDescent="0.25">
      <c r="A60" s="22">
        <f>IF(C60="","",COUNTA($C$4:C60))</f>
        <v>57</v>
      </c>
      <c r="B60" s="23" t="str">
        <f t="shared" si="5"/>
        <v>June</v>
      </c>
      <c r="C60" s="57">
        <v>45106</v>
      </c>
      <c r="D60" s="24" t="s">
        <v>360</v>
      </c>
      <c r="E60" s="31" t="s">
        <v>361</v>
      </c>
      <c r="F60" s="31" t="s">
        <v>155</v>
      </c>
      <c r="G60" s="56" t="s">
        <v>156</v>
      </c>
      <c r="H60" s="26">
        <v>2260</v>
      </c>
      <c r="I60" s="26">
        <v>0</v>
      </c>
      <c r="J60" s="26">
        <v>0</v>
      </c>
      <c r="K60" s="26">
        <f t="shared" si="2"/>
        <v>2260</v>
      </c>
      <c r="L60" s="41">
        <v>0.18</v>
      </c>
      <c r="M60" s="36"/>
      <c r="N60" s="26">
        <f t="shared" si="22"/>
        <v>203.4</v>
      </c>
      <c r="O60" s="26">
        <f t="shared" si="23"/>
        <v>203.4</v>
      </c>
      <c r="P60" s="42">
        <f t="shared" si="19"/>
        <v>2666.8</v>
      </c>
    </row>
    <row r="61" spans="1:16" x14ac:dyDescent="0.25">
      <c r="A61" s="22">
        <f>IF(C61="","",COUNTA($C$4:C61))</f>
        <v>58</v>
      </c>
      <c r="B61" s="23" t="str">
        <f t="shared" si="5"/>
        <v>June</v>
      </c>
      <c r="C61" s="57">
        <v>45106</v>
      </c>
      <c r="D61" s="24" t="s">
        <v>362</v>
      </c>
      <c r="E61" s="31" t="s">
        <v>363</v>
      </c>
      <c r="F61" s="31" t="s">
        <v>155</v>
      </c>
      <c r="G61" s="56" t="s">
        <v>156</v>
      </c>
      <c r="H61" s="26">
        <v>4117.5</v>
      </c>
      <c r="I61" s="26">
        <v>0</v>
      </c>
      <c r="J61" s="26">
        <v>0</v>
      </c>
      <c r="K61" s="26">
        <f t="shared" si="2"/>
        <v>4117.5</v>
      </c>
      <c r="L61" s="41">
        <v>0.18</v>
      </c>
      <c r="M61" s="36"/>
      <c r="N61" s="26">
        <f t="shared" si="22"/>
        <v>370.57499999999999</v>
      </c>
      <c r="O61" s="26">
        <f t="shared" si="23"/>
        <v>370.57499999999999</v>
      </c>
      <c r="P61" s="42">
        <f t="shared" si="19"/>
        <v>4858.6499999999996</v>
      </c>
    </row>
    <row r="62" spans="1:16" x14ac:dyDescent="0.25">
      <c r="A62" s="22">
        <f>IF(C62="","",COUNTA($C$4:C62))</f>
        <v>59</v>
      </c>
      <c r="B62" s="23" t="str">
        <f t="shared" si="5"/>
        <v>July</v>
      </c>
      <c r="C62" s="57">
        <v>45111</v>
      </c>
      <c r="D62" s="24" t="s">
        <v>365</v>
      </c>
      <c r="E62" s="31" t="s">
        <v>366</v>
      </c>
      <c r="F62" s="31" t="s">
        <v>367</v>
      </c>
      <c r="G62" s="56" t="s">
        <v>368</v>
      </c>
      <c r="H62" s="26">
        <v>7460</v>
      </c>
      <c r="I62" s="26">
        <v>0</v>
      </c>
      <c r="J62" s="26">
        <v>0</v>
      </c>
      <c r="K62" s="26">
        <f t="shared" si="2"/>
        <v>7460</v>
      </c>
      <c r="L62" s="41">
        <v>0.18</v>
      </c>
      <c r="M62" s="36"/>
      <c r="N62" s="26">
        <f t="shared" si="22"/>
        <v>671.4</v>
      </c>
      <c r="O62" s="26">
        <f t="shared" si="23"/>
        <v>671.4</v>
      </c>
      <c r="P62" s="42">
        <f t="shared" si="19"/>
        <v>8802.7999999999993</v>
      </c>
    </row>
    <row r="63" spans="1:16" x14ac:dyDescent="0.25">
      <c r="A63" s="22">
        <f>IF(C63="","",COUNTA($C$4:C63))</f>
        <v>60</v>
      </c>
      <c r="B63" s="23" t="str">
        <f t="shared" si="5"/>
        <v>July</v>
      </c>
      <c r="C63" s="57">
        <v>45114</v>
      </c>
      <c r="D63" s="24" t="s">
        <v>369</v>
      </c>
      <c r="E63" s="31" t="s">
        <v>370</v>
      </c>
      <c r="F63" s="31" t="s">
        <v>118</v>
      </c>
      <c r="G63" s="56" t="s">
        <v>371</v>
      </c>
      <c r="H63" s="26">
        <v>127237.5</v>
      </c>
      <c r="I63" s="26">
        <v>0</v>
      </c>
      <c r="J63" s="26">
        <v>0</v>
      </c>
      <c r="K63" s="26">
        <f t="shared" si="2"/>
        <v>127237.5</v>
      </c>
      <c r="L63" s="41">
        <v>0.18</v>
      </c>
      <c r="M63" s="36"/>
      <c r="N63" s="26">
        <f t="shared" si="22"/>
        <v>11451.375</v>
      </c>
      <c r="O63" s="26">
        <f t="shared" si="23"/>
        <v>11451.375</v>
      </c>
      <c r="P63" s="42">
        <f t="shared" si="19"/>
        <v>150140.25</v>
      </c>
    </row>
    <row r="64" spans="1:16" x14ac:dyDescent="0.25">
      <c r="A64" s="22">
        <f>IF(C64="","",COUNTA($C$4:C64))</f>
        <v>61</v>
      </c>
      <c r="B64" s="23" t="str">
        <f t="shared" si="5"/>
        <v>July</v>
      </c>
      <c r="C64" s="57">
        <v>45114</v>
      </c>
      <c r="D64" s="24" t="s">
        <v>372</v>
      </c>
      <c r="E64" s="31" t="s">
        <v>373</v>
      </c>
      <c r="F64" s="31" t="s">
        <v>118</v>
      </c>
      <c r="G64" s="56" t="s">
        <v>374</v>
      </c>
      <c r="H64" s="26">
        <v>10200</v>
      </c>
      <c r="I64" s="26">
        <v>0</v>
      </c>
      <c r="J64" s="26">
        <v>0</v>
      </c>
      <c r="K64" s="26">
        <f t="shared" si="2"/>
        <v>10200</v>
      </c>
      <c r="L64" s="41">
        <v>0.18</v>
      </c>
      <c r="M64" s="36"/>
      <c r="N64" s="26">
        <f t="shared" si="22"/>
        <v>918</v>
      </c>
      <c r="O64" s="26">
        <f t="shared" si="23"/>
        <v>918</v>
      </c>
      <c r="P64" s="42">
        <f t="shared" si="19"/>
        <v>12036</v>
      </c>
    </row>
    <row r="65" spans="1:16" x14ac:dyDescent="0.25">
      <c r="A65" s="22">
        <f>IF(C65="","",COUNTA($C$4:C65))</f>
        <v>62</v>
      </c>
      <c r="B65" s="23" t="str">
        <f t="shared" si="5"/>
        <v>July</v>
      </c>
      <c r="C65" s="57">
        <v>45117</v>
      </c>
      <c r="D65" s="24" t="s">
        <v>375</v>
      </c>
      <c r="E65" s="31" t="s">
        <v>376</v>
      </c>
      <c r="F65" s="31" t="s">
        <v>377</v>
      </c>
      <c r="G65" s="56" t="s">
        <v>378</v>
      </c>
      <c r="H65" s="26">
        <v>35500</v>
      </c>
      <c r="I65" s="26">
        <v>0</v>
      </c>
      <c r="J65" s="26">
        <v>0</v>
      </c>
      <c r="K65" s="26">
        <f t="shared" si="2"/>
        <v>35500</v>
      </c>
      <c r="L65" s="41">
        <v>0.18</v>
      </c>
      <c r="M65" s="36"/>
      <c r="N65" s="26">
        <f t="shared" si="22"/>
        <v>3195</v>
      </c>
      <c r="O65" s="26">
        <f t="shared" si="23"/>
        <v>3195</v>
      </c>
      <c r="P65" s="42">
        <f t="shared" si="19"/>
        <v>41890</v>
      </c>
    </row>
    <row r="66" spans="1:16" x14ac:dyDescent="0.25">
      <c r="A66" s="22">
        <f>IF(C66="","",COUNTA($C$4:C66))</f>
        <v>63</v>
      </c>
      <c r="B66" s="23" t="str">
        <f t="shared" si="5"/>
        <v>July</v>
      </c>
      <c r="C66" s="57">
        <v>45119</v>
      </c>
      <c r="D66" s="24" t="s">
        <v>379</v>
      </c>
      <c r="E66" s="31" t="s">
        <v>380</v>
      </c>
      <c r="F66" s="31" t="s">
        <v>273</v>
      </c>
      <c r="G66" s="56" t="s">
        <v>381</v>
      </c>
      <c r="H66" s="26">
        <v>180600</v>
      </c>
      <c r="I66" s="26">
        <v>0</v>
      </c>
      <c r="J66" s="26">
        <v>0</v>
      </c>
      <c r="K66" s="26">
        <f t="shared" si="2"/>
        <v>180600</v>
      </c>
      <c r="L66" s="41">
        <v>0.18</v>
      </c>
      <c r="M66" s="36"/>
      <c r="N66" s="26">
        <f t="shared" si="22"/>
        <v>16254</v>
      </c>
      <c r="O66" s="26">
        <f t="shared" si="23"/>
        <v>16254</v>
      </c>
      <c r="P66" s="42">
        <f t="shared" si="19"/>
        <v>213108</v>
      </c>
    </row>
    <row r="67" spans="1:16" x14ac:dyDescent="0.25">
      <c r="A67" s="22">
        <f>IF(C67="","",COUNTA($C$4:C67))</f>
        <v>64</v>
      </c>
      <c r="B67" s="23" t="str">
        <f t="shared" si="5"/>
        <v>July</v>
      </c>
      <c r="C67" s="57">
        <v>45120</v>
      </c>
      <c r="D67" s="24" t="s">
        <v>382</v>
      </c>
      <c r="E67" s="31" t="s">
        <v>383</v>
      </c>
      <c r="F67" s="31" t="s">
        <v>384</v>
      </c>
      <c r="G67" s="56" t="s">
        <v>385</v>
      </c>
      <c r="H67" s="26">
        <v>793440</v>
      </c>
      <c r="I67" s="26">
        <v>5250</v>
      </c>
      <c r="J67" s="26">
        <v>150</v>
      </c>
      <c r="K67" s="26">
        <f t="shared" si="2"/>
        <v>798840</v>
      </c>
      <c r="L67" s="41">
        <v>0.18</v>
      </c>
      <c r="M67" s="36"/>
      <c r="N67" s="26">
        <f t="shared" si="22"/>
        <v>71895.599999999991</v>
      </c>
      <c r="O67" s="26">
        <f t="shared" si="23"/>
        <v>71895.599999999991</v>
      </c>
      <c r="P67" s="42">
        <f t="shared" si="19"/>
        <v>942631.2</v>
      </c>
    </row>
    <row r="68" spans="1:16" x14ac:dyDescent="0.25">
      <c r="A68" s="22">
        <f>IF(C68="","",COUNTA($C$4:C68))</f>
        <v>65</v>
      </c>
      <c r="B68" s="23" t="str">
        <f t="shared" ref="B68" si="24">IF(C68="","",TEXT(C68,"mmmm"))</f>
        <v>July</v>
      </c>
      <c r="C68" s="57">
        <v>45120</v>
      </c>
      <c r="D68" s="24" t="s">
        <v>388</v>
      </c>
      <c r="E68" s="31" t="s">
        <v>386</v>
      </c>
      <c r="F68" s="31" t="s">
        <v>384</v>
      </c>
      <c r="G68" s="56" t="s">
        <v>387</v>
      </c>
      <c r="H68" s="26">
        <v>386282.5</v>
      </c>
      <c r="I68" s="26">
        <v>0</v>
      </c>
      <c r="J68" s="26">
        <v>0</v>
      </c>
      <c r="K68" s="26">
        <f t="shared" si="2"/>
        <v>386282.5</v>
      </c>
      <c r="L68" s="41">
        <v>0.18</v>
      </c>
      <c r="M68" s="36"/>
      <c r="N68" s="26">
        <f t="shared" si="22"/>
        <v>34765.424999999996</v>
      </c>
      <c r="O68" s="26">
        <f t="shared" si="23"/>
        <v>34765.424999999996</v>
      </c>
      <c r="P68" s="42">
        <f t="shared" si="19"/>
        <v>455813.35</v>
      </c>
    </row>
    <row r="69" spans="1:16" x14ac:dyDescent="0.25">
      <c r="A69" s="22">
        <f>IF(C69="","",COUNTA($C$4:C69))</f>
        <v>66</v>
      </c>
      <c r="B69" s="23" t="str">
        <f t="shared" si="5"/>
        <v>July</v>
      </c>
      <c r="C69" s="57">
        <v>45120</v>
      </c>
      <c r="D69" s="24" t="s">
        <v>389</v>
      </c>
      <c r="E69" s="31" t="s">
        <v>390</v>
      </c>
      <c r="F69" s="31" t="s">
        <v>384</v>
      </c>
      <c r="G69" s="56" t="s">
        <v>391</v>
      </c>
      <c r="H69" s="26">
        <v>268280</v>
      </c>
      <c r="I69" s="26">
        <v>9610</v>
      </c>
      <c r="J69" s="26">
        <v>150</v>
      </c>
      <c r="K69" s="26">
        <f t="shared" si="2"/>
        <v>278040</v>
      </c>
      <c r="L69" s="41">
        <v>0.18</v>
      </c>
      <c r="M69" s="36"/>
      <c r="N69" s="26">
        <f t="shared" si="22"/>
        <v>25023.599999999999</v>
      </c>
      <c r="O69" s="26">
        <f t="shared" si="23"/>
        <v>25023.599999999999</v>
      </c>
      <c r="P69" s="42">
        <f t="shared" si="19"/>
        <v>328087.19999999995</v>
      </c>
    </row>
    <row r="70" spans="1:16" x14ac:dyDescent="0.25">
      <c r="A70" s="22">
        <f>IF(C70="","",COUNTA($C$4:C70))</f>
        <v>67</v>
      </c>
      <c r="B70" s="23" t="str">
        <f t="shared" si="5"/>
        <v>July</v>
      </c>
      <c r="C70" s="57">
        <v>45120</v>
      </c>
      <c r="D70" s="24" t="s">
        <v>392</v>
      </c>
      <c r="E70" s="31" t="s">
        <v>393</v>
      </c>
      <c r="F70" s="31" t="s">
        <v>384</v>
      </c>
      <c r="G70" s="56" t="s">
        <v>394</v>
      </c>
      <c r="H70" s="26">
        <v>1181872.5</v>
      </c>
      <c r="I70" s="26">
        <v>0</v>
      </c>
      <c r="J70" s="26">
        <v>0</v>
      </c>
      <c r="K70" s="26">
        <f t="shared" si="2"/>
        <v>1181872.5</v>
      </c>
      <c r="L70" s="41">
        <v>0.18</v>
      </c>
      <c r="M70" s="36"/>
      <c r="N70" s="26">
        <f t="shared" si="22"/>
        <v>106368.52499999999</v>
      </c>
      <c r="O70" s="26">
        <f t="shared" si="23"/>
        <v>106368.52499999999</v>
      </c>
      <c r="P70" s="42">
        <f t="shared" si="19"/>
        <v>1394609.5499999998</v>
      </c>
    </row>
    <row r="71" spans="1:16" x14ac:dyDescent="0.25">
      <c r="A71" s="22">
        <f>IF(C71="","",COUNTA($C$4:C71))</f>
        <v>68</v>
      </c>
      <c r="B71" s="23" t="str">
        <f t="shared" si="5"/>
        <v>July</v>
      </c>
      <c r="C71" s="57">
        <v>45121</v>
      </c>
      <c r="D71" s="24" t="s">
        <v>395</v>
      </c>
      <c r="E71" s="31" t="s">
        <v>396</v>
      </c>
      <c r="F71" s="31" t="s">
        <v>104</v>
      </c>
      <c r="G71" s="56" t="s">
        <v>397</v>
      </c>
      <c r="H71" s="26">
        <v>93840</v>
      </c>
      <c r="I71" s="26">
        <v>2200</v>
      </c>
      <c r="J71" s="26">
        <v>0</v>
      </c>
      <c r="K71" s="26">
        <f t="shared" si="2"/>
        <v>96040</v>
      </c>
      <c r="L71" s="41">
        <v>0.18</v>
      </c>
      <c r="M71" s="27"/>
      <c r="N71" s="26">
        <f t="shared" si="22"/>
        <v>8643.6</v>
      </c>
      <c r="O71" s="26">
        <f t="shared" si="23"/>
        <v>8643.6</v>
      </c>
      <c r="P71" s="42">
        <f t="shared" si="19"/>
        <v>113327.20000000001</v>
      </c>
    </row>
    <row r="72" spans="1:16" x14ac:dyDescent="0.25">
      <c r="A72" s="22">
        <f>IF(C72="","",COUNTA($C$4:C72))</f>
        <v>69</v>
      </c>
      <c r="B72" s="23" t="str">
        <f t="shared" si="5"/>
        <v>July</v>
      </c>
      <c r="C72" s="57">
        <v>45121</v>
      </c>
      <c r="D72" s="24" t="s">
        <v>398</v>
      </c>
      <c r="E72" s="31" t="s">
        <v>399</v>
      </c>
      <c r="F72" s="31" t="s">
        <v>400</v>
      </c>
      <c r="G72" s="56" t="s">
        <v>401</v>
      </c>
      <c r="H72" s="26">
        <v>245000</v>
      </c>
      <c r="I72" s="26">
        <v>0</v>
      </c>
      <c r="J72" s="26">
        <v>0</v>
      </c>
      <c r="K72" s="26">
        <f t="shared" si="2"/>
        <v>245000</v>
      </c>
      <c r="L72" s="41">
        <v>0.18</v>
      </c>
      <c r="M72" s="27">
        <f>K72*18%</f>
        <v>44100</v>
      </c>
      <c r="N72" s="26">
        <v>0</v>
      </c>
      <c r="O72" s="26">
        <v>0</v>
      </c>
      <c r="P72" s="42">
        <f t="shared" si="19"/>
        <v>289100</v>
      </c>
    </row>
    <row r="73" spans="1:16" x14ac:dyDescent="0.25">
      <c r="A73" s="22">
        <f>IF(C73="","",COUNTA($C$4:C73))</f>
        <v>70</v>
      </c>
      <c r="B73" s="23" t="str">
        <f t="shared" si="5"/>
        <v>July</v>
      </c>
      <c r="C73" s="57">
        <v>45125</v>
      </c>
      <c r="D73" s="24" t="s">
        <v>402</v>
      </c>
      <c r="E73" s="31" t="s">
        <v>403</v>
      </c>
      <c r="F73" s="31" t="s">
        <v>404</v>
      </c>
      <c r="G73" s="56" t="s">
        <v>405</v>
      </c>
      <c r="H73" s="26">
        <v>13665</v>
      </c>
      <c r="I73" s="26">
        <v>0</v>
      </c>
      <c r="J73" s="26">
        <v>0</v>
      </c>
      <c r="K73" s="26">
        <f t="shared" si="2"/>
        <v>13665</v>
      </c>
      <c r="L73" s="41">
        <v>0.18</v>
      </c>
      <c r="M73" s="36"/>
      <c r="N73" s="26">
        <f t="shared" ref="N73:N75" si="25">K73*9%</f>
        <v>1229.8499999999999</v>
      </c>
      <c r="O73" s="26">
        <f t="shared" ref="O73:O75" si="26">K73*9%</f>
        <v>1229.8499999999999</v>
      </c>
      <c r="P73" s="42">
        <f t="shared" ref="P73:P75" si="27">K73+M73+N73+O73</f>
        <v>16124.7</v>
      </c>
    </row>
    <row r="74" spans="1:16" x14ac:dyDescent="0.25">
      <c r="A74" s="22">
        <f>IF(C74="","",COUNTA($C$4:C74))</f>
        <v>71</v>
      </c>
      <c r="B74" s="23" t="str">
        <f t="shared" ref="B74:B140" si="28">IF(C74="","",TEXT(C74,"mmmm"))</f>
        <v>July</v>
      </c>
      <c r="C74" s="57">
        <v>45125</v>
      </c>
      <c r="D74" s="24" t="s">
        <v>406</v>
      </c>
      <c r="E74" s="31" t="s">
        <v>407</v>
      </c>
      <c r="F74" s="31" t="s">
        <v>336</v>
      </c>
      <c r="G74" s="56" t="s">
        <v>408</v>
      </c>
      <c r="H74" s="26">
        <v>76000</v>
      </c>
      <c r="I74" s="26">
        <v>0</v>
      </c>
      <c r="J74" s="26">
        <v>0</v>
      </c>
      <c r="K74" s="26">
        <f t="shared" si="2"/>
        <v>76000</v>
      </c>
      <c r="L74" s="41">
        <v>0.18</v>
      </c>
      <c r="M74" s="36"/>
      <c r="N74" s="26">
        <f t="shared" si="25"/>
        <v>6840</v>
      </c>
      <c r="O74" s="26">
        <f t="shared" si="26"/>
        <v>6840</v>
      </c>
      <c r="P74" s="42">
        <f t="shared" si="27"/>
        <v>89680</v>
      </c>
    </row>
    <row r="75" spans="1:16" x14ac:dyDescent="0.25">
      <c r="A75" s="22">
        <f>IF(C75="","",COUNTA($C$4:C75))</f>
        <v>72</v>
      </c>
      <c r="B75" s="23" t="str">
        <f t="shared" si="28"/>
        <v>July</v>
      </c>
      <c r="C75" s="57">
        <v>45128</v>
      </c>
      <c r="D75" s="24" t="s">
        <v>409</v>
      </c>
      <c r="E75" s="31" t="s">
        <v>410</v>
      </c>
      <c r="F75" s="31" t="s">
        <v>60</v>
      </c>
      <c r="G75" s="56" t="s">
        <v>411</v>
      </c>
      <c r="H75" s="26">
        <v>63648</v>
      </c>
      <c r="I75" s="26">
        <v>800</v>
      </c>
      <c r="J75" s="26">
        <v>0</v>
      </c>
      <c r="K75" s="26">
        <f t="shared" si="2"/>
        <v>64448</v>
      </c>
      <c r="L75" s="41">
        <v>0.18</v>
      </c>
      <c r="M75" s="27">
        <f>K75*18%</f>
        <v>11600.64</v>
      </c>
      <c r="N75" s="26">
        <v>0</v>
      </c>
      <c r="O75" s="26">
        <v>0</v>
      </c>
      <c r="P75" s="42">
        <f t="shared" si="27"/>
        <v>76048.639999999999</v>
      </c>
    </row>
    <row r="76" spans="1:16" x14ac:dyDescent="0.25">
      <c r="A76" s="22">
        <f>IF(C76="","",COUNTA($C$4:C76))</f>
        <v>73</v>
      </c>
      <c r="B76" s="23" t="str">
        <f t="shared" si="28"/>
        <v>July</v>
      </c>
      <c r="C76" s="57">
        <v>45128</v>
      </c>
      <c r="D76" s="24" t="s">
        <v>412</v>
      </c>
      <c r="E76" s="31" t="s">
        <v>413</v>
      </c>
      <c r="F76" s="31" t="s">
        <v>273</v>
      </c>
      <c r="G76" s="56" t="s">
        <v>414</v>
      </c>
      <c r="H76" s="26">
        <v>162000</v>
      </c>
      <c r="I76" s="26">
        <v>0</v>
      </c>
      <c r="J76" s="26">
        <v>0</v>
      </c>
      <c r="K76" s="26">
        <f t="shared" si="2"/>
        <v>162000</v>
      </c>
      <c r="L76" s="41">
        <v>0.18</v>
      </c>
      <c r="M76" s="36"/>
      <c r="N76" s="26">
        <f t="shared" ref="N76:N83" si="29">K76*9%</f>
        <v>14580</v>
      </c>
      <c r="O76" s="26">
        <f t="shared" ref="O76:O83" si="30">K76*9%</f>
        <v>14580</v>
      </c>
      <c r="P76" s="42">
        <f t="shared" ref="P76:P83" si="31">K76+M76+N76+O76</f>
        <v>191160</v>
      </c>
    </row>
    <row r="77" spans="1:16" x14ac:dyDescent="0.25">
      <c r="A77" s="22">
        <f>IF(C77="","",COUNTA($C$4:C77))</f>
        <v>74</v>
      </c>
      <c r="B77" s="23" t="str">
        <f t="shared" si="28"/>
        <v>July</v>
      </c>
      <c r="C77" s="57">
        <v>45128</v>
      </c>
      <c r="D77" s="24" t="s">
        <v>415</v>
      </c>
      <c r="E77" s="31" t="s">
        <v>416</v>
      </c>
      <c r="F77" s="31" t="s">
        <v>384</v>
      </c>
      <c r="G77" s="56" t="s">
        <v>417</v>
      </c>
      <c r="H77" s="26">
        <f>378087.5+400900</f>
        <v>778987.5</v>
      </c>
      <c r="I77" s="26">
        <v>5175</v>
      </c>
      <c r="J77" s="26">
        <v>150</v>
      </c>
      <c r="K77" s="26">
        <f t="shared" si="2"/>
        <v>784312.5</v>
      </c>
      <c r="L77" s="41">
        <v>0.18</v>
      </c>
      <c r="M77" s="36"/>
      <c r="N77" s="26">
        <f t="shared" si="29"/>
        <v>70588.125</v>
      </c>
      <c r="O77" s="26">
        <f t="shared" si="30"/>
        <v>70588.125</v>
      </c>
      <c r="P77" s="42">
        <f t="shared" si="31"/>
        <v>925488.75</v>
      </c>
    </row>
    <row r="78" spans="1:16" x14ac:dyDescent="0.25">
      <c r="A78" s="22">
        <f>IF(C78="","",COUNTA($C$4:C78))</f>
        <v>75</v>
      </c>
      <c r="B78" s="23" t="str">
        <f t="shared" si="28"/>
        <v>July</v>
      </c>
      <c r="C78" s="57">
        <v>45133</v>
      </c>
      <c r="D78" s="24" t="s">
        <v>418</v>
      </c>
      <c r="E78" s="31" t="s">
        <v>419</v>
      </c>
      <c r="F78" s="31" t="s">
        <v>384</v>
      </c>
      <c r="G78" s="56" t="s">
        <v>420</v>
      </c>
      <c r="H78" s="26">
        <v>1321500</v>
      </c>
      <c r="I78" s="26">
        <v>0</v>
      </c>
      <c r="J78" s="26">
        <v>150</v>
      </c>
      <c r="K78" s="26">
        <f t="shared" si="2"/>
        <v>1321650</v>
      </c>
      <c r="L78" s="41">
        <v>0.18</v>
      </c>
      <c r="M78" s="26"/>
      <c r="N78" s="26">
        <f t="shared" si="29"/>
        <v>118948.5</v>
      </c>
      <c r="O78" s="26">
        <f t="shared" si="30"/>
        <v>118948.5</v>
      </c>
      <c r="P78" s="42">
        <f t="shared" si="31"/>
        <v>1559547</v>
      </c>
    </row>
    <row r="79" spans="1:16" ht="18.75" customHeight="1" x14ac:dyDescent="0.25">
      <c r="A79" s="22">
        <f>IF(C79="","",COUNTA($C$4:C79))</f>
        <v>76</v>
      </c>
      <c r="B79" s="23" t="str">
        <f t="shared" si="28"/>
        <v>July</v>
      </c>
      <c r="C79" s="57">
        <v>45134</v>
      </c>
      <c r="D79" s="24" t="s">
        <v>421</v>
      </c>
      <c r="E79" s="31" t="s">
        <v>422</v>
      </c>
      <c r="F79" s="31" t="s">
        <v>273</v>
      </c>
      <c r="G79" s="56" t="s">
        <v>423</v>
      </c>
      <c r="H79" s="26">
        <v>21672</v>
      </c>
      <c r="I79" s="26">
        <v>2100</v>
      </c>
      <c r="J79" s="26">
        <v>0</v>
      </c>
      <c r="K79" s="26">
        <f t="shared" si="2"/>
        <v>23772</v>
      </c>
      <c r="L79" s="41">
        <v>0.18</v>
      </c>
      <c r="M79" s="36"/>
      <c r="N79" s="26">
        <f t="shared" si="29"/>
        <v>2139.48</v>
      </c>
      <c r="O79" s="26">
        <f t="shared" si="30"/>
        <v>2139.48</v>
      </c>
      <c r="P79" s="42">
        <f t="shared" si="31"/>
        <v>28050.959999999999</v>
      </c>
    </row>
    <row r="80" spans="1:16" ht="18.75" customHeight="1" x14ac:dyDescent="0.25">
      <c r="A80" s="22">
        <f>IF(C80="","",COUNTA($C$4:C80))</f>
        <v>77</v>
      </c>
      <c r="B80" s="23" t="str">
        <f t="shared" si="28"/>
        <v>July</v>
      </c>
      <c r="C80" s="57">
        <v>45134</v>
      </c>
      <c r="D80" s="24" t="s">
        <v>424</v>
      </c>
      <c r="E80" s="31" t="s">
        <v>425</v>
      </c>
      <c r="F80" s="31" t="s">
        <v>118</v>
      </c>
      <c r="G80" s="56" t="s">
        <v>426</v>
      </c>
      <c r="H80" s="26">
        <v>6887.5</v>
      </c>
      <c r="I80" s="26">
        <v>0</v>
      </c>
      <c r="J80" s="26">
        <v>0</v>
      </c>
      <c r="K80" s="26">
        <f t="shared" si="2"/>
        <v>6887.5</v>
      </c>
      <c r="L80" s="41">
        <v>0.18</v>
      </c>
      <c r="M80" s="36"/>
      <c r="N80" s="26">
        <f t="shared" si="29"/>
        <v>619.875</v>
      </c>
      <c r="O80" s="26">
        <f t="shared" si="30"/>
        <v>619.875</v>
      </c>
      <c r="P80" s="42">
        <f t="shared" si="31"/>
        <v>8127.25</v>
      </c>
    </row>
    <row r="81" spans="1:16" ht="18.75" customHeight="1" x14ac:dyDescent="0.25">
      <c r="A81" s="22">
        <f>IF(C81="","",COUNTA($C$4:C81))</f>
        <v>78</v>
      </c>
      <c r="B81" s="23" t="str">
        <f t="shared" si="28"/>
        <v>July</v>
      </c>
      <c r="C81" s="57">
        <v>45134</v>
      </c>
      <c r="D81" s="24" t="s">
        <v>427</v>
      </c>
      <c r="E81" s="31" t="s">
        <v>428</v>
      </c>
      <c r="F81" s="31" t="s">
        <v>118</v>
      </c>
      <c r="G81" s="56" t="s">
        <v>429</v>
      </c>
      <c r="H81" s="26">
        <v>154700</v>
      </c>
      <c r="I81" s="26">
        <v>0</v>
      </c>
      <c r="J81" s="26">
        <v>0</v>
      </c>
      <c r="K81" s="26">
        <f t="shared" si="2"/>
        <v>154700</v>
      </c>
      <c r="L81" s="41">
        <v>0.18</v>
      </c>
      <c r="M81" s="27"/>
      <c r="N81" s="26">
        <f t="shared" si="29"/>
        <v>13923</v>
      </c>
      <c r="O81" s="26">
        <f t="shared" si="30"/>
        <v>13923</v>
      </c>
      <c r="P81" s="42">
        <f t="shared" si="31"/>
        <v>182546</v>
      </c>
    </row>
    <row r="82" spans="1:16" ht="18.75" customHeight="1" x14ac:dyDescent="0.25">
      <c r="A82" s="22">
        <f>IF(C82="","",COUNTA($C$4:C82))</f>
        <v>79</v>
      </c>
      <c r="B82" s="23" t="str">
        <f t="shared" si="28"/>
        <v>July</v>
      </c>
      <c r="C82" s="57">
        <v>45134</v>
      </c>
      <c r="D82" s="24" t="s">
        <v>430</v>
      </c>
      <c r="E82" s="31" t="s">
        <v>431</v>
      </c>
      <c r="F82" s="31" t="s">
        <v>118</v>
      </c>
      <c r="G82" s="56" t="s">
        <v>432</v>
      </c>
      <c r="H82" s="26">
        <v>57800</v>
      </c>
      <c r="I82" s="26">
        <v>0</v>
      </c>
      <c r="J82" s="26">
        <v>0</v>
      </c>
      <c r="K82" s="26">
        <f t="shared" si="2"/>
        <v>57800</v>
      </c>
      <c r="L82" s="41">
        <v>0.18</v>
      </c>
      <c r="M82" s="36"/>
      <c r="N82" s="26">
        <f t="shared" si="29"/>
        <v>5202</v>
      </c>
      <c r="O82" s="26">
        <f t="shared" si="30"/>
        <v>5202</v>
      </c>
      <c r="P82" s="42">
        <f t="shared" si="31"/>
        <v>68204</v>
      </c>
    </row>
    <row r="83" spans="1:16" ht="18.75" customHeight="1" x14ac:dyDescent="0.25">
      <c r="A83" s="22">
        <f>IF(C83="","",COUNTA($C$4:C83))</f>
        <v>80</v>
      </c>
      <c r="B83" s="23" t="str">
        <f t="shared" si="28"/>
        <v>July</v>
      </c>
      <c r="C83" s="57">
        <v>45136</v>
      </c>
      <c r="D83" s="24" t="s">
        <v>433</v>
      </c>
      <c r="E83" s="31" t="s">
        <v>434</v>
      </c>
      <c r="F83" s="31" t="s">
        <v>60</v>
      </c>
      <c r="G83" s="56" t="s">
        <v>435</v>
      </c>
      <c r="H83" s="26">
        <v>189360</v>
      </c>
      <c r="I83" s="26">
        <v>3000</v>
      </c>
      <c r="J83" s="26">
        <v>0</v>
      </c>
      <c r="K83" s="26">
        <f t="shared" si="2"/>
        <v>192360</v>
      </c>
      <c r="L83" s="41">
        <v>0.18</v>
      </c>
      <c r="M83" s="27">
        <f>K83*18%</f>
        <v>34624.799999999996</v>
      </c>
      <c r="N83" s="26">
        <v>0</v>
      </c>
      <c r="O83" s="26">
        <v>0</v>
      </c>
      <c r="P83" s="42">
        <f t="shared" si="31"/>
        <v>226984.8</v>
      </c>
    </row>
    <row r="84" spans="1:16" ht="18.75" customHeight="1" x14ac:dyDescent="0.25">
      <c r="A84" s="22" t="str">
        <f>IF(C84="","",COUNTA($C$4:C84))</f>
        <v/>
      </c>
      <c r="B84" s="23" t="str">
        <f t="shared" si="28"/>
        <v/>
      </c>
      <c r="C84" s="57"/>
      <c r="D84" s="24"/>
      <c r="E84" s="31"/>
      <c r="F84" s="31"/>
      <c r="G84" s="56"/>
      <c r="H84" s="26"/>
      <c r="I84" s="26"/>
      <c r="J84" s="26"/>
      <c r="K84" s="26"/>
      <c r="L84" s="41"/>
      <c r="M84" s="36"/>
      <c r="N84" s="26"/>
      <c r="O84" s="26"/>
      <c r="P84" s="42"/>
    </row>
    <row r="85" spans="1:16" ht="18.75" customHeight="1" x14ac:dyDescent="0.25">
      <c r="A85" s="22" t="str">
        <f>IF(C85="","",COUNTA($C$4:C85))</f>
        <v/>
      </c>
      <c r="B85" s="23" t="str">
        <f t="shared" ref="B85" si="32">IF(C85="","",TEXT(C85,"mmmm"))</f>
        <v/>
      </c>
      <c r="C85" s="57"/>
      <c r="D85" s="24"/>
      <c r="E85" s="31"/>
      <c r="F85" s="31"/>
      <c r="G85" s="56"/>
      <c r="H85" s="26"/>
      <c r="I85" s="26"/>
      <c r="J85" s="26"/>
      <c r="K85" s="26"/>
      <c r="L85" s="41"/>
      <c r="M85" s="36"/>
      <c r="N85" s="26"/>
      <c r="O85" s="26"/>
      <c r="P85" s="42"/>
    </row>
    <row r="86" spans="1:16" ht="18.75" customHeight="1" x14ac:dyDescent="0.25">
      <c r="A86" s="22" t="str">
        <f>IF(C86="","",COUNTA($C$4:C86))</f>
        <v/>
      </c>
      <c r="B86" s="23" t="str">
        <f t="shared" ref="B86" si="33">IF(C86="","",TEXT(C86,"mmmm"))</f>
        <v/>
      </c>
      <c r="C86" s="57"/>
      <c r="D86" s="24"/>
      <c r="E86" s="31"/>
      <c r="F86" s="31"/>
      <c r="G86" s="56"/>
      <c r="H86" s="26"/>
      <c r="I86" s="26"/>
      <c r="J86" s="26"/>
      <c r="K86" s="26"/>
      <c r="L86" s="41"/>
      <c r="M86" s="36"/>
      <c r="N86" s="26"/>
      <c r="O86" s="26"/>
      <c r="P86" s="42"/>
    </row>
    <row r="87" spans="1:16" ht="18.75" customHeight="1" x14ac:dyDescent="0.25">
      <c r="A87" s="22" t="str">
        <f>IF(C87="","",COUNTA($C$4:C87))</f>
        <v/>
      </c>
      <c r="B87" s="23" t="str">
        <f t="shared" ref="B87" si="34">IF(C87="","",TEXT(C87,"mmmm"))</f>
        <v/>
      </c>
      <c r="C87" s="57"/>
      <c r="D87" s="24"/>
      <c r="E87" s="31"/>
      <c r="F87" s="31"/>
      <c r="G87" s="56"/>
      <c r="H87" s="26"/>
      <c r="I87" s="26"/>
      <c r="J87" s="26"/>
      <c r="K87" s="26"/>
      <c r="L87" s="41"/>
      <c r="M87" s="36"/>
      <c r="N87" s="26"/>
      <c r="O87" s="26"/>
      <c r="P87" s="42"/>
    </row>
    <row r="88" spans="1:16" ht="18.75" customHeight="1" x14ac:dyDescent="0.25">
      <c r="A88" s="22" t="str">
        <f>IF(C88="","",COUNTA($C$4:C88))</f>
        <v/>
      </c>
      <c r="B88" s="23" t="str">
        <f t="shared" si="28"/>
        <v/>
      </c>
      <c r="C88" s="57"/>
      <c r="D88" s="24"/>
      <c r="E88" s="31"/>
      <c r="F88" s="31"/>
      <c r="G88" s="56"/>
      <c r="H88" s="26"/>
      <c r="I88" s="26"/>
      <c r="J88" s="26"/>
      <c r="K88" s="26"/>
      <c r="L88" s="41"/>
      <c r="M88" s="36"/>
      <c r="N88" s="26"/>
      <c r="O88" s="26"/>
      <c r="P88" s="42"/>
    </row>
    <row r="89" spans="1:16" ht="18.75" customHeight="1" x14ac:dyDescent="0.25">
      <c r="A89" s="22" t="str">
        <f>IF(C89="","",COUNTA($C$4:C89))</f>
        <v/>
      </c>
      <c r="B89" s="23" t="str">
        <f t="shared" si="28"/>
        <v/>
      </c>
      <c r="C89" s="57"/>
      <c r="D89" s="24"/>
      <c r="E89" s="31"/>
      <c r="F89" s="31"/>
      <c r="G89" s="56"/>
      <c r="H89" s="26"/>
      <c r="I89" s="26"/>
      <c r="J89" s="26"/>
      <c r="K89" s="26"/>
      <c r="L89" s="41"/>
      <c r="M89" s="36"/>
      <c r="N89" s="26"/>
      <c r="O89" s="26"/>
      <c r="P89" s="42"/>
    </row>
    <row r="90" spans="1:16" ht="18.75" customHeight="1" x14ac:dyDescent="0.25">
      <c r="A90" s="22" t="str">
        <f>IF(C90="","",COUNTA($C$4:C90))</f>
        <v/>
      </c>
      <c r="B90" s="23" t="str">
        <f t="shared" si="28"/>
        <v/>
      </c>
      <c r="C90" s="57"/>
      <c r="D90" s="24"/>
      <c r="E90" s="31"/>
      <c r="F90" s="31"/>
      <c r="G90" s="56"/>
      <c r="H90" s="26"/>
      <c r="I90" s="26"/>
      <c r="J90" s="26"/>
      <c r="K90" s="26"/>
      <c r="L90" s="41"/>
      <c r="M90" s="26"/>
      <c r="N90" s="26"/>
      <c r="O90" s="26"/>
      <c r="P90" s="42"/>
    </row>
    <row r="91" spans="1:16" ht="18.75" customHeight="1" x14ac:dyDescent="0.25">
      <c r="A91" s="22" t="str">
        <f>IF(C91="","",COUNTA($C$4:C91))</f>
        <v/>
      </c>
      <c r="B91" s="23" t="str">
        <f t="shared" si="28"/>
        <v/>
      </c>
      <c r="C91" s="57"/>
      <c r="D91" s="24"/>
      <c r="E91" s="31"/>
      <c r="F91" s="31"/>
      <c r="G91" s="56"/>
      <c r="H91" s="26"/>
      <c r="I91" s="26"/>
      <c r="J91" s="26"/>
      <c r="K91" s="26"/>
      <c r="L91" s="41"/>
      <c r="M91" s="26"/>
      <c r="N91" s="26"/>
      <c r="O91" s="26"/>
      <c r="P91" s="42"/>
    </row>
    <row r="92" spans="1:16" ht="18.75" customHeight="1" x14ac:dyDescent="0.25">
      <c r="A92" s="22" t="str">
        <f>IF(C92="","",COUNTA($C$4:C92))</f>
        <v/>
      </c>
      <c r="B92" s="23" t="str">
        <f t="shared" si="28"/>
        <v/>
      </c>
      <c r="C92" s="57"/>
      <c r="D92" s="24"/>
      <c r="E92" s="31"/>
      <c r="F92" s="31"/>
      <c r="G92" s="56"/>
      <c r="H92" s="26"/>
      <c r="I92" s="26"/>
      <c r="J92" s="26"/>
      <c r="K92" s="26"/>
      <c r="L92" s="41"/>
      <c r="M92" s="36"/>
      <c r="N92" s="26"/>
      <c r="O92" s="26"/>
      <c r="P92" s="42"/>
    </row>
    <row r="93" spans="1:16" ht="18.75" customHeight="1" x14ac:dyDescent="0.25">
      <c r="A93" s="22" t="str">
        <f>IF(C93="","",COUNTA($C$4:C93))</f>
        <v/>
      </c>
      <c r="B93" s="23" t="str">
        <f t="shared" si="28"/>
        <v/>
      </c>
      <c r="C93" s="57"/>
      <c r="D93" s="24"/>
      <c r="E93" s="31"/>
      <c r="F93" s="31"/>
      <c r="G93" s="56"/>
      <c r="H93" s="26"/>
      <c r="I93" s="26"/>
      <c r="J93" s="26"/>
      <c r="K93" s="26"/>
      <c r="L93" s="41"/>
      <c r="M93" s="36"/>
      <c r="N93" s="26"/>
      <c r="O93" s="26"/>
      <c r="P93" s="42"/>
    </row>
    <row r="94" spans="1:16" ht="19.5" customHeight="1" x14ac:dyDescent="0.25">
      <c r="A94" s="22" t="str">
        <f>IF(C94="","",COUNTA($C$4:C94))</f>
        <v/>
      </c>
      <c r="B94" s="23" t="str">
        <f t="shared" si="28"/>
        <v/>
      </c>
      <c r="C94" s="57"/>
      <c r="D94" s="24"/>
      <c r="E94" s="31"/>
      <c r="F94" s="31"/>
      <c r="G94" s="56"/>
      <c r="H94" s="26"/>
      <c r="I94" s="26"/>
      <c r="J94" s="26"/>
      <c r="K94" s="26"/>
      <c r="L94" s="41"/>
      <c r="M94" s="36"/>
      <c r="N94" s="26"/>
      <c r="O94" s="26"/>
      <c r="P94" s="42"/>
    </row>
    <row r="95" spans="1:16" x14ac:dyDescent="0.25">
      <c r="A95" s="22" t="str">
        <f>IF(C95="","",COUNTA($C$4:C95))</f>
        <v/>
      </c>
      <c r="B95" s="23" t="str">
        <f t="shared" si="28"/>
        <v/>
      </c>
      <c r="C95" s="57"/>
      <c r="D95" s="24"/>
      <c r="E95" s="31"/>
      <c r="F95" s="31"/>
      <c r="G95" s="56"/>
      <c r="H95" s="26"/>
      <c r="I95" s="26"/>
      <c r="J95" s="26"/>
      <c r="K95" s="26"/>
      <c r="L95" s="41"/>
      <c r="M95" s="27"/>
      <c r="N95" s="26"/>
      <c r="O95" s="26"/>
      <c r="P95" s="42"/>
    </row>
    <row r="96" spans="1:16" x14ac:dyDescent="0.25">
      <c r="A96" s="22" t="str">
        <f>IF(C96="","",COUNTA($C$4:C96))</f>
        <v/>
      </c>
      <c r="B96" s="23" t="str">
        <f t="shared" si="28"/>
        <v/>
      </c>
      <c r="C96" s="57"/>
      <c r="D96" s="24"/>
      <c r="E96" s="31"/>
      <c r="F96" s="31"/>
      <c r="G96" s="56"/>
      <c r="H96" s="26"/>
      <c r="I96" s="26"/>
      <c r="J96" s="26"/>
      <c r="K96" s="26"/>
      <c r="L96" s="41"/>
      <c r="M96" s="36"/>
      <c r="N96" s="26"/>
      <c r="O96" s="26"/>
      <c r="P96" s="42"/>
    </row>
    <row r="97" spans="1:16" x14ac:dyDescent="0.25">
      <c r="A97" s="22" t="str">
        <f>IF(C97="","",COUNTA($C$4:C97))</f>
        <v/>
      </c>
      <c r="B97" s="23" t="str">
        <f t="shared" si="28"/>
        <v/>
      </c>
      <c r="C97" s="57"/>
      <c r="D97" s="24"/>
      <c r="E97" s="31"/>
      <c r="F97" s="31"/>
      <c r="G97" s="56"/>
      <c r="H97" s="26"/>
      <c r="I97" s="26"/>
      <c r="J97" s="26"/>
      <c r="K97" s="26"/>
      <c r="L97" s="41"/>
      <c r="M97" s="36"/>
      <c r="N97" s="26"/>
      <c r="O97" s="26"/>
      <c r="P97" s="42"/>
    </row>
    <row r="98" spans="1:16" x14ac:dyDescent="0.25">
      <c r="A98" s="22" t="str">
        <f>IF(C98="","",COUNTA($C$4:C98))</f>
        <v/>
      </c>
      <c r="B98" s="23" t="str">
        <f t="shared" si="28"/>
        <v/>
      </c>
      <c r="C98" s="57"/>
      <c r="D98" s="24"/>
      <c r="E98" s="31"/>
      <c r="F98" s="31"/>
      <c r="G98" s="56"/>
      <c r="H98" s="26"/>
      <c r="I98" s="26"/>
      <c r="J98" s="26"/>
      <c r="K98" s="26"/>
      <c r="L98" s="41"/>
      <c r="M98" s="26"/>
      <c r="N98" s="26"/>
      <c r="O98" s="26"/>
      <c r="P98" s="42"/>
    </row>
    <row r="99" spans="1:16" x14ac:dyDescent="0.25">
      <c r="A99" s="22" t="str">
        <f>IF(C99="","",COUNTA($C$4:C99))</f>
        <v/>
      </c>
      <c r="B99" s="23" t="str">
        <f t="shared" si="28"/>
        <v/>
      </c>
      <c r="C99" s="57"/>
      <c r="D99" s="24"/>
      <c r="E99" s="31"/>
      <c r="F99" s="31"/>
      <c r="G99" s="56"/>
      <c r="H99" s="26"/>
      <c r="I99" s="26"/>
      <c r="J99" s="26"/>
      <c r="K99" s="26"/>
      <c r="L99" s="41"/>
      <c r="M99" s="36"/>
      <c r="N99" s="26"/>
      <c r="O99" s="26"/>
      <c r="P99" s="42"/>
    </row>
    <row r="100" spans="1:16" x14ac:dyDescent="0.25">
      <c r="A100" s="22" t="str">
        <f>IF(C100="","",COUNTA($C$4:C100))</f>
        <v/>
      </c>
      <c r="B100" s="23" t="str">
        <f t="shared" si="28"/>
        <v/>
      </c>
      <c r="C100" s="57"/>
      <c r="D100" s="24"/>
      <c r="E100" s="31"/>
      <c r="F100" s="31"/>
      <c r="G100" s="56"/>
      <c r="H100" s="26"/>
      <c r="I100" s="26"/>
      <c r="J100" s="26"/>
      <c r="K100" s="26"/>
      <c r="L100" s="41"/>
      <c r="M100" s="36"/>
      <c r="N100" s="26"/>
      <c r="O100" s="26"/>
      <c r="P100" s="42"/>
    </row>
    <row r="101" spans="1:16" x14ac:dyDescent="0.25">
      <c r="A101" s="22" t="str">
        <f>IF(C101="","",COUNTA($C$4:C101))</f>
        <v/>
      </c>
      <c r="B101" s="23" t="str">
        <f t="shared" si="28"/>
        <v/>
      </c>
      <c r="C101" s="57"/>
      <c r="D101" s="24"/>
      <c r="E101" s="31"/>
      <c r="F101" s="31"/>
      <c r="G101" s="56"/>
      <c r="H101" s="26"/>
      <c r="I101" s="26"/>
      <c r="J101" s="26"/>
      <c r="K101" s="26"/>
      <c r="L101" s="41"/>
      <c r="M101" s="36"/>
      <c r="N101" s="26"/>
      <c r="O101" s="26"/>
      <c r="P101" s="42"/>
    </row>
    <row r="102" spans="1:16" x14ac:dyDescent="0.25">
      <c r="A102" s="22" t="str">
        <f>IF(C102="","",COUNTA($C$4:C102))</f>
        <v/>
      </c>
      <c r="B102" s="23" t="str">
        <f t="shared" si="28"/>
        <v/>
      </c>
      <c r="C102" s="57"/>
      <c r="D102" s="24"/>
      <c r="E102" s="31"/>
      <c r="F102" s="31"/>
      <c r="G102" s="56"/>
      <c r="H102" s="26"/>
      <c r="I102" s="26"/>
      <c r="J102" s="26"/>
      <c r="K102" s="26"/>
      <c r="L102" s="41"/>
      <c r="M102" s="36"/>
      <c r="N102" s="26"/>
      <c r="O102" s="26"/>
      <c r="P102" s="42"/>
    </row>
    <row r="103" spans="1:16" x14ac:dyDescent="0.25">
      <c r="A103" s="22" t="str">
        <f>IF(C103="","",COUNTA($C$4:C103))</f>
        <v/>
      </c>
      <c r="B103" s="23" t="str">
        <f t="shared" si="28"/>
        <v/>
      </c>
      <c r="C103" s="57"/>
      <c r="D103" s="24"/>
      <c r="E103" s="31"/>
      <c r="F103" s="31"/>
      <c r="G103" s="56"/>
      <c r="H103" s="26"/>
      <c r="I103" s="26"/>
      <c r="J103" s="26"/>
      <c r="K103" s="26"/>
      <c r="L103" s="41"/>
      <c r="M103" s="36"/>
      <c r="N103" s="26"/>
      <c r="O103" s="26"/>
      <c r="P103" s="42"/>
    </row>
    <row r="104" spans="1:16" x14ac:dyDescent="0.25">
      <c r="A104" s="22" t="str">
        <f>IF(C104="","",COUNTA($C$4:C104))</f>
        <v/>
      </c>
      <c r="B104" s="23" t="str">
        <f t="shared" si="28"/>
        <v/>
      </c>
      <c r="C104" s="57"/>
      <c r="D104" s="24"/>
      <c r="E104" s="31"/>
      <c r="F104" s="31"/>
      <c r="G104" s="56"/>
      <c r="H104" s="26"/>
      <c r="I104" s="26"/>
      <c r="J104" s="26"/>
      <c r="K104" s="26"/>
      <c r="L104" s="41"/>
      <c r="M104" s="36"/>
      <c r="N104" s="26"/>
      <c r="O104" s="26"/>
      <c r="P104" s="42"/>
    </row>
    <row r="105" spans="1:16" x14ac:dyDescent="0.25">
      <c r="A105" s="22" t="str">
        <f>IF(C105="","",COUNTA($C$4:C105))</f>
        <v/>
      </c>
      <c r="B105" s="23" t="str">
        <f t="shared" si="28"/>
        <v/>
      </c>
      <c r="C105" s="57"/>
      <c r="D105" s="24"/>
      <c r="E105" s="31"/>
      <c r="F105" s="31"/>
      <c r="G105" s="56"/>
      <c r="H105" s="26"/>
      <c r="I105" s="26"/>
      <c r="J105" s="26"/>
      <c r="K105" s="26"/>
      <c r="L105" s="41"/>
      <c r="M105" s="36"/>
      <c r="N105" s="26"/>
      <c r="O105" s="26"/>
      <c r="P105" s="42"/>
    </row>
    <row r="106" spans="1:16" x14ac:dyDescent="0.25">
      <c r="A106" s="22" t="str">
        <f>IF(C106="","",COUNTA($C$4:C106))</f>
        <v/>
      </c>
      <c r="B106" s="23" t="str">
        <f t="shared" si="28"/>
        <v/>
      </c>
      <c r="C106" s="57"/>
      <c r="D106" s="24"/>
      <c r="E106" s="31"/>
      <c r="F106" s="31"/>
      <c r="G106" s="56"/>
      <c r="H106" s="26"/>
      <c r="I106" s="26"/>
      <c r="J106" s="26"/>
      <c r="K106" s="26"/>
      <c r="L106" s="41"/>
      <c r="M106" s="36"/>
      <c r="N106" s="26"/>
      <c r="O106" s="26"/>
      <c r="P106" s="42"/>
    </row>
    <row r="107" spans="1:16" x14ac:dyDescent="0.25">
      <c r="A107" s="22" t="str">
        <f>IF(C107="","",COUNTA($C$4:C107))</f>
        <v/>
      </c>
      <c r="B107" s="23" t="str">
        <f t="shared" si="28"/>
        <v/>
      </c>
      <c r="C107" s="57"/>
      <c r="D107" s="24"/>
      <c r="E107" s="31"/>
      <c r="F107" s="31"/>
      <c r="G107" s="56"/>
      <c r="H107" s="26"/>
      <c r="I107" s="26"/>
      <c r="J107" s="26"/>
      <c r="K107" s="26"/>
      <c r="L107" s="41"/>
      <c r="M107" s="36"/>
      <c r="N107" s="26"/>
      <c r="O107" s="26"/>
      <c r="P107" s="42"/>
    </row>
    <row r="108" spans="1:16" x14ac:dyDescent="0.25">
      <c r="A108" s="22" t="str">
        <f>IF(C108="","",COUNTA($C$4:C108))</f>
        <v/>
      </c>
      <c r="B108" s="23" t="str">
        <f t="shared" si="28"/>
        <v/>
      </c>
      <c r="C108" s="57"/>
      <c r="D108" s="24"/>
      <c r="E108" s="31"/>
      <c r="F108" s="31"/>
      <c r="G108" s="56"/>
      <c r="H108" s="26"/>
      <c r="I108" s="26"/>
      <c r="J108" s="26"/>
      <c r="K108" s="26"/>
      <c r="L108" s="41"/>
      <c r="M108" s="36"/>
      <c r="N108" s="26"/>
      <c r="O108" s="26"/>
      <c r="P108" s="42"/>
    </row>
    <row r="109" spans="1:16" x14ac:dyDescent="0.25">
      <c r="A109" s="22" t="str">
        <f>IF(C109="","",COUNTA($C$4:C109))</f>
        <v/>
      </c>
      <c r="B109" s="23" t="str">
        <f t="shared" si="28"/>
        <v/>
      </c>
      <c r="C109" s="57"/>
      <c r="D109" s="24"/>
      <c r="E109" s="31"/>
      <c r="F109" s="31"/>
      <c r="G109" s="56"/>
      <c r="H109" s="26"/>
      <c r="I109" s="26"/>
      <c r="J109" s="26"/>
      <c r="K109" s="26"/>
      <c r="L109" s="41"/>
      <c r="M109" s="36"/>
      <c r="N109" s="26"/>
      <c r="O109" s="26"/>
      <c r="P109" s="42"/>
    </row>
    <row r="110" spans="1:16" x14ac:dyDescent="0.25">
      <c r="A110" s="22" t="str">
        <f>IF(C110="","",COUNTA($C$4:C110))</f>
        <v/>
      </c>
      <c r="B110" s="23" t="str">
        <f t="shared" si="28"/>
        <v/>
      </c>
      <c r="C110" s="57"/>
      <c r="D110" s="24"/>
      <c r="E110" s="31"/>
      <c r="F110" s="31"/>
      <c r="G110" s="56"/>
      <c r="H110" s="26"/>
      <c r="I110" s="26"/>
      <c r="J110" s="26"/>
      <c r="K110" s="26"/>
      <c r="L110" s="41"/>
      <c r="M110" s="36"/>
      <c r="N110" s="26"/>
      <c r="O110" s="26"/>
      <c r="P110" s="42"/>
    </row>
    <row r="111" spans="1:16" x14ac:dyDescent="0.25">
      <c r="A111" s="22" t="str">
        <f>IF(C111="","",COUNTA($C$4:C111))</f>
        <v/>
      </c>
      <c r="B111" s="23" t="str">
        <f t="shared" si="28"/>
        <v/>
      </c>
      <c r="C111" s="57"/>
      <c r="D111" s="24"/>
      <c r="E111" s="31"/>
      <c r="F111" s="31"/>
      <c r="G111" s="56"/>
      <c r="H111" s="26"/>
      <c r="I111" s="26"/>
      <c r="J111" s="26"/>
      <c r="K111" s="26"/>
      <c r="L111" s="41"/>
      <c r="M111" s="27"/>
      <c r="N111" s="26"/>
      <c r="O111" s="26"/>
      <c r="P111" s="42"/>
    </row>
    <row r="112" spans="1:16" x14ac:dyDescent="0.25">
      <c r="A112" s="22" t="str">
        <f>IF(C112="","",COUNTA($C$4:C112))</f>
        <v/>
      </c>
      <c r="B112" s="23" t="str">
        <f t="shared" si="28"/>
        <v/>
      </c>
      <c r="C112" s="57"/>
      <c r="D112" s="24"/>
      <c r="E112" s="31"/>
      <c r="F112" s="31"/>
      <c r="G112" s="56"/>
      <c r="H112" s="26"/>
      <c r="I112" s="26"/>
      <c r="J112" s="26"/>
      <c r="K112" s="26"/>
      <c r="L112" s="41"/>
      <c r="M112" s="36"/>
      <c r="N112" s="26"/>
      <c r="O112" s="26"/>
      <c r="P112" s="42"/>
    </row>
    <row r="113" spans="1:16" x14ac:dyDescent="0.25">
      <c r="A113" s="22" t="str">
        <f>IF(C113="","",COUNTA($C$4:C113))</f>
        <v/>
      </c>
      <c r="B113" s="23" t="str">
        <f t="shared" si="28"/>
        <v/>
      </c>
      <c r="C113" s="57"/>
      <c r="D113" s="24"/>
      <c r="E113" s="31"/>
      <c r="F113" s="31"/>
      <c r="G113" s="56"/>
      <c r="H113" s="26"/>
      <c r="I113" s="26"/>
      <c r="J113" s="26"/>
      <c r="K113" s="26"/>
      <c r="L113" s="41"/>
      <c r="M113" s="36"/>
      <c r="N113" s="26"/>
      <c r="O113" s="26"/>
      <c r="P113" s="42"/>
    </row>
    <row r="114" spans="1:16" x14ac:dyDescent="0.25">
      <c r="A114" s="22" t="str">
        <f>IF(C114="","",COUNTA($C$4:C114))</f>
        <v/>
      </c>
      <c r="B114" s="23" t="str">
        <f t="shared" si="28"/>
        <v/>
      </c>
      <c r="C114" s="57"/>
      <c r="D114" s="24"/>
      <c r="E114" s="31"/>
      <c r="F114" s="31"/>
      <c r="G114" s="56"/>
      <c r="H114" s="26"/>
      <c r="I114" s="26"/>
      <c r="J114" s="26"/>
      <c r="K114" s="26"/>
      <c r="L114" s="41"/>
      <c r="M114" s="27"/>
      <c r="N114" s="26"/>
      <c r="O114" s="26"/>
      <c r="P114" s="42"/>
    </row>
    <row r="115" spans="1:16" x14ac:dyDescent="0.25">
      <c r="A115" s="22" t="str">
        <f>IF(C115="","",COUNTA($C$4:C115))</f>
        <v/>
      </c>
      <c r="B115" s="23" t="str">
        <f t="shared" si="28"/>
        <v/>
      </c>
      <c r="C115" s="57"/>
      <c r="D115" s="24"/>
      <c r="E115" s="31"/>
      <c r="F115" s="31"/>
      <c r="G115" s="56"/>
      <c r="H115" s="26"/>
      <c r="I115" s="26"/>
      <c r="J115" s="26"/>
      <c r="K115" s="26"/>
      <c r="L115" s="41"/>
      <c r="M115" s="27"/>
      <c r="N115" s="26"/>
      <c r="O115" s="26"/>
      <c r="P115" s="42"/>
    </row>
    <row r="116" spans="1:16" x14ac:dyDescent="0.25">
      <c r="A116" s="22" t="str">
        <f>IF(C116="","",COUNTA($C$4:C116))</f>
        <v/>
      </c>
      <c r="B116" s="23" t="str">
        <f t="shared" si="28"/>
        <v/>
      </c>
      <c r="C116" s="57"/>
      <c r="D116" s="24"/>
      <c r="E116" s="31"/>
      <c r="F116" s="31"/>
      <c r="G116" s="56"/>
      <c r="H116" s="26"/>
      <c r="I116" s="26"/>
      <c r="J116" s="26"/>
      <c r="K116" s="26"/>
      <c r="L116" s="41"/>
      <c r="M116" s="36"/>
      <c r="N116" s="26"/>
      <c r="O116" s="26"/>
      <c r="P116" s="42"/>
    </row>
    <row r="117" spans="1:16" x14ac:dyDescent="0.25">
      <c r="A117" s="22" t="str">
        <f>IF(C117="","",COUNTA($C$4:C117))</f>
        <v/>
      </c>
      <c r="B117" s="23" t="str">
        <f t="shared" si="28"/>
        <v/>
      </c>
      <c r="C117" s="57"/>
      <c r="D117" s="24"/>
      <c r="E117" s="31"/>
      <c r="F117" s="31"/>
      <c r="G117" s="56"/>
      <c r="H117" s="26"/>
      <c r="I117" s="26"/>
      <c r="J117" s="26"/>
      <c r="K117" s="26"/>
      <c r="L117" s="41"/>
      <c r="M117" s="27"/>
      <c r="N117" s="26"/>
      <c r="O117" s="26"/>
      <c r="P117" s="42"/>
    </row>
    <row r="118" spans="1:16" x14ac:dyDescent="0.25">
      <c r="A118" s="22" t="str">
        <f>IF(C118="","",COUNTA($C$4:C118))</f>
        <v/>
      </c>
      <c r="B118" s="23" t="str">
        <f t="shared" si="28"/>
        <v/>
      </c>
      <c r="C118" s="57"/>
      <c r="D118" s="24"/>
      <c r="E118" s="31"/>
      <c r="F118" s="31"/>
      <c r="G118" s="56"/>
      <c r="H118" s="26"/>
      <c r="I118" s="26"/>
      <c r="J118" s="26"/>
      <c r="K118" s="26"/>
      <c r="L118" s="41"/>
      <c r="M118" s="36"/>
      <c r="N118" s="26"/>
      <c r="O118" s="26"/>
      <c r="P118" s="42"/>
    </row>
    <row r="119" spans="1:16" x14ac:dyDescent="0.25">
      <c r="A119" s="22" t="str">
        <f>IF(C119="","",COUNTA($C$4:C119))</f>
        <v/>
      </c>
      <c r="B119" s="23" t="str">
        <f t="shared" si="28"/>
        <v/>
      </c>
      <c r="C119" s="57"/>
      <c r="D119" s="24"/>
      <c r="E119" s="31"/>
      <c r="F119" s="31"/>
      <c r="G119" s="56"/>
      <c r="H119" s="26"/>
      <c r="I119" s="26"/>
      <c r="J119" s="26"/>
      <c r="K119" s="26"/>
      <c r="L119" s="41"/>
      <c r="M119" s="36"/>
      <c r="N119" s="26"/>
      <c r="O119" s="26"/>
      <c r="P119" s="42"/>
    </row>
    <row r="120" spans="1:16" x14ac:dyDescent="0.25">
      <c r="A120" s="22" t="str">
        <f>IF(C120="","",COUNTA($C$4:C120))</f>
        <v/>
      </c>
      <c r="B120" s="23" t="str">
        <f t="shared" si="28"/>
        <v/>
      </c>
      <c r="C120" s="57"/>
      <c r="D120" s="24"/>
      <c r="E120" s="31"/>
      <c r="F120" s="31"/>
      <c r="G120" s="56"/>
      <c r="H120" s="26"/>
      <c r="I120" s="26"/>
      <c r="J120" s="26"/>
      <c r="K120" s="26"/>
      <c r="L120" s="41"/>
      <c r="M120" s="36"/>
      <c r="N120" s="26"/>
      <c r="O120" s="26"/>
      <c r="P120" s="42"/>
    </row>
    <row r="121" spans="1:16" x14ac:dyDescent="0.25">
      <c r="A121" s="22" t="str">
        <f>IF(C121="","",COUNTA($C$4:C121))</f>
        <v/>
      </c>
      <c r="B121" s="23" t="str">
        <f t="shared" si="28"/>
        <v/>
      </c>
      <c r="C121" s="57"/>
      <c r="D121" s="24"/>
      <c r="E121" s="31"/>
      <c r="F121" s="31"/>
      <c r="G121" s="56"/>
      <c r="H121" s="26"/>
      <c r="I121" s="26"/>
      <c r="J121" s="26"/>
      <c r="K121" s="26"/>
      <c r="L121" s="41"/>
      <c r="M121" s="36"/>
      <c r="N121" s="26"/>
      <c r="O121" s="26"/>
      <c r="P121" s="42"/>
    </row>
    <row r="122" spans="1:16" x14ac:dyDescent="0.25">
      <c r="A122" s="22" t="str">
        <f>IF(C122="","",COUNTA($C$4:C122))</f>
        <v/>
      </c>
      <c r="B122" s="23" t="str">
        <f t="shared" si="28"/>
        <v/>
      </c>
      <c r="C122" s="57"/>
      <c r="D122" s="24"/>
      <c r="E122" s="31"/>
      <c r="F122" s="31"/>
      <c r="G122" s="56"/>
      <c r="H122" s="26"/>
      <c r="I122" s="26"/>
      <c r="J122" s="26"/>
      <c r="K122" s="26"/>
      <c r="L122" s="41"/>
      <c r="M122" s="36"/>
      <c r="N122" s="26"/>
      <c r="O122" s="26"/>
      <c r="P122" s="42"/>
    </row>
    <row r="123" spans="1:16" x14ac:dyDescent="0.25">
      <c r="A123" s="22" t="str">
        <f>IF(C123="","",COUNTA($C$4:C123))</f>
        <v/>
      </c>
      <c r="B123" s="23" t="str">
        <f t="shared" si="28"/>
        <v/>
      </c>
      <c r="C123" s="57"/>
      <c r="D123" s="24"/>
      <c r="E123" s="31"/>
      <c r="F123" s="31"/>
      <c r="G123" s="56"/>
      <c r="H123" s="26"/>
      <c r="I123" s="26"/>
      <c r="J123" s="26"/>
      <c r="K123" s="26"/>
      <c r="L123" s="41"/>
      <c r="M123" s="36"/>
      <c r="N123" s="26"/>
      <c r="O123" s="26"/>
      <c r="P123" s="42"/>
    </row>
    <row r="124" spans="1:16" x14ac:dyDescent="0.25">
      <c r="A124" s="22" t="str">
        <f>IF(C124="","",COUNTA($C$4:C124))</f>
        <v/>
      </c>
      <c r="B124" s="23" t="str">
        <f t="shared" si="28"/>
        <v/>
      </c>
      <c r="C124" s="57"/>
      <c r="D124" s="24"/>
      <c r="E124" s="31"/>
      <c r="F124" s="31"/>
      <c r="G124" s="56"/>
      <c r="H124" s="26"/>
      <c r="I124" s="26"/>
      <c r="J124" s="26"/>
      <c r="K124" s="26"/>
      <c r="L124" s="41"/>
      <c r="M124" s="36"/>
      <c r="N124" s="26"/>
      <c r="O124" s="26"/>
      <c r="P124" s="42"/>
    </row>
    <row r="125" spans="1:16" x14ac:dyDescent="0.25">
      <c r="A125" s="22" t="str">
        <f>IF(C125="","",COUNTA($C$4:C125))</f>
        <v/>
      </c>
      <c r="B125" s="23" t="str">
        <f t="shared" si="28"/>
        <v/>
      </c>
      <c r="C125" s="57"/>
      <c r="D125" s="24"/>
      <c r="E125" s="31"/>
      <c r="F125" s="31"/>
      <c r="G125" s="56"/>
      <c r="H125" s="26"/>
      <c r="I125" s="26"/>
      <c r="J125" s="26"/>
      <c r="K125" s="26"/>
      <c r="L125" s="41"/>
      <c r="M125" s="36"/>
      <c r="N125" s="26"/>
      <c r="O125" s="26"/>
      <c r="P125" s="42"/>
    </row>
    <row r="126" spans="1:16" x14ac:dyDescent="0.25">
      <c r="A126" s="22" t="str">
        <f>IF(C126="","",COUNTA($C$4:C126))</f>
        <v/>
      </c>
      <c r="B126" s="23" t="str">
        <f t="shared" si="28"/>
        <v/>
      </c>
      <c r="C126" s="57"/>
      <c r="D126" s="24"/>
      <c r="E126" s="31"/>
      <c r="F126" s="31"/>
      <c r="G126" s="56"/>
      <c r="H126" s="26"/>
      <c r="I126" s="26"/>
      <c r="J126" s="26"/>
      <c r="K126" s="26"/>
      <c r="L126" s="41"/>
      <c r="M126" s="36"/>
      <c r="N126" s="26"/>
      <c r="O126" s="26"/>
      <c r="P126" s="42"/>
    </row>
    <row r="127" spans="1:16" x14ac:dyDescent="0.25">
      <c r="A127" s="22" t="str">
        <f>IF(C127="","",COUNTA($C$4:C127))</f>
        <v/>
      </c>
      <c r="B127" s="23" t="str">
        <f t="shared" si="28"/>
        <v/>
      </c>
      <c r="C127" s="57"/>
      <c r="D127" s="24"/>
      <c r="E127" s="31"/>
      <c r="F127" s="31"/>
      <c r="G127" s="56"/>
      <c r="H127" s="26"/>
      <c r="I127" s="26"/>
      <c r="J127" s="26"/>
      <c r="K127" s="26"/>
      <c r="L127" s="41"/>
      <c r="M127" s="36"/>
      <c r="N127" s="26"/>
      <c r="O127" s="26"/>
      <c r="P127" s="42"/>
    </row>
    <row r="128" spans="1:16" x14ac:dyDescent="0.25">
      <c r="A128" s="22" t="str">
        <f>IF(C128="","",COUNTA($C$4:C128))</f>
        <v/>
      </c>
      <c r="B128" s="23" t="str">
        <f t="shared" si="28"/>
        <v/>
      </c>
      <c r="C128" s="57"/>
      <c r="D128" s="24"/>
      <c r="E128" s="31"/>
      <c r="F128" s="31"/>
      <c r="G128" s="56"/>
      <c r="H128" s="26"/>
      <c r="I128" s="26"/>
      <c r="J128" s="26"/>
      <c r="K128" s="26"/>
      <c r="L128" s="41"/>
      <c r="M128" s="36"/>
      <c r="N128" s="26"/>
      <c r="O128" s="26"/>
      <c r="P128" s="42"/>
    </row>
    <row r="129" spans="1:16" x14ac:dyDescent="0.25">
      <c r="A129" s="22" t="str">
        <f>IF(C129="","",COUNTA($C$4:C129))</f>
        <v/>
      </c>
      <c r="B129" s="23" t="str">
        <f t="shared" si="28"/>
        <v/>
      </c>
      <c r="C129" s="57"/>
      <c r="D129" s="24"/>
      <c r="E129" s="31"/>
      <c r="F129" s="31"/>
      <c r="G129" s="56"/>
      <c r="H129" s="26"/>
      <c r="I129" s="26"/>
      <c r="J129" s="26"/>
      <c r="K129" s="26"/>
      <c r="L129" s="41"/>
      <c r="M129" s="36"/>
      <c r="N129" s="26"/>
      <c r="O129" s="26"/>
      <c r="P129" s="42"/>
    </row>
    <row r="130" spans="1:16" x14ac:dyDescent="0.25">
      <c r="A130" s="22" t="str">
        <f>IF(C130="","",COUNTA($C$4:C130))</f>
        <v/>
      </c>
      <c r="B130" s="23" t="str">
        <f t="shared" si="28"/>
        <v/>
      </c>
      <c r="C130" s="57"/>
      <c r="D130" s="24"/>
      <c r="E130" s="31"/>
      <c r="F130" s="31"/>
      <c r="G130" s="56"/>
      <c r="H130" s="26"/>
      <c r="I130" s="26"/>
      <c r="J130" s="26"/>
      <c r="K130" s="26"/>
      <c r="L130" s="41"/>
      <c r="M130" s="27"/>
      <c r="N130" s="26"/>
      <c r="O130" s="26"/>
      <c r="P130" s="42"/>
    </row>
    <row r="131" spans="1:16" x14ac:dyDescent="0.25">
      <c r="A131" s="22" t="str">
        <f>IF(C131="","",COUNTA($C$4:C131))</f>
        <v/>
      </c>
      <c r="B131" s="23" t="str">
        <f t="shared" si="28"/>
        <v/>
      </c>
      <c r="C131" s="57"/>
      <c r="D131" s="24"/>
      <c r="E131" s="31"/>
      <c r="F131" s="31"/>
      <c r="G131" s="56"/>
      <c r="H131" s="26"/>
      <c r="I131" s="26"/>
      <c r="J131" s="26"/>
      <c r="K131" s="26"/>
      <c r="L131" s="41"/>
      <c r="M131" s="27"/>
      <c r="N131" s="26"/>
      <c r="O131" s="26"/>
      <c r="P131" s="42"/>
    </row>
    <row r="132" spans="1:16" x14ac:dyDescent="0.25">
      <c r="A132" s="22" t="str">
        <f>IF(C132="","",COUNTA($C$4:C132))</f>
        <v/>
      </c>
      <c r="B132" s="23" t="str">
        <f t="shared" si="28"/>
        <v/>
      </c>
      <c r="C132" s="57"/>
      <c r="D132" s="24"/>
      <c r="E132" s="31"/>
      <c r="F132" s="31"/>
      <c r="G132" s="56"/>
      <c r="H132" s="26"/>
      <c r="I132" s="26"/>
      <c r="J132" s="26"/>
      <c r="K132" s="26"/>
      <c r="L132" s="41"/>
      <c r="M132" s="27"/>
      <c r="N132" s="26"/>
      <c r="O132" s="26"/>
      <c r="P132" s="42"/>
    </row>
    <row r="133" spans="1:16" x14ac:dyDescent="0.25">
      <c r="A133" s="22" t="str">
        <f>IF(C133="","",COUNTA($C$4:C133))</f>
        <v/>
      </c>
      <c r="B133" s="23" t="str">
        <f t="shared" si="28"/>
        <v/>
      </c>
      <c r="C133" s="57"/>
      <c r="D133" s="24"/>
      <c r="E133" s="31"/>
      <c r="F133" s="31"/>
      <c r="G133" s="56"/>
      <c r="H133" s="26"/>
      <c r="I133" s="26"/>
      <c r="J133" s="26"/>
      <c r="K133" s="26"/>
      <c r="L133" s="41"/>
      <c r="M133" s="36"/>
      <c r="N133" s="26"/>
      <c r="O133" s="26"/>
      <c r="P133" s="42"/>
    </row>
    <row r="134" spans="1:16" x14ac:dyDescent="0.25">
      <c r="A134" s="22" t="str">
        <f>IF(C134="","",COUNTA($C$4:C134))</f>
        <v/>
      </c>
      <c r="B134" s="23" t="str">
        <f t="shared" si="28"/>
        <v/>
      </c>
      <c r="C134" s="57"/>
      <c r="D134" s="24"/>
      <c r="E134" s="31"/>
      <c r="F134" s="31"/>
      <c r="G134" s="56"/>
      <c r="H134" s="26"/>
      <c r="I134" s="26"/>
      <c r="J134" s="26"/>
      <c r="K134" s="26"/>
      <c r="L134" s="41"/>
      <c r="M134" s="36"/>
      <c r="N134" s="26"/>
      <c r="O134" s="26"/>
      <c r="P134" s="42"/>
    </row>
    <row r="135" spans="1:16" x14ac:dyDescent="0.25">
      <c r="A135" s="22" t="str">
        <f>IF(C135="","",COUNTA($C$4:C135))</f>
        <v/>
      </c>
      <c r="B135" s="23" t="str">
        <f t="shared" si="28"/>
        <v/>
      </c>
      <c r="C135" s="57"/>
      <c r="D135" s="36"/>
      <c r="E135" s="31"/>
      <c r="F135" s="31"/>
      <c r="G135" s="56"/>
      <c r="H135" s="26"/>
      <c r="I135" s="26"/>
      <c r="J135" s="26"/>
      <c r="K135" s="26"/>
      <c r="L135" s="41"/>
      <c r="M135" s="36"/>
      <c r="N135" s="26"/>
      <c r="O135" s="26"/>
      <c r="P135" s="42"/>
    </row>
    <row r="136" spans="1:16" x14ac:dyDescent="0.25">
      <c r="A136" s="22" t="str">
        <f>IF(C136="","",COUNTA($C$4:C136))</f>
        <v/>
      </c>
      <c r="B136" s="23" t="str">
        <f t="shared" si="28"/>
        <v/>
      </c>
      <c r="C136" s="57"/>
      <c r="D136" s="36"/>
      <c r="E136" s="31"/>
      <c r="F136" s="31"/>
      <c r="G136" s="56"/>
      <c r="H136" s="26"/>
      <c r="I136" s="26"/>
      <c r="J136" s="26"/>
      <c r="K136" s="26"/>
      <c r="L136" s="41"/>
      <c r="M136" s="36"/>
      <c r="N136" s="26"/>
      <c r="O136" s="26"/>
      <c r="P136" s="42"/>
    </row>
    <row r="137" spans="1:16" x14ac:dyDescent="0.25">
      <c r="A137" s="22" t="str">
        <f>IF(C137="","",COUNTA($C$4:C137))</f>
        <v/>
      </c>
      <c r="B137" s="23" t="str">
        <f t="shared" si="28"/>
        <v/>
      </c>
      <c r="C137" s="57"/>
      <c r="D137" s="36"/>
      <c r="E137" s="31"/>
      <c r="F137" s="31"/>
      <c r="G137" s="56"/>
      <c r="H137" s="26"/>
      <c r="I137" s="26"/>
      <c r="J137" s="26"/>
      <c r="K137" s="26"/>
      <c r="L137" s="41"/>
      <c r="M137" s="36"/>
      <c r="N137" s="26"/>
      <c r="O137" s="26"/>
      <c r="P137" s="42"/>
    </row>
    <row r="138" spans="1:16" x14ac:dyDescent="0.25">
      <c r="A138" s="22" t="str">
        <f>IF(C138="","",COUNTA($C$4:C138))</f>
        <v/>
      </c>
      <c r="B138" s="23" t="str">
        <f t="shared" si="28"/>
        <v/>
      </c>
      <c r="C138" s="57"/>
      <c r="D138" s="36"/>
      <c r="E138" s="31"/>
      <c r="F138" s="31"/>
      <c r="G138" s="56"/>
      <c r="H138" s="26"/>
      <c r="I138" s="26"/>
      <c r="J138" s="26"/>
      <c r="K138" s="26"/>
      <c r="L138" s="41"/>
      <c r="M138" s="27"/>
      <c r="N138" s="26"/>
      <c r="O138" s="26"/>
      <c r="P138" s="42"/>
    </row>
    <row r="139" spans="1:16" x14ac:dyDescent="0.25">
      <c r="A139" s="22" t="str">
        <f>IF(C139="","",COUNTA($C$4:C139))</f>
        <v/>
      </c>
      <c r="B139" s="23" t="str">
        <f t="shared" si="28"/>
        <v/>
      </c>
      <c r="C139" s="57"/>
      <c r="D139" s="36"/>
      <c r="E139" s="31"/>
      <c r="F139" s="31"/>
      <c r="G139" s="56"/>
      <c r="H139" s="26"/>
      <c r="I139" s="26"/>
      <c r="J139" s="26"/>
      <c r="K139" s="26"/>
      <c r="L139" s="41"/>
      <c r="M139" s="36"/>
      <c r="N139" s="26"/>
      <c r="O139" s="26"/>
      <c r="P139" s="42"/>
    </row>
    <row r="140" spans="1:16" x14ac:dyDescent="0.25">
      <c r="A140" s="22" t="str">
        <f>IF(C140="","",COUNTA($C$4:C140))</f>
        <v/>
      </c>
      <c r="B140" s="23" t="str">
        <f t="shared" si="28"/>
        <v/>
      </c>
      <c r="C140" s="57"/>
      <c r="D140" s="36"/>
      <c r="E140" s="31"/>
      <c r="F140" s="31"/>
      <c r="G140" s="56"/>
      <c r="H140" s="26"/>
      <c r="I140" s="26"/>
      <c r="J140" s="26"/>
      <c r="K140" s="26"/>
      <c r="L140" s="41"/>
      <c r="M140" s="36"/>
      <c r="N140" s="26"/>
      <c r="O140" s="26"/>
      <c r="P140" s="42"/>
    </row>
    <row r="141" spans="1:16" x14ac:dyDescent="0.25">
      <c r="A141" s="22" t="str">
        <f>IF(C141="","",COUNTA($C$4:C141))</f>
        <v/>
      </c>
      <c r="B141" s="23" t="str">
        <f t="shared" ref="B141:B186" si="35">IF(C141="","",TEXT(C141,"mmmm"))</f>
        <v/>
      </c>
      <c r="C141" s="57"/>
      <c r="D141" s="36"/>
      <c r="E141" s="31"/>
      <c r="F141" s="31"/>
      <c r="G141" s="56"/>
      <c r="H141" s="26"/>
      <c r="I141" s="26"/>
      <c r="J141" s="26"/>
      <c r="K141" s="26"/>
      <c r="L141" s="41"/>
      <c r="M141" s="36"/>
      <c r="N141" s="26"/>
      <c r="O141" s="26"/>
      <c r="P141" s="42"/>
    </row>
    <row r="142" spans="1:16" x14ac:dyDescent="0.25">
      <c r="A142" s="22" t="str">
        <f>IF(C142="","",COUNTA($C$4:C142))</f>
        <v/>
      </c>
      <c r="B142" s="23" t="str">
        <f t="shared" si="35"/>
        <v/>
      </c>
      <c r="C142" s="57"/>
      <c r="D142" s="36"/>
      <c r="E142" s="31"/>
      <c r="F142" s="31"/>
      <c r="G142" s="56"/>
      <c r="H142" s="26"/>
      <c r="I142" s="26"/>
      <c r="J142" s="26"/>
      <c r="K142" s="26"/>
      <c r="L142" s="41"/>
      <c r="M142" s="36"/>
      <c r="N142" s="26"/>
      <c r="O142" s="26"/>
      <c r="P142" s="42"/>
    </row>
    <row r="143" spans="1:16" x14ac:dyDescent="0.25">
      <c r="A143" s="22" t="str">
        <f>IF(C143="","",COUNTA($C$4:C143))</f>
        <v/>
      </c>
      <c r="B143" s="23" t="str">
        <f t="shared" si="35"/>
        <v/>
      </c>
      <c r="C143" s="57"/>
      <c r="D143" s="36"/>
      <c r="E143" s="31"/>
      <c r="F143" s="31"/>
      <c r="G143" s="56"/>
      <c r="H143" s="26"/>
      <c r="I143" s="26"/>
      <c r="J143" s="26"/>
      <c r="K143" s="26"/>
      <c r="L143" s="41"/>
      <c r="M143" s="36"/>
      <c r="N143" s="26"/>
      <c r="O143" s="26"/>
      <c r="P143" s="42"/>
    </row>
    <row r="144" spans="1:16" x14ac:dyDescent="0.25">
      <c r="A144" s="22" t="str">
        <f>IF(C144="","",COUNTA($C$4:C144))</f>
        <v/>
      </c>
      <c r="B144" s="23" t="str">
        <f t="shared" si="35"/>
        <v/>
      </c>
      <c r="C144" s="57"/>
      <c r="D144" s="36"/>
      <c r="E144" s="31"/>
      <c r="F144" s="31"/>
      <c r="G144" s="56"/>
      <c r="H144" s="26"/>
      <c r="I144" s="26"/>
      <c r="J144" s="26"/>
      <c r="K144" s="26"/>
      <c r="L144" s="41"/>
      <c r="M144" s="36"/>
      <c r="N144" s="26"/>
      <c r="O144" s="26"/>
      <c r="P144" s="42"/>
    </row>
    <row r="145" spans="1:17" x14ac:dyDescent="0.25">
      <c r="A145" s="22" t="str">
        <f>IF(C145="","",COUNTA($C$4:C145))</f>
        <v/>
      </c>
      <c r="B145" s="23" t="str">
        <f t="shared" si="35"/>
        <v/>
      </c>
      <c r="C145" s="57"/>
      <c r="D145" s="36"/>
      <c r="E145" s="31"/>
      <c r="F145" s="31"/>
      <c r="G145" s="56"/>
      <c r="H145" s="26"/>
      <c r="I145" s="26"/>
      <c r="J145" s="26"/>
      <c r="K145" s="26"/>
      <c r="L145" s="41"/>
      <c r="M145" s="36"/>
      <c r="N145" s="26"/>
      <c r="O145" s="26"/>
      <c r="P145" s="42"/>
    </row>
    <row r="146" spans="1:17" x14ac:dyDescent="0.25">
      <c r="A146" s="22" t="str">
        <f>IF(C146="","",COUNTA($C$4:C146))</f>
        <v/>
      </c>
      <c r="B146" s="23" t="str">
        <f t="shared" si="35"/>
        <v/>
      </c>
      <c r="C146" s="57"/>
      <c r="D146" s="36"/>
      <c r="E146" s="31"/>
      <c r="F146" s="31"/>
      <c r="G146" s="56"/>
      <c r="H146" s="26"/>
      <c r="I146" s="26"/>
      <c r="J146" s="26"/>
      <c r="K146" s="26"/>
      <c r="L146" s="41"/>
      <c r="M146" s="36"/>
      <c r="N146" s="26"/>
      <c r="O146" s="26"/>
      <c r="P146" s="42"/>
    </row>
    <row r="147" spans="1:17" x14ac:dyDescent="0.25">
      <c r="A147" s="22" t="str">
        <f>IF(C147="","",COUNTA($C$4:C147))</f>
        <v/>
      </c>
      <c r="B147" s="23" t="str">
        <f t="shared" si="35"/>
        <v/>
      </c>
      <c r="C147" s="57"/>
      <c r="D147" s="36"/>
      <c r="E147" s="31"/>
      <c r="F147" s="31"/>
      <c r="G147" s="56"/>
      <c r="H147" s="26"/>
      <c r="I147" s="26"/>
      <c r="J147" s="26"/>
      <c r="K147" s="26"/>
      <c r="L147" s="41"/>
      <c r="M147" s="36"/>
      <c r="N147" s="26"/>
      <c r="O147" s="26"/>
      <c r="P147" s="42"/>
    </row>
    <row r="148" spans="1:17" x14ac:dyDescent="0.25">
      <c r="A148" s="22" t="str">
        <f>IF(C148="","",COUNTA($C$4:C148))</f>
        <v/>
      </c>
      <c r="B148" s="23" t="str">
        <f t="shared" si="35"/>
        <v/>
      </c>
      <c r="C148" s="57"/>
      <c r="D148" s="36"/>
      <c r="E148" s="31"/>
      <c r="F148" s="31"/>
      <c r="G148" s="56"/>
      <c r="H148" s="26"/>
      <c r="I148" s="26"/>
      <c r="J148" s="26"/>
      <c r="K148" s="26"/>
      <c r="L148" s="41"/>
      <c r="M148" s="36"/>
      <c r="N148" s="26"/>
      <c r="O148" s="26"/>
      <c r="P148" s="42"/>
    </row>
    <row r="149" spans="1:17" x14ac:dyDescent="0.25">
      <c r="A149" s="22" t="str">
        <f>IF(C149="","",COUNTA($C$4:C149))</f>
        <v/>
      </c>
      <c r="B149" s="23" t="str">
        <f t="shared" si="35"/>
        <v/>
      </c>
      <c r="C149" s="57"/>
      <c r="D149" s="36"/>
      <c r="E149" s="31"/>
      <c r="F149" s="31"/>
      <c r="G149" s="56"/>
      <c r="H149" s="26"/>
      <c r="I149" s="26"/>
      <c r="J149" s="26"/>
      <c r="K149" s="26"/>
      <c r="L149" s="41"/>
      <c r="M149" s="36"/>
      <c r="N149" s="26"/>
      <c r="O149" s="26"/>
      <c r="P149" s="42"/>
    </row>
    <row r="150" spans="1:17" x14ac:dyDescent="0.25">
      <c r="A150" s="22" t="str">
        <f>IF(C150="","",COUNTA($C$4:C150))</f>
        <v/>
      </c>
      <c r="B150" s="23" t="str">
        <f t="shared" si="35"/>
        <v/>
      </c>
      <c r="C150" s="57"/>
      <c r="D150" s="36"/>
      <c r="E150" s="31"/>
      <c r="F150" s="31"/>
      <c r="G150" s="56"/>
      <c r="H150" s="26"/>
      <c r="I150" s="26"/>
      <c r="J150" s="26"/>
      <c r="K150" s="26"/>
      <c r="L150" s="41"/>
      <c r="M150" s="36"/>
      <c r="N150" s="26"/>
      <c r="O150" s="26"/>
      <c r="P150" s="42"/>
    </row>
    <row r="151" spans="1:17" x14ac:dyDescent="0.25">
      <c r="A151" s="22" t="str">
        <f>IF(C151="","",COUNTA($C$4:C151))</f>
        <v/>
      </c>
      <c r="B151" s="23" t="str">
        <f t="shared" si="35"/>
        <v/>
      </c>
      <c r="C151" s="57"/>
      <c r="D151" s="36"/>
      <c r="E151" s="31"/>
      <c r="F151" s="31"/>
      <c r="G151" s="56"/>
      <c r="H151" s="26"/>
      <c r="I151" s="26"/>
      <c r="J151" s="26"/>
      <c r="K151" s="26"/>
      <c r="L151" s="41"/>
      <c r="M151" s="36"/>
      <c r="N151" s="26"/>
      <c r="O151" s="26"/>
      <c r="P151" s="42"/>
    </row>
    <row r="152" spans="1:17" x14ac:dyDescent="0.25">
      <c r="A152" s="22" t="str">
        <f>IF(C152="","",COUNTA($C$4:C152))</f>
        <v/>
      </c>
      <c r="B152" s="23" t="str">
        <f t="shared" si="35"/>
        <v/>
      </c>
      <c r="C152" s="57"/>
      <c r="D152" s="36"/>
      <c r="E152" s="31"/>
      <c r="F152" s="31"/>
      <c r="G152" s="56"/>
      <c r="H152" s="26"/>
      <c r="I152" s="26"/>
      <c r="J152" s="26"/>
      <c r="K152" s="26"/>
      <c r="L152" s="41"/>
      <c r="M152" s="36"/>
      <c r="N152" s="26"/>
      <c r="O152" s="26"/>
      <c r="P152" s="42"/>
    </row>
    <row r="153" spans="1:17" x14ac:dyDescent="0.25">
      <c r="A153" s="22" t="str">
        <f>IF(C153="","",COUNTA($C$4:C153))</f>
        <v/>
      </c>
      <c r="B153" s="23" t="str">
        <f t="shared" si="35"/>
        <v/>
      </c>
      <c r="C153" s="57"/>
      <c r="D153" s="36"/>
      <c r="E153" s="71"/>
      <c r="F153" s="31"/>
      <c r="G153" s="56"/>
      <c r="H153" s="26"/>
      <c r="I153" s="26"/>
      <c r="J153" s="26"/>
      <c r="K153" s="26"/>
      <c r="L153" s="41"/>
      <c r="M153" s="27"/>
      <c r="N153" s="26"/>
      <c r="O153" s="26"/>
      <c r="P153" s="42"/>
    </row>
    <row r="154" spans="1:17" x14ac:dyDescent="0.25">
      <c r="A154" s="22" t="str">
        <f>IF(C154="","",COUNTA($C$4:C154))</f>
        <v/>
      </c>
      <c r="B154" s="23" t="str">
        <f t="shared" si="35"/>
        <v/>
      </c>
      <c r="C154" s="57"/>
      <c r="D154" s="36"/>
      <c r="E154" s="31"/>
      <c r="F154" s="31"/>
      <c r="G154" s="56"/>
      <c r="H154" s="26"/>
      <c r="I154" s="26"/>
      <c r="J154" s="26"/>
      <c r="K154" s="26"/>
      <c r="L154" s="41"/>
      <c r="M154" s="36"/>
      <c r="N154" s="26"/>
      <c r="O154" s="26"/>
      <c r="P154" s="42"/>
    </row>
    <row r="155" spans="1:17" x14ac:dyDescent="0.25">
      <c r="A155" s="22" t="str">
        <f>IF(C155="","",COUNTA($C$4:C155))</f>
        <v/>
      </c>
      <c r="B155" s="23" t="str">
        <f t="shared" si="35"/>
        <v/>
      </c>
      <c r="C155" s="57"/>
      <c r="D155" s="36"/>
      <c r="E155" s="71"/>
      <c r="F155" s="31"/>
      <c r="G155" s="56"/>
      <c r="H155" s="26"/>
      <c r="I155" s="26"/>
      <c r="J155" s="26"/>
      <c r="K155" s="26"/>
      <c r="L155" s="41"/>
      <c r="M155" s="36"/>
      <c r="N155" s="26"/>
      <c r="O155" s="26"/>
      <c r="P155" s="42"/>
      <c r="Q155" t="s">
        <v>61</v>
      </c>
    </row>
    <row r="156" spans="1:17" x14ac:dyDescent="0.25">
      <c r="A156" s="22" t="str">
        <f>IF(C156="","",COUNTA($C$4:C156))</f>
        <v/>
      </c>
      <c r="B156" s="23" t="str">
        <f t="shared" si="35"/>
        <v/>
      </c>
      <c r="C156" s="57"/>
      <c r="D156" s="36"/>
      <c r="E156" s="31"/>
      <c r="F156" s="31"/>
      <c r="G156" s="56"/>
      <c r="H156" s="26"/>
      <c r="I156" s="26"/>
      <c r="J156" s="26"/>
      <c r="K156" s="26"/>
      <c r="L156" s="41"/>
      <c r="M156" s="36"/>
      <c r="N156" s="26"/>
      <c r="O156" s="26"/>
      <c r="P156" s="42"/>
    </row>
    <row r="157" spans="1:17" x14ac:dyDescent="0.25">
      <c r="A157" s="22" t="str">
        <f>IF(C157="","",COUNTA($C$4:C157))</f>
        <v/>
      </c>
      <c r="B157" s="23" t="str">
        <f t="shared" si="35"/>
        <v/>
      </c>
      <c r="C157" s="57"/>
      <c r="D157" s="36"/>
      <c r="E157" s="31"/>
      <c r="F157" s="31"/>
      <c r="G157" s="56"/>
      <c r="H157" s="26"/>
      <c r="I157" s="26"/>
      <c r="J157" s="26"/>
      <c r="K157" s="26"/>
      <c r="L157" s="41"/>
      <c r="M157" s="36"/>
      <c r="N157" s="26"/>
      <c r="O157" s="26"/>
      <c r="P157" s="42"/>
    </row>
    <row r="158" spans="1:17" x14ac:dyDescent="0.25">
      <c r="A158" s="22" t="str">
        <f>IF(C158="","",COUNTA($C$4:C158))</f>
        <v/>
      </c>
      <c r="B158" s="23" t="str">
        <f t="shared" si="35"/>
        <v/>
      </c>
      <c r="C158" s="57"/>
      <c r="D158" s="36"/>
      <c r="E158" s="31"/>
      <c r="F158" s="31"/>
      <c r="G158" s="56"/>
      <c r="H158" s="26"/>
      <c r="I158" s="26"/>
      <c r="J158" s="26"/>
      <c r="K158" s="26"/>
      <c r="L158" s="41"/>
      <c r="M158" s="36"/>
      <c r="N158" s="26"/>
      <c r="O158" s="26"/>
      <c r="P158" s="42"/>
    </row>
    <row r="159" spans="1:17" x14ac:dyDescent="0.25">
      <c r="A159" s="22" t="str">
        <f>IF(C159="","",COUNTA($C$4:C159))</f>
        <v/>
      </c>
      <c r="B159" s="23" t="str">
        <f t="shared" si="35"/>
        <v/>
      </c>
      <c r="C159" s="57"/>
      <c r="D159" s="36"/>
      <c r="E159" s="31"/>
      <c r="F159" s="31"/>
      <c r="G159" s="56"/>
      <c r="H159" s="26"/>
      <c r="I159" s="26"/>
      <c r="J159" s="26"/>
      <c r="K159" s="26"/>
      <c r="L159" s="41"/>
      <c r="M159" s="36"/>
      <c r="N159" s="26"/>
      <c r="O159" s="26"/>
      <c r="P159" s="42"/>
    </row>
    <row r="160" spans="1:17" x14ac:dyDescent="0.25">
      <c r="A160" s="22" t="str">
        <f>IF(C160="","",COUNTA($C$4:C160))</f>
        <v/>
      </c>
      <c r="B160" s="23" t="str">
        <f t="shared" si="35"/>
        <v/>
      </c>
      <c r="C160" s="57"/>
      <c r="D160" s="36"/>
      <c r="E160" s="31"/>
      <c r="F160" s="31"/>
      <c r="G160" s="56"/>
      <c r="H160" s="26"/>
      <c r="I160" s="26"/>
      <c r="J160" s="26"/>
      <c r="K160" s="26"/>
      <c r="L160" s="41"/>
      <c r="M160" s="36"/>
      <c r="N160" s="26"/>
      <c r="O160" s="26"/>
      <c r="P160" s="42"/>
    </row>
    <row r="161" spans="1:16" x14ac:dyDescent="0.25">
      <c r="A161" s="22" t="str">
        <f>IF(C161="","",COUNTA($C$4:C161))</f>
        <v/>
      </c>
      <c r="B161" s="23" t="str">
        <f t="shared" si="35"/>
        <v/>
      </c>
      <c r="C161" s="57"/>
      <c r="D161" s="36"/>
      <c r="E161" s="71"/>
      <c r="F161" s="31"/>
      <c r="G161" s="56"/>
      <c r="H161" s="26"/>
      <c r="I161" s="26"/>
      <c r="J161" s="26"/>
      <c r="K161" s="26"/>
      <c r="L161" s="41"/>
      <c r="M161" s="36"/>
      <c r="N161" s="26"/>
      <c r="O161" s="26"/>
      <c r="P161" s="42"/>
    </row>
    <row r="162" spans="1:16" x14ac:dyDescent="0.25">
      <c r="A162" s="22" t="str">
        <f>IF(C162="","",COUNTA($C$4:C162))</f>
        <v/>
      </c>
      <c r="B162" s="23" t="str">
        <f t="shared" si="35"/>
        <v/>
      </c>
      <c r="C162" s="57"/>
      <c r="D162" s="36"/>
      <c r="E162" s="31"/>
      <c r="F162" s="31"/>
      <c r="G162" s="56"/>
      <c r="H162" s="26"/>
      <c r="I162" s="26"/>
      <c r="J162" s="26"/>
      <c r="K162" s="26"/>
      <c r="L162" s="41"/>
      <c r="M162" s="36"/>
      <c r="N162" s="26"/>
      <c r="O162" s="26"/>
      <c r="P162" s="42"/>
    </row>
    <row r="163" spans="1:16" x14ac:dyDescent="0.25">
      <c r="A163" s="22" t="str">
        <f>IF(C163="","",COUNTA($C$4:C163))</f>
        <v/>
      </c>
      <c r="B163" s="23" t="str">
        <f t="shared" si="35"/>
        <v/>
      </c>
      <c r="C163" s="57"/>
      <c r="D163" s="36"/>
      <c r="E163" s="31"/>
      <c r="F163" s="31"/>
      <c r="G163" s="56"/>
      <c r="H163" s="26"/>
      <c r="I163" s="26"/>
      <c r="J163" s="26"/>
      <c r="K163" s="26"/>
      <c r="L163" s="41"/>
      <c r="M163" s="36"/>
      <c r="N163" s="26"/>
      <c r="O163" s="26"/>
      <c r="P163" s="42"/>
    </row>
    <row r="164" spans="1:16" x14ac:dyDescent="0.25">
      <c r="A164" s="22" t="str">
        <f>IF(C164="","",COUNTA($C$4:C164))</f>
        <v/>
      </c>
      <c r="B164" s="23" t="str">
        <f t="shared" si="35"/>
        <v/>
      </c>
      <c r="C164" s="57"/>
      <c r="D164" s="36"/>
      <c r="E164" s="31"/>
      <c r="F164" s="31"/>
      <c r="G164" s="56"/>
      <c r="H164" s="26"/>
      <c r="I164" s="26"/>
      <c r="J164" s="26"/>
      <c r="K164" s="26"/>
      <c r="L164" s="41"/>
      <c r="M164" s="26"/>
      <c r="N164" s="26"/>
      <c r="O164" s="26"/>
      <c r="P164" s="42"/>
    </row>
    <row r="165" spans="1:16" x14ac:dyDescent="0.25">
      <c r="A165" s="22" t="str">
        <f>IF(C165="","",COUNTA($C$4:C165))</f>
        <v/>
      </c>
      <c r="B165" s="23" t="str">
        <f t="shared" si="35"/>
        <v/>
      </c>
      <c r="C165" s="57"/>
      <c r="D165" s="36"/>
      <c r="E165" s="31"/>
      <c r="F165" s="31"/>
      <c r="G165" s="56"/>
      <c r="H165" s="26"/>
      <c r="I165" s="26"/>
      <c r="J165" s="26"/>
      <c r="K165" s="26"/>
      <c r="L165" s="41"/>
      <c r="M165" s="36"/>
      <c r="N165" s="26"/>
      <c r="O165" s="26"/>
      <c r="P165" s="42"/>
    </row>
    <row r="166" spans="1:16" x14ac:dyDescent="0.25">
      <c r="A166" s="22" t="str">
        <f>IF(C166="","",COUNTA($C$4:C166))</f>
        <v/>
      </c>
      <c r="B166" s="23" t="str">
        <f t="shared" si="35"/>
        <v/>
      </c>
      <c r="C166" s="57"/>
      <c r="D166" s="36"/>
      <c r="E166" s="31"/>
      <c r="F166" s="31"/>
      <c r="G166" s="56"/>
      <c r="H166" s="26"/>
      <c r="I166" s="26"/>
      <c r="J166" s="26"/>
      <c r="K166" s="26"/>
      <c r="L166" s="41"/>
      <c r="M166" s="26"/>
      <c r="N166" s="26"/>
      <c r="O166" s="26"/>
      <c r="P166" s="42"/>
    </row>
    <row r="167" spans="1:16" x14ac:dyDescent="0.25">
      <c r="A167" s="22" t="str">
        <f>IF(C167="","",COUNTA($C$4:C167))</f>
        <v/>
      </c>
      <c r="B167" s="23" t="str">
        <f t="shared" si="35"/>
        <v/>
      </c>
      <c r="C167" s="57"/>
      <c r="D167" s="36"/>
      <c r="E167" s="31"/>
      <c r="F167" s="31"/>
      <c r="G167" s="56"/>
      <c r="H167" s="26"/>
      <c r="I167" s="26"/>
      <c r="J167" s="26"/>
      <c r="K167" s="26"/>
      <c r="L167" s="41"/>
      <c r="M167" s="27"/>
      <c r="N167" s="26"/>
      <c r="O167" s="26"/>
      <c r="P167" s="42"/>
    </row>
    <row r="168" spans="1:16" x14ac:dyDescent="0.25">
      <c r="A168" s="22" t="str">
        <f>IF(C168="","",COUNTA($C$4:C168))</f>
        <v/>
      </c>
      <c r="B168" s="23" t="str">
        <f t="shared" si="35"/>
        <v/>
      </c>
      <c r="C168" s="57"/>
      <c r="D168" s="36"/>
      <c r="E168" s="31"/>
      <c r="F168" s="31"/>
      <c r="G168" s="56"/>
      <c r="H168" s="26"/>
      <c r="I168" s="26"/>
      <c r="J168" s="26"/>
      <c r="K168" s="26"/>
      <c r="L168" s="41"/>
      <c r="M168" s="36"/>
      <c r="N168" s="26"/>
      <c r="O168" s="26"/>
      <c r="P168" s="42"/>
    </row>
    <row r="169" spans="1:16" x14ac:dyDescent="0.25">
      <c r="A169" s="22" t="str">
        <f>IF(C169="","",COUNTA($C$4:C169))</f>
        <v/>
      </c>
      <c r="B169" s="23" t="str">
        <f t="shared" si="35"/>
        <v/>
      </c>
      <c r="C169" s="57"/>
      <c r="D169" s="36"/>
      <c r="E169" s="31"/>
      <c r="F169" s="31"/>
      <c r="G169" s="56"/>
      <c r="H169" s="26"/>
      <c r="I169" s="26"/>
      <c r="J169" s="26"/>
      <c r="K169" s="26"/>
      <c r="L169" s="41"/>
      <c r="M169" s="36"/>
      <c r="N169" s="26"/>
      <c r="O169" s="26"/>
      <c r="P169" s="42"/>
    </row>
    <row r="170" spans="1:16" x14ac:dyDescent="0.25">
      <c r="A170" s="22" t="str">
        <f>IF(C170="","",COUNTA($C$4:C170))</f>
        <v/>
      </c>
      <c r="B170" s="23" t="str">
        <f t="shared" si="35"/>
        <v/>
      </c>
      <c r="C170" s="57"/>
      <c r="D170" s="36"/>
      <c r="E170" s="31"/>
      <c r="F170" s="31"/>
      <c r="G170" s="56"/>
      <c r="H170" s="26"/>
      <c r="I170" s="26"/>
      <c r="J170" s="26"/>
      <c r="K170" s="26"/>
      <c r="L170" s="41"/>
      <c r="M170" s="36"/>
      <c r="N170" s="26"/>
      <c r="O170" s="26"/>
      <c r="P170" s="42"/>
    </row>
    <row r="171" spans="1:16" x14ac:dyDescent="0.25">
      <c r="A171" s="22" t="str">
        <f>IF(C171="","",COUNTA($C$4:C171))</f>
        <v/>
      </c>
      <c r="B171" s="23" t="str">
        <f t="shared" si="35"/>
        <v/>
      </c>
      <c r="C171" s="57"/>
      <c r="D171" s="36"/>
      <c r="E171" s="31"/>
      <c r="F171" s="31"/>
      <c r="G171" s="56"/>
      <c r="H171" s="26"/>
      <c r="I171" s="26"/>
      <c r="J171" s="26"/>
      <c r="K171" s="26"/>
      <c r="L171" s="41"/>
      <c r="M171" s="36"/>
      <c r="N171" s="26"/>
      <c r="O171" s="26"/>
      <c r="P171" s="42"/>
    </row>
    <row r="172" spans="1:16" x14ac:dyDescent="0.25">
      <c r="A172" s="22" t="str">
        <f>IF(C172="","",COUNTA($C$4:C172))</f>
        <v/>
      </c>
      <c r="B172" s="23" t="str">
        <f t="shared" si="35"/>
        <v/>
      </c>
      <c r="C172" s="57"/>
      <c r="D172" s="36"/>
      <c r="E172" s="31"/>
      <c r="F172" s="31"/>
      <c r="G172" s="56"/>
      <c r="H172" s="26"/>
      <c r="I172" s="26"/>
      <c r="J172" s="26"/>
      <c r="K172" s="26"/>
      <c r="L172" s="41"/>
      <c r="M172" s="27"/>
      <c r="N172" s="26"/>
      <c r="O172" s="26"/>
      <c r="P172" s="42"/>
    </row>
    <row r="173" spans="1:16" x14ac:dyDescent="0.25">
      <c r="A173" s="22" t="str">
        <f>IF(C173="","",COUNTA($C$4:C173))</f>
        <v/>
      </c>
      <c r="B173" s="23" t="str">
        <f t="shared" si="35"/>
        <v/>
      </c>
      <c r="C173" s="57"/>
      <c r="D173" s="36"/>
      <c r="E173" s="31"/>
      <c r="F173" s="31"/>
      <c r="G173" s="56"/>
      <c r="H173" s="26"/>
      <c r="I173" s="26"/>
      <c r="J173" s="26"/>
      <c r="K173" s="26"/>
      <c r="L173" s="41"/>
      <c r="M173" s="36"/>
      <c r="N173" s="26"/>
      <c r="O173" s="26"/>
      <c r="P173" s="42"/>
    </row>
    <row r="174" spans="1:16" x14ac:dyDescent="0.25">
      <c r="A174" s="22" t="str">
        <f>IF(C174="","",COUNTA($C$4:C174))</f>
        <v/>
      </c>
      <c r="B174" s="23" t="str">
        <f t="shared" si="35"/>
        <v/>
      </c>
      <c r="C174" s="57"/>
      <c r="D174" s="36"/>
      <c r="E174" s="31"/>
      <c r="F174" s="31"/>
      <c r="G174" s="56"/>
      <c r="H174" s="26"/>
      <c r="I174" s="26"/>
      <c r="J174" s="26"/>
      <c r="K174" s="26"/>
      <c r="L174" s="41"/>
      <c r="M174" s="36"/>
      <c r="N174" s="26"/>
      <c r="O174" s="26"/>
      <c r="P174" s="42"/>
    </row>
    <row r="175" spans="1:16" x14ac:dyDescent="0.25">
      <c r="A175" s="22" t="str">
        <f>IF(C175="","",COUNTA($C$4:C175))</f>
        <v/>
      </c>
      <c r="B175" s="23" t="str">
        <f t="shared" si="35"/>
        <v/>
      </c>
      <c r="C175" s="57"/>
      <c r="D175" s="36"/>
      <c r="E175" s="31"/>
      <c r="F175" s="31"/>
      <c r="G175" s="56"/>
      <c r="H175" s="26"/>
      <c r="I175" s="26"/>
      <c r="J175" s="26"/>
      <c r="K175" s="26"/>
      <c r="L175" s="41"/>
      <c r="M175" s="36"/>
      <c r="N175" s="26"/>
      <c r="O175" s="26"/>
      <c r="P175" s="42"/>
    </row>
    <row r="176" spans="1:16" x14ac:dyDescent="0.25">
      <c r="A176" s="22" t="str">
        <f>IF(C176="","",COUNTA($C$4:C176))</f>
        <v/>
      </c>
      <c r="B176" s="23" t="str">
        <f t="shared" si="35"/>
        <v/>
      </c>
      <c r="C176" s="57"/>
      <c r="D176" s="36"/>
      <c r="E176" s="31"/>
      <c r="F176" s="31"/>
      <c r="G176" s="56"/>
      <c r="H176" s="26"/>
      <c r="I176" s="26"/>
      <c r="J176" s="26"/>
      <c r="K176" s="26"/>
      <c r="L176" s="41"/>
      <c r="M176" s="36"/>
      <c r="N176" s="26"/>
      <c r="O176" s="26"/>
      <c r="P176" s="42"/>
    </row>
    <row r="177" spans="1:16" x14ac:dyDescent="0.25">
      <c r="A177" s="22" t="str">
        <f>IF(C177="","",COUNTA($C$4:C177))</f>
        <v/>
      </c>
      <c r="B177" s="23" t="str">
        <f t="shared" si="35"/>
        <v/>
      </c>
      <c r="C177" s="57"/>
      <c r="D177" s="36"/>
      <c r="E177" s="31"/>
      <c r="F177" s="31"/>
      <c r="G177" s="56"/>
      <c r="H177" s="26"/>
      <c r="I177" s="26"/>
      <c r="J177" s="26"/>
      <c r="K177" s="26"/>
      <c r="L177" s="41"/>
      <c r="M177" s="36"/>
      <c r="N177" s="26"/>
      <c r="O177" s="26"/>
      <c r="P177" s="42"/>
    </row>
    <row r="178" spans="1:16" x14ac:dyDescent="0.25">
      <c r="A178" s="22" t="str">
        <f>IF(C178="","",COUNTA($C$4:C178))</f>
        <v/>
      </c>
      <c r="B178" s="23" t="str">
        <f t="shared" si="35"/>
        <v/>
      </c>
      <c r="C178" s="57"/>
      <c r="D178" s="36"/>
      <c r="E178" s="31"/>
      <c r="F178" s="31"/>
      <c r="G178" s="56"/>
      <c r="H178" s="26"/>
      <c r="I178" s="26"/>
      <c r="J178" s="26"/>
      <c r="K178" s="26"/>
      <c r="L178" s="41"/>
      <c r="M178" s="26"/>
      <c r="N178" s="26"/>
      <c r="O178" s="26"/>
      <c r="P178" s="42"/>
    </row>
    <row r="179" spans="1:16" x14ac:dyDescent="0.25">
      <c r="A179" s="22" t="str">
        <f>IF(C179="","",COUNTA($C$4:C179))</f>
        <v/>
      </c>
      <c r="B179" s="23" t="str">
        <f t="shared" si="35"/>
        <v/>
      </c>
      <c r="C179" s="57"/>
      <c r="D179" s="36"/>
      <c r="E179" s="31"/>
      <c r="F179" s="31"/>
      <c r="G179" s="56"/>
      <c r="H179" s="26"/>
      <c r="I179" s="26"/>
      <c r="J179" s="26"/>
      <c r="K179" s="26"/>
      <c r="L179" s="41"/>
      <c r="M179" s="36"/>
      <c r="N179" s="26"/>
      <c r="O179" s="26"/>
      <c r="P179" s="42"/>
    </row>
    <row r="180" spans="1:16" x14ac:dyDescent="0.25">
      <c r="A180" s="22" t="str">
        <f>IF(C180="","",COUNTA($C$4:C180))</f>
        <v/>
      </c>
      <c r="B180" s="23" t="str">
        <f t="shared" si="35"/>
        <v/>
      </c>
      <c r="C180" s="57"/>
      <c r="D180" s="36"/>
      <c r="E180" s="31"/>
      <c r="F180" s="31"/>
      <c r="G180" s="56"/>
      <c r="H180" s="26"/>
      <c r="I180" s="26"/>
      <c r="J180" s="26"/>
      <c r="K180" s="26"/>
      <c r="L180" s="41"/>
      <c r="M180" s="36"/>
      <c r="N180" s="26"/>
      <c r="O180" s="26"/>
      <c r="P180" s="42"/>
    </row>
    <row r="181" spans="1:16" x14ac:dyDescent="0.25">
      <c r="A181" s="22" t="str">
        <f>IF(C181="","",COUNTA($C$4:C181))</f>
        <v/>
      </c>
      <c r="B181" s="23" t="str">
        <f t="shared" si="35"/>
        <v/>
      </c>
      <c r="C181" s="57"/>
      <c r="D181" s="36"/>
      <c r="E181" s="31"/>
      <c r="F181" s="31"/>
      <c r="G181" s="56"/>
      <c r="H181" s="26"/>
      <c r="I181" s="26"/>
      <c r="J181" s="26"/>
      <c r="K181" s="26"/>
      <c r="L181" s="41"/>
      <c r="M181" s="36"/>
      <c r="N181" s="26"/>
      <c r="O181" s="26"/>
      <c r="P181" s="42"/>
    </row>
    <row r="182" spans="1:16" x14ac:dyDescent="0.25">
      <c r="A182" s="22" t="str">
        <f>IF(C182="","",COUNTA($C$4:C182))</f>
        <v/>
      </c>
      <c r="B182" s="23" t="str">
        <f t="shared" si="35"/>
        <v/>
      </c>
      <c r="C182" s="57"/>
      <c r="D182" s="36"/>
      <c r="E182" s="31"/>
      <c r="F182" s="31"/>
      <c r="G182" s="56"/>
      <c r="H182" s="26"/>
      <c r="I182" s="26"/>
      <c r="J182" s="26"/>
      <c r="K182" s="26"/>
      <c r="L182" s="41"/>
      <c r="M182" s="36"/>
      <c r="N182" s="26"/>
      <c r="O182" s="26"/>
      <c r="P182" s="42"/>
    </row>
    <row r="183" spans="1:16" x14ac:dyDescent="0.25">
      <c r="A183" s="22" t="str">
        <f>IF(C183="","",COUNTA($C$4:C183))</f>
        <v/>
      </c>
      <c r="B183" s="23" t="str">
        <f t="shared" si="35"/>
        <v/>
      </c>
      <c r="C183" s="57"/>
      <c r="D183" s="36"/>
      <c r="E183" s="31"/>
      <c r="F183" s="31"/>
      <c r="G183" s="56"/>
      <c r="H183" s="26"/>
      <c r="I183" s="26"/>
      <c r="J183" s="26"/>
      <c r="K183" s="26"/>
      <c r="L183" s="41"/>
      <c r="M183" s="36"/>
      <c r="N183" s="26"/>
      <c r="O183" s="26"/>
      <c r="P183" s="42"/>
    </row>
    <row r="184" spans="1:16" x14ac:dyDescent="0.25">
      <c r="A184" s="22" t="str">
        <f>IF(C184="","",COUNTA($C$4:C184))</f>
        <v/>
      </c>
      <c r="B184" s="23" t="str">
        <f t="shared" si="35"/>
        <v/>
      </c>
      <c r="C184" s="57"/>
      <c r="D184" s="36"/>
      <c r="E184" s="31"/>
      <c r="F184" s="31"/>
      <c r="G184" s="56"/>
      <c r="H184" s="26"/>
      <c r="I184" s="26"/>
      <c r="J184" s="26"/>
      <c r="K184" s="26"/>
      <c r="L184" s="41"/>
      <c r="M184" s="36"/>
      <c r="N184" s="26"/>
      <c r="O184" s="26"/>
      <c r="P184" s="42"/>
    </row>
    <row r="185" spans="1:16" x14ac:dyDescent="0.25">
      <c r="A185" s="22" t="str">
        <f>IF(C185="","",COUNTA($C$4:C185))</f>
        <v/>
      </c>
      <c r="B185" s="23" t="str">
        <f t="shared" si="35"/>
        <v/>
      </c>
      <c r="C185" s="57"/>
      <c r="D185" s="24"/>
      <c r="E185" s="34"/>
      <c r="F185" s="34"/>
      <c r="G185" s="25"/>
      <c r="H185" s="26"/>
      <c r="I185" s="26"/>
      <c r="J185" s="26"/>
      <c r="K185" s="26"/>
      <c r="L185" s="41"/>
      <c r="M185" s="36"/>
      <c r="N185" s="26"/>
      <c r="O185" s="26"/>
      <c r="P185" s="42"/>
    </row>
    <row r="186" spans="1:16" x14ac:dyDescent="0.25">
      <c r="A186" s="22" t="str">
        <f>IF(C186="","",COUNTA($C$4:C186))</f>
        <v/>
      </c>
      <c r="B186" s="23" t="str">
        <f t="shared" si="35"/>
        <v/>
      </c>
      <c r="C186" s="57"/>
      <c r="D186" s="24"/>
      <c r="E186" s="34"/>
      <c r="F186" s="34"/>
      <c r="G186" s="25"/>
      <c r="H186" s="26"/>
      <c r="I186" s="26"/>
      <c r="J186" s="26"/>
      <c r="K186" s="26"/>
      <c r="L186" s="41"/>
      <c r="M186" s="36"/>
      <c r="N186" s="26"/>
      <c r="O186" s="26"/>
      <c r="P186" s="42"/>
    </row>
    <row r="187" spans="1:16" x14ac:dyDescent="0.25">
      <c r="A187" s="22" t="str">
        <f>IF(C187="","",COUNTA($C$4:C187))</f>
        <v/>
      </c>
      <c r="B187" s="23" t="str">
        <f t="shared" ref="B187:B250" si="36">IF(C187="","",TEXT(C187,"mmmm"))</f>
        <v/>
      </c>
      <c r="C187" s="55"/>
      <c r="D187" s="24"/>
      <c r="E187" s="34"/>
      <c r="F187" s="34"/>
      <c r="G187" s="25"/>
      <c r="H187" s="26"/>
      <c r="I187" s="26"/>
      <c r="J187" s="26"/>
      <c r="K187" s="26"/>
      <c r="L187" s="41"/>
      <c r="M187" s="36"/>
      <c r="N187" s="26"/>
      <c r="O187" s="26"/>
      <c r="P187" s="42"/>
    </row>
    <row r="188" spans="1:16" x14ac:dyDescent="0.25">
      <c r="A188" s="22" t="str">
        <f>IF(C188="","",COUNTA($C$4:C188))</f>
        <v/>
      </c>
      <c r="B188" s="23" t="str">
        <f t="shared" si="36"/>
        <v/>
      </c>
      <c r="C188" s="57"/>
      <c r="D188" s="24"/>
      <c r="E188" s="34"/>
      <c r="F188" s="34"/>
      <c r="G188" s="25"/>
      <c r="H188" s="26"/>
      <c r="I188" s="26"/>
      <c r="J188" s="26"/>
      <c r="K188" s="26"/>
      <c r="L188" s="41"/>
      <c r="M188" s="36"/>
      <c r="N188" s="26"/>
      <c r="O188" s="26"/>
      <c r="P188" s="42"/>
    </row>
    <row r="189" spans="1:16" x14ac:dyDescent="0.25">
      <c r="A189" s="22" t="str">
        <f>IF(C189="","",COUNTA($C$4:C189))</f>
        <v/>
      </c>
      <c r="B189" s="23" t="str">
        <f t="shared" si="36"/>
        <v/>
      </c>
      <c r="C189" s="57"/>
      <c r="D189" s="24"/>
      <c r="E189" s="34"/>
      <c r="F189" s="34"/>
      <c r="G189" s="25"/>
      <c r="H189" s="26"/>
      <c r="I189" s="26"/>
      <c r="J189" s="26"/>
      <c r="K189" s="26"/>
      <c r="L189" s="41"/>
      <c r="M189" s="36"/>
      <c r="N189" s="26"/>
      <c r="O189" s="26"/>
      <c r="P189" s="42"/>
    </row>
    <row r="190" spans="1:16" x14ac:dyDescent="0.25">
      <c r="A190" s="22" t="str">
        <f>IF(C190="","",COUNTA($C$4:C190))</f>
        <v/>
      </c>
      <c r="B190" s="23" t="str">
        <f t="shared" si="36"/>
        <v/>
      </c>
      <c r="C190" s="57"/>
      <c r="D190" s="24"/>
      <c r="E190" s="34"/>
      <c r="F190" s="34"/>
      <c r="G190" s="25"/>
      <c r="H190" s="26"/>
      <c r="I190" s="26"/>
      <c r="J190" s="26"/>
      <c r="K190" s="26"/>
      <c r="L190" s="41"/>
      <c r="M190" s="36"/>
      <c r="N190" s="26"/>
      <c r="O190" s="26"/>
      <c r="P190" s="42"/>
    </row>
    <row r="191" spans="1:16" x14ac:dyDescent="0.25">
      <c r="A191" s="22" t="str">
        <f>IF(C191="","",COUNTA($C$4:C191))</f>
        <v/>
      </c>
      <c r="B191" s="23" t="str">
        <f t="shared" si="36"/>
        <v/>
      </c>
      <c r="C191" s="57"/>
      <c r="D191" s="24"/>
      <c r="E191" s="34"/>
      <c r="F191" s="34"/>
      <c r="G191" s="25"/>
      <c r="H191" s="26"/>
      <c r="I191" s="26"/>
      <c r="J191" s="26"/>
      <c r="K191" s="26"/>
      <c r="L191" s="41"/>
      <c r="M191" s="36"/>
      <c r="N191" s="26"/>
      <c r="O191" s="26"/>
      <c r="P191" s="42"/>
    </row>
    <row r="192" spans="1:16" x14ac:dyDescent="0.25">
      <c r="A192" s="22" t="str">
        <f>IF(C192="","",COUNTA($C$4:C192))</f>
        <v/>
      </c>
      <c r="B192" s="23" t="str">
        <f t="shared" si="36"/>
        <v/>
      </c>
      <c r="C192" s="57"/>
      <c r="D192" s="24"/>
      <c r="E192" s="34"/>
      <c r="F192" s="34"/>
      <c r="G192" s="25"/>
      <c r="H192" s="26"/>
      <c r="I192" s="26"/>
      <c r="J192" s="26"/>
      <c r="K192" s="26"/>
      <c r="L192" s="41"/>
      <c r="M192" s="36"/>
      <c r="N192" s="26"/>
      <c r="O192" s="26"/>
      <c r="P192" s="42"/>
    </row>
    <row r="193" spans="1:16" x14ac:dyDescent="0.25">
      <c r="A193" s="22" t="str">
        <f>IF(C193="","",COUNTA($C$4:C193))</f>
        <v/>
      </c>
      <c r="B193" s="23" t="str">
        <f t="shared" si="36"/>
        <v/>
      </c>
      <c r="C193" s="57"/>
      <c r="D193" s="36"/>
      <c r="E193" s="31"/>
      <c r="F193" s="31"/>
      <c r="G193" s="56"/>
      <c r="H193" s="26"/>
      <c r="I193" s="26"/>
      <c r="J193" s="26"/>
      <c r="K193" s="26"/>
      <c r="L193" s="41"/>
      <c r="M193" s="36"/>
      <c r="N193" s="26"/>
      <c r="O193" s="26"/>
      <c r="P193" s="42"/>
    </row>
    <row r="194" spans="1:16" x14ac:dyDescent="0.25">
      <c r="A194" s="22" t="str">
        <f>IF(C194="","",COUNTA($C$4:C194))</f>
        <v/>
      </c>
      <c r="B194" s="23" t="str">
        <f t="shared" si="36"/>
        <v/>
      </c>
      <c r="C194" s="57"/>
      <c r="D194" s="36"/>
      <c r="E194" s="31"/>
      <c r="F194" s="31"/>
      <c r="G194" s="56"/>
      <c r="H194" s="26"/>
      <c r="I194" s="26"/>
      <c r="J194" s="26"/>
      <c r="K194" s="26"/>
      <c r="L194" s="41"/>
      <c r="M194" s="36"/>
      <c r="N194" s="26"/>
      <c r="O194" s="26"/>
      <c r="P194" s="42"/>
    </row>
    <row r="195" spans="1:16" x14ac:dyDescent="0.25">
      <c r="A195" s="22" t="str">
        <f>IF(C195="","",COUNTA($C$4:C195))</f>
        <v/>
      </c>
      <c r="B195" s="23" t="str">
        <f t="shared" si="36"/>
        <v/>
      </c>
      <c r="C195" s="57"/>
      <c r="D195" s="36"/>
      <c r="E195" s="31"/>
      <c r="F195" s="31"/>
      <c r="G195" s="56"/>
      <c r="H195" s="26"/>
      <c r="I195" s="26"/>
      <c r="J195" s="26"/>
      <c r="K195" s="26"/>
      <c r="L195" s="41"/>
      <c r="M195" s="36"/>
      <c r="N195" s="26"/>
      <c r="O195" s="26"/>
      <c r="P195" s="42"/>
    </row>
    <row r="196" spans="1:16" x14ac:dyDescent="0.25">
      <c r="A196" s="22" t="str">
        <f>IF(C196="","",COUNTA($C$4:C196))</f>
        <v/>
      </c>
      <c r="B196" s="23" t="str">
        <f t="shared" si="36"/>
        <v/>
      </c>
      <c r="C196" s="57"/>
      <c r="D196" s="36"/>
      <c r="E196" s="31"/>
      <c r="F196" s="31"/>
      <c r="G196" s="56"/>
      <c r="H196" s="26"/>
      <c r="I196" s="26"/>
      <c r="J196" s="26"/>
      <c r="K196" s="26"/>
      <c r="L196" s="41"/>
      <c r="M196" s="36"/>
      <c r="N196" s="26"/>
      <c r="O196" s="26"/>
      <c r="P196" s="42"/>
    </row>
    <row r="197" spans="1:16" x14ac:dyDescent="0.25">
      <c r="A197" s="22" t="str">
        <f>IF(C197="","",COUNTA($C$4:C197))</f>
        <v/>
      </c>
      <c r="B197" s="23" t="str">
        <f t="shared" si="36"/>
        <v/>
      </c>
      <c r="C197" s="57"/>
      <c r="D197" s="36"/>
      <c r="E197" s="31"/>
      <c r="F197" s="31"/>
      <c r="G197" s="56"/>
      <c r="H197" s="26"/>
      <c r="I197" s="26"/>
      <c r="J197" s="26"/>
      <c r="K197" s="26"/>
      <c r="L197" s="41"/>
      <c r="M197" s="36"/>
      <c r="N197" s="26"/>
      <c r="O197" s="26"/>
      <c r="P197" s="42"/>
    </row>
    <row r="198" spans="1:16" x14ac:dyDescent="0.25">
      <c r="A198" s="22" t="str">
        <f>IF(C198="","",COUNTA($C$4:C198))</f>
        <v/>
      </c>
      <c r="B198" s="23" t="str">
        <f t="shared" si="36"/>
        <v/>
      </c>
      <c r="C198" s="57"/>
      <c r="D198" s="36"/>
      <c r="E198" s="31"/>
      <c r="F198" s="31"/>
      <c r="G198" s="56"/>
      <c r="H198" s="26"/>
      <c r="I198" s="26"/>
      <c r="J198" s="26"/>
      <c r="K198" s="26"/>
      <c r="L198" s="41"/>
      <c r="M198" s="36"/>
      <c r="N198" s="26"/>
      <c r="O198" s="26"/>
      <c r="P198" s="42"/>
    </row>
    <row r="199" spans="1:16" x14ac:dyDescent="0.25">
      <c r="A199" s="22" t="str">
        <f>IF(C199="","",COUNTA($C$4:C199))</f>
        <v/>
      </c>
      <c r="B199" s="23" t="str">
        <f t="shared" si="36"/>
        <v/>
      </c>
      <c r="C199" s="57"/>
      <c r="D199" s="36"/>
      <c r="E199" s="31"/>
      <c r="F199" s="31"/>
      <c r="G199" s="56"/>
      <c r="H199" s="26"/>
      <c r="I199" s="26"/>
      <c r="J199" s="26"/>
      <c r="K199" s="26"/>
      <c r="L199" s="41"/>
      <c r="M199" s="36"/>
      <c r="N199" s="26"/>
      <c r="O199" s="26"/>
      <c r="P199" s="42"/>
    </row>
    <row r="200" spans="1:16" x14ac:dyDescent="0.25">
      <c r="A200" s="22" t="str">
        <f>IF(C200="","",COUNTA($C$4:C200))</f>
        <v/>
      </c>
      <c r="B200" s="23" t="str">
        <f t="shared" si="36"/>
        <v/>
      </c>
      <c r="C200" s="57"/>
      <c r="D200" s="36"/>
      <c r="E200" s="31"/>
      <c r="F200" s="31"/>
      <c r="G200" s="56"/>
      <c r="H200" s="26"/>
      <c r="I200" s="26"/>
      <c r="J200" s="26"/>
      <c r="K200" s="26"/>
      <c r="L200" s="41"/>
      <c r="M200" s="36"/>
      <c r="N200" s="26"/>
      <c r="O200" s="26"/>
      <c r="P200" s="42"/>
    </row>
    <row r="201" spans="1:16" x14ac:dyDescent="0.25">
      <c r="A201" s="22" t="str">
        <f>IF(C201="","",COUNTA($C$4:C201))</f>
        <v/>
      </c>
      <c r="B201" s="23" t="str">
        <f t="shared" si="36"/>
        <v/>
      </c>
      <c r="C201" s="57"/>
      <c r="D201" s="36"/>
      <c r="E201" s="31"/>
      <c r="F201" s="31"/>
      <c r="G201" s="56"/>
      <c r="H201" s="26"/>
      <c r="I201" s="26"/>
      <c r="J201" s="26"/>
      <c r="K201" s="26"/>
      <c r="L201" s="41"/>
      <c r="M201" s="36"/>
      <c r="N201" s="26"/>
      <c r="O201" s="26"/>
      <c r="P201" s="42"/>
    </row>
    <row r="202" spans="1:16" x14ac:dyDescent="0.25">
      <c r="A202" s="22" t="str">
        <f>IF(C202="","",COUNTA($C$4:C202))</f>
        <v/>
      </c>
      <c r="B202" s="23" t="str">
        <f t="shared" si="36"/>
        <v/>
      </c>
      <c r="C202" s="57"/>
      <c r="D202" s="36"/>
      <c r="E202" s="31"/>
      <c r="F202" s="31"/>
      <c r="G202" s="56"/>
      <c r="H202" s="26"/>
      <c r="I202" s="26"/>
      <c r="J202" s="26"/>
      <c r="K202" s="26"/>
      <c r="L202" s="41"/>
      <c r="M202" s="36"/>
      <c r="N202" s="26"/>
      <c r="O202" s="26"/>
      <c r="P202" s="42"/>
    </row>
    <row r="203" spans="1:16" x14ac:dyDescent="0.25">
      <c r="A203" s="22" t="str">
        <f>IF(C203="","",COUNTA($C$4:C203))</f>
        <v/>
      </c>
      <c r="B203" s="23" t="str">
        <f t="shared" si="36"/>
        <v/>
      </c>
      <c r="C203" s="57"/>
      <c r="D203" s="36"/>
      <c r="E203" s="31"/>
      <c r="F203" s="31"/>
      <c r="G203" s="56"/>
      <c r="H203" s="26"/>
      <c r="I203" s="26"/>
      <c r="J203" s="26"/>
      <c r="K203" s="26"/>
      <c r="L203" s="41"/>
      <c r="M203" s="36"/>
      <c r="N203" s="26"/>
      <c r="O203" s="26"/>
      <c r="P203" s="42"/>
    </row>
    <row r="204" spans="1:16" x14ac:dyDescent="0.25">
      <c r="A204" s="22" t="str">
        <f>IF(C204="","",COUNTA($C$4:C204))</f>
        <v/>
      </c>
      <c r="B204" s="23" t="str">
        <f t="shared" si="36"/>
        <v/>
      </c>
      <c r="C204" s="57"/>
      <c r="D204" s="36"/>
      <c r="E204" s="31"/>
      <c r="F204" s="31"/>
      <c r="G204" s="56"/>
      <c r="H204" s="26"/>
      <c r="I204" s="26"/>
      <c r="J204" s="26"/>
      <c r="K204" s="26"/>
      <c r="L204" s="41"/>
      <c r="M204" s="36"/>
      <c r="N204" s="26"/>
      <c r="O204" s="26"/>
      <c r="P204" s="42"/>
    </row>
    <row r="205" spans="1:16" x14ac:dyDescent="0.25">
      <c r="A205" s="22" t="str">
        <f>IF(C205="","",COUNTA($C$4:C205))</f>
        <v/>
      </c>
      <c r="B205" s="23" t="str">
        <f t="shared" si="36"/>
        <v/>
      </c>
      <c r="C205" s="57"/>
      <c r="D205" s="36"/>
      <c r="E205" s="31"/>
      <c r="F205" s="31"/>
      <c r="G205" s="56"/>
      <c r="H205" s="26"/>
      <c r="I205" s="26"/>
      <c r="J205" s="26"/>
      <c r="K205" s="26"/>
      <c r="L205" s="41"/>
      <c r="M205" s="36"/>
      <c r="N205" s="26"/>
      <c r="O205" s="26"/>
      <c r="P205" s="42"/>
    </row>
    <row r="206" spans="1:16" x14ac:dyDescent="0.25">
      <c r="A206" s="22" t="str">
        <f>IF(C206="","",COUNTA($C$4:C206))</f>
        <v/>
      </c>
      <c r="B206" s="23" t="str">
        <f t="shared" si="36"/>
        <v/>
      </c>
      <c r="C206" s="57"/>
      <c r="D206" s="36"/>
      <c r="E206" s="31"/>
      <c r="F206" s="31"/>
      <c r="G206" s="56"/>
      <c r="H206" s="26"/>
      <c r="I206" s="26"/>
      <c r="J206" s="26"/>
      <c r="K206" s="26"/>
      <c r="L206" s="41"/>
      <c r="M206" s="36"/>
      <c r="N206" s="26"/>
      <c r="O206" s="26"/>
      <c r="P206" s="42"/>
    </row>
    <row r="207" spans="1:16" x14ac:dyDescent="0.25">
      <c r="A207" s="22" t="str">
        <f>IF(C207="","",COUNTA($C$4:C207))</f>
        <v/>
      </c>
      <c r="B207" s="23" t="str">
        <f t="shared" si="36"/>
        <v/>
      </c>
      <c r="C207" s="57"/>
      <c r="D207" s="36"/>
      <c r="E207" s="31"/>
      <c r="F207" s="31"/>
      <c r="G207" s="56"/>
      <c r="H207" s="26"/>
      <c r="I207" s="26"/>
      <c r="J207" s="26"/>
      <c r="K207" s="26"/>
      <c r="L207" s="41"/>
      <c r="M207" s="36"/>
      <c r="N207" s="26"/>
      <c r="O207" s="26"/>
      <c r="P207" s="42"/>
    </row>
    <row r="208" spans="1:16" x14ac:dyDescent="0.25">
      <c r="A208" s="22" t="str">
        <f>IF(C208="","",COUNTA($C$4:C208))</f>
        <v/>
      </c>
      <c r="B208" s="23" t="str">
        <f t="shared" si="36"/>
        <v/>
      </c>
      <c r="C208" s="57"/>
      <c r="D208" s="36"/>
      <c r="E208" s="31"/>
      <c r="F208" s="31"/>
      <c r="G208" s="56"/>
      <c r="H208" s="26"/>
      <c r="I208" s="26"/>
      <c r="J208" s="26"/>
      <c r="K208" s="26"/>
      <c r="L208" s="41"/>
      <c r="M208" s="36"/>
      <c r="N208" s="26"/>
      <c r="O208" s="26"/>
      <c r="P208" s="42"/>
    </row>
    <row r="209" spans="1:16" x14ac:dyDescent="0.25">
      <c r="A209" s="22" t="str">
        <f>IF(C209="","",COUNTA($C$4:C209))</f>
        <v/>
      </c>
      <c r="B209" s="23" t="str">
        <f t="shared" si="36"/>
        <v/>
      </c>
      <c r="C209" s="57"/>
      <c r="D209" s="36"/>
      <c r="E209" s="31"/>
      <c r="F209" s="31"/>
      <c r="G209" s="56"/>
      <c r="H209" s="26"/>
      <c r="I209" s="26"/>
      <c r="J209" s="26"/>
      <c r="K209" s="26"/>
      <c r="L209" s="41"/>
      <c r="M209" s="36"/>
      <c r="N209" s="26"/>
      <c r="O209" s="26"/>
      <c r="P209" s="42"/>
    </row>
    <row r="210" spans="1:16" x14ac:dyDescent="0.25">
      <c r="A210" s="22" t="str">
        <f>IF(C210="","",COUNTA($C$4:C210))</f>
        <v/>
      </c>
      <c r="B210" s="23" t="str">
        <f t="shared" si="36"/>
        <v/>
      </c>
      <c r="C210" s="57"/>
      <c r="D210" s="36"/>
      <c r="E210" s="31"/>
      <c r="F210" s="31"/>
      <c r="G210" s="56"/>
      <c r="H210" s="26"/>
      <c r="I210" s="26"/>
      <c r="J210" s="26"/>
      <c r="K210" s="26"/>
      <c r="L210" s="41"/>
      <c r="M210" s="36"/>
      <c r="N210" s="26"/>
      <c r="O210" s="26"/>
      <c r="P210" s="42"/>
    </row>
    <row r="211" spans="1:16" x14ac:dyDescent="0.25">
      <c r="A211" s="22" t="str">
        <f>IF(C211="","",COUNTA($C$4:C211))</f>
        <v/>
      </c>
      <c r="B211" s="23" t="str">
        <f t="shared" si="36"/>
        <v/>
      </c>
      <c r="C211" s="57"/>
      <c r="D211" s="36"/>
      <c r="E211" s="31"/>
      <c r="F211" s="31"/>
      <c r="G211" s="56"/>
      <c r="H211" s="26"/>
      <c r="I211" s="26"/>
      <c r="J211" s="26"/>
      <c r="K211" s="26"/>
      <c r="L211" s="41"/>
      <c r="M211" s="36"/>
      <c r="N211" s="26"/>
      <c r="O211" s="26"/>
      <c r="P211" s="42"/>
    </row>
    <row r="212" spans="1:16" x14ac:dyDescent="0.25">
      <c r="A212" s="22" t="str">
        <f>IF(C212="","",COUNTA($C$4:C212))</f>
        <v/>
      </c>
      <c r="B212" s="23" t="str">
        <f t="shared" si="36"/>
        <v/>
      </c>
      <c r="C212" s="57"/>
      <c r="D212" s="36"/>
      <c r="E212" s="31"/>
      <c r="F212" s="31"/>
      <c r="G212" s="25"/>
      <c r="H212" s="26"/>
      <c r="I212" s="26"/>
      <c r="J212" s="26"/>
      <c r="K212" s="26"/>
      <c r="L212" s="41"/>
      <c r="M212" s="26"/>
      <c r="N212" s="26"/>
      <c r="O212" s="26"/>
      <c r="P212" s="42"/>
    </row>
    <row r="213" spans="1:16" x14ac:dyDescent="0.25">
      <c r="A213" s="22" t="str">
        <f>IF(C213="","",COUNTA($C$4:C213))</f>
        <v/>
      </c>
      <c r="B213" s="23" t="str">
        <f t="shared" si="36"/>
        <v/>
      </c>
      <c r="C213" s="57"/>
      <c r="D213" s="36"/>
      <c r="E213" s="31"/>
      <c r="F213" s="31"/>
      <c r="G213" s="56"/>
      <c r="H213" s="26"/>
      <c r="I213" s="26"/>
      <c r="J213" s="26"/>
      <c r="K213" s="26"/>
      <c r="L213" s="41"/>
      <c r="M213" s="36"/>
      <c r="N213" s="26"/>
      <c r="O213" s="26"/>
      <c r="P213" s="42"/>
    </row>
    <row r="214" spans="1:16" x14ac:dyDescent="0.25">
      <c r="A214" s="22" t="str">
        <f>IF(C214="","",COUNTA($C$4:C214))</f>
        <v/>
      </c>
      <c r="B214" s="23" t="str">
        <f t="shared" si="36"/>
        <v/>
      </c>
      <c r="C214" s="57"/>
      <c r="D214" s="36"/>
      <c r="E214" s="31"/>
      <c r="F214" s="31"/>
      <c r="G214" s="56"/>
      <c r="H214" s="26"/>
      <c r="I214" s="26"/>
      <c r="J214" s="26"/>
      <c r="K214" s="26"/>
      <c r="L214" s="41"/>
      <c r="M214" s="36"/>
      <c r="N214" s="26"/>
      <c r="O214" s="26"/>
      <c r="P214" s="42"/>
    </row>
    <row r="215" spans="1:16" x14ac:dyDescent="0.25">
      <c r="A215" s="22" t="str">
        <f>IF(C215="","",COUNTA($C$4:C215))</f>
        <v/>
      </c>
      <c r="B215" s="23" t="str">
        <f t="shared" si="36"/>
        <v/>
      </c>
      <c r="C215" s="57"/>
      <c r="D215" s="36"/>
      <c r="E215" s="31"/>
      <c r="F215" s="31"/>
      <c r="G215" s="56"/>
      <c r="H215" s="26"/>
      <c r="I215" s="26"/>
      <c r="J215" s="26"/>
      <c r="K215" s="26"/>
      <c r="L215" s="41"/>
      <c r="M215" s="26"/>
      <c r="N215" s="26"/>
      <c r="O215" s="26"/>
      <c r="P215" s="42"/>
    </row>
    <row r="216" spans="1:16" x14ac:dyDescent="0.25">
      <c r="A216" s="22" t="str">
        <f>IF(C216="","",COUNTA($C$4:C216))</f>
        <v/>
      </c>
      <c r="B216" s="23" t="str">
        <f t="shared" si="36"/>
        <v/>
      </c>
      <c r="C216" s="57"/>
      <c r="D216" s="36"/>
      <c r="E216" s="31"/>
      <c r="F216" s="31"/>
      <c r="G216" s="56"/>
      <c r="H216" s="26"/>
      <c r="I216" s="26"/>
      <c r="J216" s="26"/>
      <c r="K216" s="26"/>
      <c r="L216" s="41"/>
      <c r="M216" s="36"/>
      <c r="N216" s="26"/>
      <c r="O216" s="26"/>
      <c r="P216" s="42"/>
    </row>
    <row r="217" spans="1:16" x14ac:dyDescent="0.25">
      <c r="A217" s="22" t="str">
        <f>IF(C217="","",COUNTA($C$4:C217))</f>
        <v/>
      </c>
      <c r="B217" s="23" t="str">
        <f t="shared" si="36"/>
        <v/>
      </c>
      <c r="C217" s="57"/>
      <c r="D217" s="36"/>
      <c r="E217" s="31"/>
      <c r="F217" s="31"/>
      <c r="G217" s="56"/>
      <c r="H217" s="26"/>
      <c r="I217" s="26"/>
      <c r="J217" s="26"/>
      <c r="K217" s="26"/>
      <c r="L217" s="41"/>
      <c r="M217" s="36"/>
      <c r="N217" s="26"/>
      <c r="O217" s="26"/>
      <c r="P217" s="42"/>
    </row>
    <row r="218" spans="1:16" x14ac:dyDescent="0.25">
      <c r="A218" s="22" t="str">
        <f>IF(C218="","",COUNTA($C$4:C218))</f>
        <v/>
      </c>
      <c r="B218" s="23" t="str">
        <f t="shared" si="36"/>
        <v/>
      </c>
      <c r="C218" s="57"/>
      <c r="D218" s="36"/>
      <c r="E218" s="31"/>
      <c r="F218" s="31"/>
      <c r="G218" s="56"/>
      <c r="H218" s="26"/>
      <c r="I218" s="26"/>
      <c r="J218" s="26"/>
      <c r="K218" s="26"/>
      <c r="L218" s="41"/>
      <c r="M218" s="36"/>
      <c r="N218" s="26"/>
      <c r="O218" s="26"/>
      <c r="P218" s="42"/>
    </row>
    <row r="219" spans="1:16" x14ac:dyDescent="0.25">
      <c r="A219" s="22" t="str">
        <f>IF(C219="","",COUNTA($C$4:C219))</f>
        <v/>
      </c>
      <c r="B219" s="23" t="str">
        <f t="shared" si="36"/>
        <v/>
      </c>
      <c r="C219" s="57"/>
      <c r="D219" s="36"/>
      <c r="E219" s="31"/>
      <c r="F219" s="31"/>
      <c r="G219" s="56"/>
      <c r="H219" s="26"/>
      <c r="I219" s="26"/>
      <c r="J219" s="26"/>
      <c r="K219" s="26"/>
      <c r="L219" s="41"/>
      <c r="M219" s="36"/>
      <c r="N219" s="26"/>
      <c r="O219" s="26"/>
      <c r="P219" s="42"/>
    </row>
    <row r="220" spans="1:16" x14ac:dyDescent="0.25">
      <c r="A220" s="22" t="str">
        <f>IF(C220="","",COUNTA($C$4:C220))</f>
        <v/>
      </c>
      <c r="B220" s="23" t="str">
        <f t="shared" si="36"/>
        <v/>
      </c>
      <c r="C220" s="57"/>
      <c r="D220" s="36"/>
      <c r="E220" s="31"/>
      <c r="F220" s="31"/>
      <c r="G220" s="56"/>
      <c r="H220" s="26"/>
      <c r="I220" s="26"/>
      <c r="J220" s="26"/>
      <c r="K220" s="26"/>
      <c r="L220" s="41"/>
      <c r="M220" s="36"/>
      <c r="N220" s="26"/>
      <c r="O220" s="26"/>
      <c r="P220" s="42"/>
    </row>
    <row r="221" spans="1:16" x14ac:dyDescent="0.25">
      <c r="A221" s="22" t="str">
        <f>IF(C221="","",COUNTA($C$4:C221))</f>
        <v/>
      </c>
      <c r="B221" s="23" t="str">
        <f t="shared" si="36"/>
        <v/>
      </c>
      <c r="C221" s="57"/>
      <c r="D221" s="36"/>
      <c r="E221" s="31"/>
      <c r="F221" s="31"/>
      <c r="G221" s="56"/>
      <c r="H221" s="26"/>
      <c r="I221" s="26"/>
      <c r="J221" s="26"/>
      <c r="K221" s="26"/>
      <c r="L221" s="41"/>
      <c r="M221" s="36"/>
      <c r="N221" s="26"/>
      <c r="O221" s="26"/>
      <c r="P221" s="42"/>
    </row>
    <row r="222" spans="1:16" x14ac:dyDescent="0.25">
      <c r="A222" s="22" t="str">
        <f>IF(C222="","",COUNTA($C$4:C222))</f>
        <v/>
      </c>
      <c r="B222" s="23" t="str">
        <f t="shared" si="36"/>
        <v/>
      </c>
      <c r="C222" s="57"/>
      <c r="D222" s="36"/>
      <c r="E222" s="31"/>
      <c r="F222" s="31"/>
      <c r="G222" s="56"/>
      <c r="H222" s="26"/>
      <c r="I222" s="26"/>
      <c r="J222" s="26"/>
      <c r="K222" s="26"/>
      <c r="L222" s="41"/>
      <c r="M222" s="36"/>
      <c r="N222" s="26"/>
      <c r="O222" s="26"/>
      <c r="P222" s="42"/>
    </row>
    <row r="223" spans="1:16" x14ac:dyDescent="0.25">
      <c r="A223" s="22" t="str">
        <f>IF(C223="","",COUNTA($C$4:C223))</f>
        <v/>
      </c>
      <c r="B223" s="23" t="str">
        <f t="shared" si="36"/>
        <v/>
      </c>
      <c r="C223" s="57"/>
      <c r="D223" s="36"/>
      <c r="E223" s="31"/>
      <c r="F223" s="31"/>
      <c r="G223" s="56"/>
      <c r="H223" s="26"/>
      <c r="I223" s="26"/>
      <c r="J223" s="26"/>
      <c r="K223" s="26"/>
      <c r="L223" s="41"/>
      <c r="M223" s="36"/>
      <c r="N223" s="26"/>
      <c r="O223" s="26"/>
      <c r="P223" s="42"/>
    </row>
    <row r="224" spans="1:16" x14ac:dyDescent="0.25">
      <c r="A224" s="22" t="str">
        <f>IF(C224="","",COUNTA($C$4:C224))</f>
        <v/>
      </c>
      <c r="B224" s="23" t="str">
        <f t="shared" si="36"/>
        <v/>
      </c>
      <c r="C224" s="57"/>
      <c r="D224" s="36"/>
      <c r="E224" s="31"/>
      <c r="F224" s="31"/>
      <c r="G224" s="56"/>
      <c r="H224" s="26"/>
      <c r="I224" s="26"/>
      <c r="J224" s="26"/>
      <c r="K224" s="26"/>
      <c r="L224" s="41"/>
      <c r="M224" s="26"/>
      <c r="N224" s="26"/>
      <c r="O224" s="26"/>
      <c r="P224" s="42"/>
    </row>
    <row r="225" spans="1:16" x14ac:dyDescent="0.25">
      <c r="A225" s="22" t="str">
        <f>IF(C225="","",COUNTA($C$4:C225))</f>
        <v/>
      </c>
      <c r="B225" s="23" t="str">
        <f t="shared" si="36"/>
        <v/>
      </c>
      <c r="C225" s="57"/>
      <c r="D225" s="36"/>
      <c r="E225" s="31"/>
      <c r="F225" s="31"/>
      <c r="G225" s="56"/>
      <c r="H225" s="26"/>
      <c r="I225" s="26"/>
      <c r="J225" s="26"/>
      <c r="K225" s="26"/>
      <c r="L225" s="41"/>
      <c r="M225" s="36"/>
      <c r="N225" s="26"/>
      <c r="O225" s="26"/>
      <c r="P225" s="42"/>
    </row>
    <row r="226" spans="1:16" x14ac:dyDescent="0.25">
      <c r="A226" s="22" t="str">
        <f>IF(C226="","",COUNTA($C$4:C226))</f>
        <v/>
      </c>
      <c r="B226" s="23" t="str">
        <f t="shared" si="36"/>
        <v/>
      </c>
      <c r="C226" s="57"/>
      <c r="D226" s="36"/>
      <c r="E226" s="31"/>
      <c r="F226" s="31"/>
      <c r="G226" s="56"/>
      <c r="H226" s="26"/>
      <c r="I226" s="26"/>
      <c r="J226" s="26"/>
      <c r="K226" s="26"/>
      <c r="L226" s="41"/>
      <c r="M226" s="36"/>
      <c r="N226" s="26"/>
      <c r="O226" s="26"/>
      <c r="P226" s="42"/>
    </row>
    <row r="227" spans="1:16" x14ac:dyDescent="0.25">
      <c r="A227" s="22" t="str">
        <f>IF(C227="","",COUNTA($C$4:C227))</f>
        <v/>
      </c>
      <c r="B227" s="23" t="str">
        <f t="shared" si="36"/>
        <v/>
      </c>
      <c r="C227" s="57"/>
      <c r="D227" s="36"/>
      <c r="E227" s="31"/>
      <c r="F227" s="31"/>
      <c r="G227" s="56"/>
      <c r="H227" s="26"/>
      <c r="I227" s="26"/>
      <c r="J227" s="26"/>
      <c r="K227" s="26"/>
      <c r="L227" s="41"/>
      <c r="M227" s="36"/>
      <c r="N227" s="26"/>
      <c r="O227" s="26"/>
      <c r="P227" s="42"/>
    </row>
    <row r="228" spans="1:16" x14ac:dyDescent="0.25">
      <c r="A228" s="22" t="str">
        <f>IF(C228="","",COUNTA($C$4:C228))</f>
        <v/>
      </c>
      <c r="B228" s="23" t="str">
        <f t="shared" si="36"/>
        <v/>
      </c>
      <c r="C228" s="57"/>
      <c r="D228" s="36"/>
      <c r="E228" s="31"/>
      <c r="F228" s="31"/>
      <c r="G228" s="56"/>
      <c r="H228" s="26"/>
      <c r="I228" s="26"/>
      <c r="J228" s="26"/>
      <c r="K228" s="26"/>
      <c r="L228" s="41"/>
      <c r="M228" s="36"/>
      <c r="N228" s="26"/>
      <c r="O228" s="26"/>
      <c r="P228" s="42"/>
    </row>
    <row r="229" spans="1:16" x14ac:dyDescent="0.25">
      <c r="A229" s="22" t="str">
        <f>IF(C229="","",COUNTA($C$4:C229))</f>
        <v/>
      </c>
      <c r="B229" s="23" t="str">
        <f t="shared" si="36"/>
        <v/>
      </c>
      <c r="C229" s="57"/>
      <c r="D229" s="36"/>
      <c r="E229" s="31"/>
      <c r="F229" s="31"/>
      <c r="G229" s="56"/>
      <c r="H229" s="26"/>
      <c r="I229" s="26"/>
      <c r="J229" s="26"/>
      <c r="K229" s="26"/>
      <c r="L229" s="41"/>
      <c r="M229" s="36"/>
      <c r="N229" s="26"/>
      <c r="O229" s="26"/>
      <c r="P229" s="42"/>
    </row>
    <row r="230" spans="1:16" x14ac:dyDescent="0.25">
      <c r="A230" s="22" t="str">
        <f>IF(C230="","",COUNTA($C$4:C230))</f>
        <v/>
      </c>
      <c r="B230" s="23" t="str">
        <f t="shared" si="36"/>
        <v/>
      </c>
      <c r="C230" s="57"/>
      <c r="D230" s="36"/>
      <c r="E230" s="31"/>
      <c r="F230" s="31"/>
      <c r="G230" s="56"/>
      <c r="H230" s="26"/>
      <c r="I230" s="26"/>
      <c r="J230" s="26"/>
      <c r="K230" s="26"/>
      <c r="L230" s="41"/>
      <c r="M230" s="36"/>
      <c r="N230" s="26"/>
      <c r="O230" s="26"/>
      <c r="P230" s="42"/>
    </row>
    <row r="231" spans="1:16" x14ac:dyDescent="0.25">
      <c r="A231" s="22" t="str">
        <f>IF(C231="","",COUNTA($C$4:C231))</f>
        <v/>
      </c>
      <c r="B231" s="23" t="str">
        <f t="shared" si="36"/>
        <v/>
      </c>
      <c r="C231" s="57"/>
      <c r="D231" s="36"/>
      <c r="E231" s="31"/>
      <c r="F231" s="31"/>
      <c r="G231" s="56"/>
      <c r="H231" s="26"/>
      <c r="I231" s="26"/>
      <c r="J231" s="26"/>
      <c r="K231" s="26"/>
      <c r="L231" s="41"/>
      <c r="M231" s="36"/>
      <c r="N231" s="26"/>
      <c r="O231" s="26"/>
      <c r="P231" s="42"/>
    </row>
    <row r="232" spans="1:16" x14ac:dyDescent="0.25">
      <c r="A232" s="22" t="str">
        <f>IF(C232="","",COUNTA($C$4:C232))</f>
        <v/>
      </c>
      <c r="B232" s="23" t="str">
        <f t="shared" si="36"/>
        <v/>
      </c>
      <c r="C232" s="57"/>
      <c r="D232" s="36"/>
      <c r="E232" s="31"/>
      <c r="F232" s="31"/>
      <c r="G232" s="56"/>
      <c r="H232" s="26"/>
      <c r="I232" s="26"/>
      <c r="J232" s="26"/>
      <c r="K232" s="26"/>
      <c r="L232" s="41"/>
      <c r="M232" s="36"/>
      <c r="N232" s="26"/>
      <c r="O232" s="26"/>
      <c r="P232" s="42"/>
    </row>
    <row r="233" spans="1:16" x14ac:dyDescent="0.25">
      <c r="A233" s="22" t="str">
        <f>IF(C233="","",COUNTA($C$4:C233))</f>
        <v/>
      </c>
      <c r="B233" s="23" t="str">
        <f t="shared" si="36"/>
        <v/>
      </c>
      <c r="C233" s="57"/>
      <c r="D233" s="36"/>
      <c r="E233" s="31"/>
      <c r="F233" s="31"/>
      <c r="G233" s="56"/>
      <c r="H233" s="26"/>
      <c r="I233" s="26"/>
      <c r="J233" s="26"/>
      <c r="K233" s="26"/>
      <c r="L233" s="41"/>
      <c r="M233" s="36"/>
      <c r="N233" s="26"/>
      <c r="O233" s="26"/>
      <c r="P233" s="42"/>
    </row>
    <row r="234" spans="1:16" x14ac:dyDescent="0.25">
      <c r="A234" s="22" t="str">
        <f>IF(C234="","",COUNTA($C$4:C234))</f>
        <v/>
      </c>
      <c r="B234" s="23" t="str">
        <f t="shared" si="36"/>
        <v/>
      </c>
      <c r="C234" s="57"/>
      <c r="D234" s="36"/>
      <c r="E234" s="31"/>
      <c r="F234" s="31"/>
      <c r="G234" s="56"/>
      <c r="H234" s="26"/>
      <c r="I234" s="26"/>
      <c r="J234" s="26"/>
      <c r="K234" s="26"/>
      <c r="L234" s="41"/>
      <c r="M234" s="26"/>
      <c r="N234" s="26"/>
      <c r="O234" s="26"/>
      <c r="P234" s="42"/>
    </row>
    <row r="235" spans="1:16" x14ac:dyDescent="0.25">
      <c r="A235" s="22" t="str">
        <f>IF(C235="","",COUNTA($C$4:C235))</f>
        <v/>
      </c>
      <c r="B235" s="23" t="str">
        <f t="shared" si="36"/>
        <v/>
      </c>
      <c r="C235" s="57"/>
      <c r="D235" s="36"/>
      <c r="E235" s="31"/>
      <c r="F235" s="31"/>
      <c r="G235" s="56"/>
      <c r="H235" s="26"/>
      <c r="I235" s="26"/>
      <c r="J235" s="26"/>
      <c r="K235" s="26"/>
      <c r="L235" s="41"/>
      <c r="M235" s="36"/>
      <c r="N235" s="26"/>
      <c r="O235" s="26"/>
      <c r="P235" s="42"/>
    </row>
    <row r="236" spans="1:16" x14ac:dyDescent="0.25">
      <c r="A236" s="22" t="str">
        <f>IF(C236="","",COUNTA($C$4:C236))</f>
        <v/>
      </c>
      <c r="B236" s="23" t="str">
        <f t="shared" si="36"/>
        <v/>
      </c>
      <c r="C236" s="57"/>
      <c r="D236" s="36"/>
      <c r="E236" s="31"/>
      <c r="F236" s="31"/>
      <c r="G236" s="56"/>
      <c r="H236" s="26"/>
      <c r="I236" s="26"/>
      <c r="J236" s="26"/>
      <c r="K236" s="26"/>
      <c r="L236" s="41"/>
      <c r="M236" s="36"/>
      <c r="N236" s="26"/>
      <c r="O236" s="26"/>
      <c r="P236" s="42"/>
    </row>
    <row r="237" spans="1:16" x14ac:dyDescent="0.25">
      <c r="A237" s="22" t="str">
        <f>IF(C237="","",COUNTA($C$4:C237))</f>
        <v/>
      </c>
      <c r="B237" s="23" t="str">
        <f t="shared" si="36"/>
        <v/>
      </c>
      <c r="C237" s="57"/>
      <c r="D237" s="36"/>
      <c r="E237" s="31"/>
      <c r="F237" s="31"/>
      <c r="G237" s="56"/>
      <c r="H237" s="26"/>
      <c r="I237" s="26"/>
      <c r="J237" s="26"/>
      <c r="K237" s="26"/>
      <c r="L237" s="41"/>
      <c r="M237" s="36"/>
      <c r="N237" s="26"/>
      <c r="O237" s="26"/>
      <c r="P237" s="42"/>
    </row>
    <row r="238" spans="1:16" x14ac:dyDescent="0.25">
      <c r="A238" s="22" t="str">
        <f>IF(C238="","",COUNTA($C$4:C238))</f>
        <v/>
      </c>
      <c r="B238" s="23" t="str">
        <f t="shared" si="36"/>
        <v/>
      </c>
      <c r="C238" s="57"/>
      <c r="D238" s="36"/>
      <c r="E238" s="31"/>
      <c r="F238" s="31"/>
      <c r="G238" s="56"/>
      <c r="H238" s="26"/>
      <c r="I238" s="26"/>
      <c r="J238" s="26"/>
      <c r="K238" s="26"/>
      <c r="L238" s="41"/>
      <c r="M238" s="36"/>
      <c r="N238" s="26"/>
      <c r="O238" s="26"/>
      <c r="P238" s="42"/>
    </row>
    <row r="239" spans="1:16" x14ac:dyDescent="0.25">
      <c r="A239" s="22" t="str">
        <f>IF(C239="","",COUNTA($C$4:C239))</f>
        <v/>
      </c>
      <c r="B239" s="23" t="str">
        <f t="shared" si="36"/>
        <v/>
      </c>
      <c r="C239" s="57"/>
      <c r="D239" s="36"/>
      <c r="E239" s="31"/>
      <c r="F239" s="31"/>
      <c r="G239" s="56"/>
      <c r="H239" s="26"/>
      <c r="I239" s="26"/>
      <c r="J239" s="26"/>
      <c r="K239" s="26"/>
      <c r="L239" s="41"/>
      <c r="M239" s="36"/>
      <c r="N239" s="26"/>
      <c r="O239" s="26"/>
      <c r="P239" s="42"/>
    </row>
    <row r="240" spans="1:16" x14ac:dyDescent="0.25">
      <c r="A240" s="22" t="str">
        <f>IF(C240="","",COUNTA($C$4:C240))</f>
        <v/>
      </c>
      <c r="B240" s="23" t="str">
        <f t="shared" si="36"/>
        <v/>
      </c>
      <c r="C240" s="57"/>
      <c r="D240" s="36"/>
      <c r="E240" s="31"/>
      <c r="F240" s="31"/>
      <c r="G240" s="56"/>
      <c r="H240" s="26"/>
      <c r="I240" s="26"/>
      <c r="J240" s="26"/>
      <c r="K240" s="26"/>
      <c r="L240" s="41"/>
      <c r="M240" s="36"/>
      <c r="N240" s="26"/>
      <c r="O240" s="26"/>
      <c r="P240" s="42"/>
    </row>
    <row r="241" spans="1:16" x14ac:dyDescent="0.25">
      <c r="A241" s="22" t="str">
        <f>IF(C241="","",COUNTA($C$4:C241))</f>
        <v/>
      </c>
      <c r="B241" s="23" t="str">
        <f t="shared" si="36"/>
        <v/>
      </c>
      <c r="C241" s="57"/>
      <c r="D241" s="36"/>
      <c r="E241" s="31"/>
      <c r="F241" s="31"/>
      <c r="G241" s="56"/>
      <c r="H241" s="26"/>
      <c r="I241" s="26"/>
      <c r="J241" s="26"/>
      <c r="K241" s="26"/>
      <c r="L241" s="41"/>
      <c r="M241" s="36"/>
      <c r="N241" s="26"/>
      <c r="O241" s="26"/>
      <c r="P241" s="42"/>
    </row>
    <row r="242" spans="1:16" x14ac:dyDescent="0.25">
      <c r="A242" s="22" t="str">
        <f>IF(C242="","",COUNTA($C$4:C242))</f>
        <v/>
      </c>
      <c r="B242" s="23" t="str">
        <f t="shared" si="36"/>
        <v/>
      </c>
      <c r="C242" s="57"/>
      <c r="D242" s="36"/>
      <c r="E242" s="31"/>
      <c r="F242" s="31"/>
      <c r="G242" s="56"/>
      <c r="H242" s="26"/>
      <c r="I242" s="26"/>
      <c r="J242" s="26"/>
      <c r="K242" s="26"/>
      <c r="L242" s="41"/>
      <c r="M242" s="36"/>
      <c r="N242" s="26"/>
      <c r="O242" s="26"/>
      <c r="P242" s="42"/>
    </row>
    <row r="243" spans="1:16" x14ac:dyDescent="0.25">
      <c r="A243" s="22" t="str">
        <f>IF(C243="","",COUNTA($C$4:C243))</f>
        <v/>
      </c>
      <c r="B243" s="23" t="str">
        <f t="shared" si="36"/>
        <v/>
      </c>
      <c r="C243" s="57"/>
      <c r="D243" s="36"/>
      <c r="E243" s="31"/>
      <c r="F243" s="31"/>
      <c r="G243" s="56"/>
      <c r="H243" s="26"/>
      <c r="I243" s="26"/>
      <c r="J243" s="26"/>
      <c r="K243" s="26"/>
      <c r="L243" s="41"/>
      <c r="M243" s="36"/>
      <c r="N243" s="26"/>
      <c r="O243" s="26"/>
      <c r="P243" s="42"/>
    </row>
    <row r="244" spans="1:16" x14ac:dyDescent="0.25">
      <c r="A244" s="22" t="str">
        <f>IF(C244="","",COUNTA($C$4:C244))</f>
        <v/>
      </c>
      <c r="B244" s="23" t="str">
        <f t="shared" si="36"/>
        <v/>
      </c>
      <c r="C244" s="57"/>
      <c r="D244" s="36"/>
      <c r="E244" s="31"/>
      <c r="F244" s="31"/>
      <c r="G244" s="56"/>
      <c r="H244" s="26"/>
      <c r="I244" s="26"/>
      <c r="J244" s="26"/>
      <c r="K244" s="26"/>
      <c r="L244" s="41"/>
      <c r="M244" s="36"/>
      <c r="N244" s="26"/>
      <c r="O244" s="26"/>
      <c r="P244" s="42"/>
    </row>
    <row r="245" spans="1:16" x14ac:dyDescent="0.25">
      <c r="A245" s="22" t="str">
        <f>IF(C245="","",COUNTA($C$4:C245))</f>
        <v/>
      </c>
      <c r="B245" s="23" t="str">
        <f t="shared" si="36"/>
        <v/>
      </c>
      <c r="C245" s="57"/>
      <c r="D245" s="36"/>
      <c r="E245" s="31"/>
      <c r="F245" s="31"/>
      <c r="G245" s="56"/>
      <c r="H245" s="26"/>
      <c r="I245" s="26"/>
      <c r="J245" s="26"/>
      <c r="K245" s="26"/>
      <c r="L245" s="41"/>
      <c r="M245" s="36"/>
      <c r="N245" s="26"/>
      <c r="O245" s="26"/>
      <c r="P245" s="42"/>
    </row>
    <row r="246" spans="1:16" x14ac:dyDescent="0.25">
      <c r="A246" s="22" t="str">
        <f>IF(C246="","",COUNTA($C$4:C246))</f>
        <v/>
      </c>
      <c r="B246" s="23" t="str">
        <f t="shared" si="36"/>
        <v/>
      </c>
      <c r="C246" s="57"/>
      <c r="D246" s="36"/>
      <c r="E246" s="31"/>
      <c r="F246" s="31"/>
      <c r="G246" s="56"/>
      <c r="H246" s="26"/>
      <c r="I246" s="26"/>
      <c r="J246" s="26"/>
      <c r="K246" s="26"/>
      <c r="L246" s="41"/>
      <c r="M246" s="36"/>
      <c r="N246" s="26"/>
      <c r="O246" s="26"/>
      <c r="P246" s="42"/>
    </row>
    <row r="247" spans="1:16" x14ac:dyDescent="0.25">
      <c r="A247" s="22" t="str">
        <f>IF(C247="","",COUNTA($C$4:C247))</f>
        <v/>
      </c>
      <c r="B247" s="23" t="str">
        <f t="shared" si="36"/>
        <v/>
      </c>
      <c r="C247" s="57"/>
      <c r="D247" s="36"/>
      <c r="E247" s="31"/>
      <c r="F247" s="31"/>
      <c r="G247" s="56"/>
      <c r="H247" s="26"/>
      <c r="I247" s="26"/>
      <c r="J247" s="26"/>
      <c r="K247" s="26"/>
      <c r="L247" s="41"/>
      <c r="M247" s="36"/>
      <c r="N247" s="26"/>
      <c r="O247" s="26"/>
      <c r="P247" s="42"/>
    </row>
    <row r="248" spans="1:16" x14ac:dyDescent="0.25">
      <c r="A248" s="22" t="str">
        <f>IF(C248="","",COUNTA($C$4:C248))</f>
        <v/>
      </c>
      <c r="B248" s="23" t="str">
        <f t="shared" si="36"/>
        <v/>
      </c>
      <c r="C248" s="57"/>
      <c r="D248" s="36"/>
      <c r="E248" s="31"/>
      <c r="F248" s="31"/>
      <c r="G248" s="56"/>
      <c r="H248" s="26"/>
      <c r="I248" s="26"/>
      <c r="J248" s="26"/>
      <c r="K248" s="26"/>
      <c r="L248" s="41"/>
      <c r="M248" s="36"/>
      <c r="N248" s="26"/>
      <c r="O248" s="26"/>
      <c r="P248" s="42"/>
    </row>
    <row r="249" spans="1:16" x14ac:dyDescent="0.25">
      <c r="A249" s="22" t="str">
        <f>IF(C249="","",COUNTA($C$4:C249))</f>
        <v/>
      </c>
      <c r="B249" s="23" t="str">
        <f t="shared" si="36"/>
        <v/>
      </c>
      <c r="C249" s="57"/>
      <c r="D249" s="36"/>
      <c r="E249" s="31"/>
      <c r="F249" s="31"/>
      <c r="G249" s="56"/>
      <c r="H249" s="26"/>
      <c r="I249" s="26"/>
      <c r="J249" s="26"/>
      <c r="K249" s="26"/>
      <c r="L249" s="41"/>
      <c r="M249" s="36"/>
      <c r="N249" s="26"/>
      <c r="O249" s="26"/>
      <c r="P249" s="42"/>
    </row>
    <row r="250" spans="1:16" x14ac:dyDescent="0.25">
      <c r="A250" s="22" t="str">
        <f>IF(C250="","",COUNTA($C$4:C250))</f>
        <v/>
      </c>
      <c r="B250" s="23" t="str">
        <f t="shared" si="36"/>
        <v/>
      </c>
      <c r="C250" s="57"/>
      <c r="D250" s="36"/>
      <c r="E250" s="31"/>
      <c r="F250" s="31"/>
      <c r="G250" s="56"/>
      <c r="H250" s="26"/>
      <c r="I250" s="26"/>
      <c r="J250" s="26"/>
      <c r="K250" s="26"/>
      <c r="L250" s="41"/>
      <c r="M250" s="36"/>
      <c r="N250" s="26"/>
      <c r="O250" s="26"/>
      <c r="P250" s="42"/>
    </row>
    <row r="251" spans="1:16" x14ac:dyDescent="0.25">
      <c r="A251" s="22" t="str">
        <f>IF(C251="","",COUNTA($C$4:C251))</f>
        <v/>
      </c>
      <c r="B251" s="23" t="str">
        <f t="shared" ref="B251:B269" si="37">IF(C251="","",TEXT(C251,"mmmm"))</f>
        <v/>
      </c>
      <c r="C251" s="57"/>
      <c r="D251" s="36"/>
      <c r="E251" s="31"/>
      <c r="F251" s="31"/>
      <c r="G251" s="56"/>
      <c r="H251" s="26"/>
      <c r="I251" s="26"/>
      <c r="J251" s="26"/>
      <c r="K251" s="26"/>
      <c r="L251" s="41"/>
      <c r="M251" s="36"/>
      <c r="N251" s="26"/>
      <c r="O251" s="26"/>
      <c r="P251" s="42"/>
    </row>
    <row r="252" spans="1:16" x14ac:dyDescent="0.25">
      <c r="A252" s="22" t="str">
        <f>IF(C252="","",COUNTA($C$4:C252))</f>
        <v/>
      </c>
      <c r="B252" s="23" t="str">
        <f t="shared" si="37"/>
        <v/>
      </c>
      <c r="C252" s="57"/>
      <c r="D252" s="36"/>
      <c r="E252" s="31"/>
      <c r="F252" s="31"/>
      <c r="G252" s="56"/>
      <c r="H252" s="26"/>
      <c r="I252" s="26"/>
      <c r="J252" s="26"/>
      <c r="K252" s="26"/>
      <c r="L252" s="41"/>
      <c r="M252" s="36"/>
      <c r="N252" s="26"/>
      <c r="O252" s="26"/>
      <c r="P252" s="42"/>
    </row>
    <row r="253" spans="1:16" x14ac:dyDescent="0.25">
      <c r="A253" s="22" t="str">
        <f>IF(C253="","",COUNTA($C$4:C253))</f>
        <v/>
      </c>
      <c r="B253" s="23" t="str">
        <f t="shared" si="37"/>
        <v/>
      </c>
      <c r="C253" s="57"/>
      <c r="D253" s="36"/>
      <c r="E253" s="31"/>
      <c r="F253" s="31"/>
      <c r="G253" s="56"/>
      <c r="H253" s="26"/>
      <c r="I253" s="26"/>
      <c r="J253" s="26"/>
      <c r="K253" s="26"/>
      <c r="L253" s="41"/>
      <c r="M253" s="36"/>
      <c r="N253" s="26"/>
      <c r="O253" s="26"/>
      <c r="P253" s="42"/>
    </row>
    <row r="254" spans="1:16" x14ac:dyDescent="0.25">
      <c r="A254" s="22" t="str">
        <f>IF(C254="","",COUNTA($C$4:C254))</f>
        <v/>
      </c>
      <c r="B254" s="23" t="str">
        <f t="shared" si="37"/>
        <v/>
      </c>
      <c r="C254" s="57"/>
      <c r="D254" s="36"/>
      <c r="E254" s="31"/>
      <c r="F254" s="31"/>
      <c r="G254" s="56"/>
      <c r="H254" s="26"/>
      <c r="I254" s="26"/>
      <c r="J254" s="26"/>
      <c r="K254" s="26"/>
      <c r="L254" s="41"/>
      <c r="M254" s="36"/>
      <c r="N254" s="26"/>
      <c r="O254" s="26"/>
      <c r="P254" s="42"/>
    </row>
    <row r="255" spans="1:16" x14ac:dyDescent="0.25">
      <c r="A255" s="22" t="str">
        <f>IF(C255="","",COUNTA($C$4:C255))</f>
        <v/>
      </c>
      <c r="B255" s="23" t="str">
        <f t="shared" si="37"/>
        <v/>
      </c>
      <c r="C255" s="57"/>
      <c r="D255" s="36"/>
      <c r="E255" s="31"/>
      <c r="F255" s="31"/>
      <c r="G255" s="56"/>
      <c r="H255" s="26"/>
      <c r="I255" s="26"/>
      <c r="J255" s="26"/>
      <c r="K255" s="26"/>
      <c r="L255" s="41"/>
      <c r="M255" s="36"/>
      <c r="N255" s="26"/>
      <c r="O255" s="26"/>
      <c r="P255" s="42"/>
    </row>
    <row r="256" spans="1:16" x14ac:dyDescent="0.25">
      <c r="A256" s="22" t="str">
        <f>IF(C256="","",COUNTA($C$4:C256))</f>
        <v/>
      </c>
      <c r="B256" s="23" t="str">
        <f t="shared" si="37"/>
        <v/>
      </c>
      <c r="C256" s="57"/>
      <c r="D256" s="36"/>
      <c r="E256" s="31"/>
      <c r="F256" s="31"/>
      <c r="G256" s="56"/>
      <c r="H256" s="26"/>
      <c r="I256" s="26"/>
      <c r="J256" s="26"/>
      <c r="K256" s="26"/>
      <c r="L256" s="41"/>
      <c r="M256" s="36"/>
      <c r="N256" s="26"/>
      <c r="O256" s="26"/>
      <c r="P256" s="42"/>
    </row>
    <row r="257" spans="1:16" x14ac:dyDescent="0.25">
      <c r="A257" s="22" t="str">
        <f>IF(C257="","",COUNTA($C$4:C257))</f>
        <v/>
      </c>
      <c r="B257" s="23" t="str">
        <f t="shared" si="37"/>
        <v/>
      </c>
      <c r="C257" s="57"/>
      <c r="D257" s="36"/>
      <c r="E257" s="31"/>
      <c r="F257" s="31"/>
      <c r="G257" s="56"/>
      <c r="H257" s="26"/>
      <c r="I257" s="26"/>
      <c r="J257" s="26"/>
      <c r="K257" s="26"/>
      <c r="L257" s="41"/>
      <c r="M257" s="36"/>
      <c r="N257" s="26"/>
      <c r="O257" s="26"/>
      <c r="P257" s="42"/>
    </row>
    <row r="258" spans="1:16" x14ac:dyDescent="0.25">
      <c r="A258" s="22" t="str">
        <f>IF(C258="","",COUNTA($C$4:C258))</f>
        <v/>
      </c>
      <c r="B258" s="23" t="str">
        <f t="shared" si="37"/>
        <v/>
      </c>
      <c r="C258" s="57"/>
      <c r="D258" s="36"/>
      <c r="E258" s="31"/>
      <c r="F258" s="31"/>
      <c r="G258" s="56"/>
      <c r="H258" s="26"/>
      <c r="I258" s="26"/>
      <c r="J258" s="26"/>
      <c r="K258" s="26"/>
      <c r="L258" s="41"/>
      <c r="M258" s="26"/>
      <c r="N258" s="26"/>
      <c r="O258" s="26"/>
      <c r="P258" s="42"/>
    </row>
    <row r="259" spans="1:16" x14ac:dyDescent="0.25">
      <c r="A259" s="22" t="str">
        <f>IF(C259="","",COUNTA($C$4:C259))</f>
        <v/>
      </c>
      <c r="B259" s="23" t="str">
        <f t="shared" si="37"/>
        <v/>
      </c>
      <c r="C259" s="57"/>
      <c r="D259" s="36"/>
      <c r="E259" s="31"/>
      <c r="F259" s="31"/>
      <c r="G259" s="56"/>
      <c r="H259" s="26"/>
      <c r="I259" s="26"/>
      <c r="J259" s="26"/>
      <c r="K259" s="26"/>
      <c r="L259" s="41"/>
      <c r="M259" s="36"/>
      <c r="N259" s="26"/>
      <c r="O259" s="26"/>
      <c r="P259" s="42"/>
    </row>
    <row r="260" spans="1:16" x14ac:dyDescent="0.25">
      <c r="A260" s="22" t="str">
        <f>IF(C260="","",COUNTA($C$4:C260))</f>
        <v/>
      </c>
      <c r="B260" s="23" t="str">
        <f t="shared" si="37"/>
        <v/>
      </c>
      <c r="C260" s="57"/>
      <c r="D260" s="36"/>
      <c r="E260" s="31"/>
      <c r="F260" s="31"/>
      <c r="G260" s="56"/>
      <c r="H260" s="26"/>
      <c r="I260" s="26"/>
      <c r="J260" s="26"/>
      <c r="K260" s="26"/>
      <c r="L260" s="41"/>
      <c r="M260" s="36"/>
      <c r="N260" s="26"/>
      <c r="O260" s="26"/>
      <c r="P260" s="42"/>
    </row>
    <row r="261" spans="1:16" x14ac:dyDescent="0.25">
      <c r="A261" s="22" t="str">
        <f>IF(C261="","",COUNTA($C$4:C261))</f>
        <v/>
      </c>
      <c r="B261" s="23" t="str">
        <f t="shared" si="37"/>
        <v/>
      </c>
      <c r="C261" s="57"/>
      <c r="D261" s="36"/>
      <c r="E261" s="31"/>
      <c r="F261" s="31"/>
      <c r="G261" s="56"/>
      <c r="H261" s="26"/>
      <c r="I261" s="26"/>
      <c r="J261" s="26"/>
      <c r="K261" s="26"/>
      <c r="L261" s="41"/>
      <c r="M261" s="36"/>
      <c r="N261" s="26"/>
      <c r="O261" s="26"/>
      <c r="P261" s="42"/>
    </row>
    <row r="262" spans="1:16" x14ac:dyDescent="0.25">
      <c r="A262" s="22" t="str">
        <f>IF(C262="","",COUNTA($C$4:C262))</f>
        <v/>
      </c>
      <c r="B262" s="23" t="str">
        <f t="shared" si="37"/>
        <v/>
      </c>
      <c r="C262" s="57"/>
      <c r="D262" s="36"/>
      <c r="E262" s="31"/>
      <c r="F262" s="31"/>
      <c r="G262" s="56"/>
      <c r="H262" s="26"/>
      <c r="I262" s="26"/>
      <c r="J262" s="26"/>
      <c r="K262" s="26"/>
      <c r="L262" s="41"/>
      <c r="M262" s="36"/>
      <c r="N262" s="26"/>
      <c r="O262" s="26"/>
      <c r="P262" s="42"/>
    </row>
    <row r="263" spans="1:16" x14ac:dyDescent="0.25">
      <c r="A263" s="22" t="str">
        <f>IF(C263="","",COUNTA($C$4:C263))</f>
        <v/>
      </c>
      <c r="B263" s="23" t="str">
        <f t="shared" si="37"/>
        <v/>
      </c>
      <c r="C263" s="57"/>
      <c r="D263" s="36"/>
      <c r="E263" s="31"/>
      <c r="F263" s="31"/>
      <c r="G263" s="56"/>
      <c r="H263" s="26"/>
      <c r="I263" s="26"/>
      <c r="J263" s="26"/>
      <c r="K263" s="26"/>
      <c r="L263" s="41"/>
      <c r="M263" s="36"/>
      <c r="N263" s="26"/>
      <c r="O263" s="26"/>
      <c r="P263" s="42"/>
    </row>
    <row r="264" spans="1:16" x14ac:dyDescent="0.25">
      <c r="A264" s="22" t="str">
        <f>IF(C264="","",COUNTA($C$4:C264))</f>
        <v/>
      </c>
      <c r="B264" s="23" t="str">
        <f t="shared" si="37"/>
        <v/>
      </c>
      <c r="C264" s="57"/>
      <c r="D264" s="36"/>
      <c r="E264" s="31"/>
      <c r="F264" s="31"/>
      <c r="G264" s="56"/>
      <c r="H264" s="26"/>
      <c r="I264" s="26"/>
      <c r="J264" s="26"/>
      <c r="K264" s="26"/>
      <c r="L264" s="41"/>
      <c r="M264" s="36"/>
      <c r="N264" s="26"/>
      <c r="O264" s="26"/>
      <c r="P264" s="42"/>
    </row>
    <row r="265" spans="1:16" x14ac:dyDescent="0.25">
      <c r="A265" s="22" t="str">
        <f>IF(C265="","",COUNTA($C$4:C265))</f>
        <v/>
      </c>
      <c r="B265" s="23" t="str">
        <f t="shared" si="37"/>
        <v/>
      </c>
      <c r="C265" s="57"/>
      <c r="D265" s="36"/>
      <c r="E265" s="31"/>
      <c r="F265" s="31"/>
      <c r="G265" s="56"/>
      <c r="H265" s="26"/>
      <c r="I265" s="26"/>
      <c r="J265" s="26"/>
      <c r="K265" s="26"/>
      <c r="L265" s="41"/>
      <c r="M265" s="36"/>
      <c r="N265" s="26"/>
      <c r="O265" s="26"/>
      <c r="P265" s="42"/>
    </row>
    <row r="266" spans="1:16" x14ac:dyDescent="0.25">
      <c r="A266" s="22" t="str">
        <f>IF(C266="","",COUNTA($C$4:C266))</f>
        <v/>
      </c>
      <c r="B266" s="23" t="str">
        <f t="shared" si="37"/>
        <v/>
      </c>
      <c r="C266" s="57"/>
      <c r="D266" s="36"/>
      <c r="E266" s="31"/>
      <c r="F266" s="31"/>
      <c r="G266" s="56"/>
      <c r="H266" s="26"/>
      <c r="I266" s="26"/>
      <c r="J266" s="26"/>
      <c r="K266" s="26"/>
      <c r="L266" s="41"/>
      <c r="M266" s="36"/>
      <c r="N266" s="26"/>
      <c r="O266" s="26"/>
      <c r="P266" s="42"/>
    </row>
    <row r="267" spans="1:16" x14ac:dyDescent="0.25">
      <c r="A267" s="22" t="str">
        <f>IF(C267="","",COUNTA($C$4:C267))</f>
        <v/>
      </c>
      <c r="B267" s="23" t="str">
        <f t="shared" si="37"/>
        <v/>
      </c>
      <c r="C267" s="57"/>
      <c r="D267" s="36"/>
      <c r="E267" s="31"/>
      <c r="F267" s="31"/>
      <c r="G267" s="56"/>
      <c r="H267" s="26"/>
      <c r="I267" s="26"/>
      <c r="J267" s="26"/>
      <c r="K267" s="26"/>
      <c r="L267" s="41"/>
      <c r="M267" s="36"/>
      <c r="N267" s="26"/>
      <c r="O267" s="26"/>
      <c r="P267" s="42"/>
    </row>
    <row r="268" spans="1:16" x14ac:dyDescent="0.25">
      <c r="A268" s="22" t="str">
        <f>IF(C268="","",COUNTA($C$4:C268))</f>
        <v/>
      </c>
      <c r="B268" s="23" t="str">
        <f t="shared" si="37"/>
        <v/>
      </c>
      <c r="C268" s="57"/>
      <c r="D268" s="36"/>
      <c r="E268" s="31"/>
      <c r="F268" s="31"/>
      <c r="G268" s="56"/>
      <c r="H268" s="26"/>
      <c r="I268" s="26"/>
      <c r="J268" s="26"/>
      <c r="K268" s="26"/>
      <c r="L268" s="41"/>
      <c r="M268" s="36"/>
      <c r="N268" s="26"/>
      <c r="O268" s="26"/>
      <c r="P268" s="42"/>
    </row>
    <row r="269" spans="1:16" x14ac:dyDescent="0.25">
      <c r="A269" s="22" t="str">
        <f>IF(C269="","",COUNTA($C$4:C269))</f>
        <v/>
      </c>
      <c r="B269" s="23" t="str">
        <f t="shared" si="37"/>
        <v/>
      </c>
      <c r="C269" s="57"/>
      <c r="D269" s="36"/>
      <c r="E269" s="31"/>
      <c r="F269" s="31"/>
      <c r="G269" s="56"/>
      <c r="H269" s="26"/>
      <c r="I269" s="26"/>
      <c r="J269" s="26"/>
      <c r="K269" s="26"/>
      <c r="L269" s="41"/>
      <c r="M269" s="36"/>
      <c r="N269" s="26"/>
      <c r="O269" s="26"/>
      <c r="P269" s="42"/>
    </row>
    <row r="270" spans="1:16" x14ac:dyDescent="0.25">
      <c r="A270" s="22" t="str">
        <f>IF(C270="","",COUNTA($C$4:C270))</f>
        <v/>
      </c>
      <c r="B270" s="23"/>
      <c r="C270" s="57"/>
      <c r="D270" s="36"/>
      <c r="E270" s="31"/>
      <c r="F270" s="31"/>
      <c r="G270" s="56"/>
      <c r="H270" s="26"/>
      <c r="I270" s="26"/>
      <c r="J270" s="26"/>
      <c r="K270" s="26"/>
      <c r="L270" s="41"/>
      <c r="M270" s="36"/>
      <c r="N270" s="26"/>
      <c r="O270" s="26"/>
      <c r="P270" s="42"/>
    </row>
    <row r="271" spans="1:16" x14ac:dyDescent="0.25">
      <c r="A271" s="22" t="str">
        <f>IF(C271="","",COUNTA($C$4:C271))</f>
        <v/>
      </c>
      <c r="B271" s="23"/>
      <c r="C271" s="57"/>
      <c r="D271" s="36"/>
      <c r="E271" s="31"/>
      <c r="F271" s="31"/>
      <c r="G271" s="56"/>
      <c r="H271" s="26"/>
      <c r="I271" s="26"/>
      <c r="J271" s="26"/>
      <c r="K271" s="26"/>
      <c r="L271" s="41"/>
      <c r="M271" s="36"/>
      <c r="N271" s="26"/>
      <c r="O271" s="26"/>
      <c r="P271" s="42"/>
    </row>
    <row r="272" spans="1:16" x14ac:dyDescent="0.25">
      <c r="A272" s="22" t="str">
        <f>IF(C272="","",COUNTA($C$4:C272))</f>
        <v/>
      </c>
      <c r="B272" s="23"/>
      <c r="C272" s="57"/>
      <c r="D272" s="36"/>
      <c r="E272" s="31"/>
      <c r="F272" s="31"/>
      <c r="G272" s="56"/>
      <c r="H272" s="26"/>
      <c r="I272" s="26"/>
      <c r="J272" s="26"/>
      <c r="K272" s="26"/>
      <c r="L272" s="41"/>
      <c r="M272" s="36"/>
      <c r="N272" s="26"/>
      <c r="O272" s="26"/>
      <c r="P272" s="42"/>
    </row>
    <row r="273" spans="1:16" x14ac:dyDescent="0.25">
      <c r="A273" s="22" t="str">
        <f>IF(C273="","",COUNTA($C$4:C273))</f>
        <v/>
      </c>
      <c r="B273" s="23"/>
      <c r="C273" s="57"/>
      <c r="D273" s="36"/>
      <c r="E273" s="31"/>
      <c r="F273" s="31"/>
      <c r="G273" s="56"/>
      <c r="H273" s="26"/>
      <c r="I273" s="26"/>
      <c r="J273" s="26"/>
      <c r="K273" s="26"/>
      <c r="L273" s="41"/>
      <c r="M273" s="36"/>
      <c r="N273" s="26"/>
      <c r="O273" s="26"/>
      <c r="P273" s="42"/>
    </row>
    <row r="274" spans="1:16" x14ac:dyDescent="0.25">
      <c r="A274" s="22" t="str">
        <f>IF(C274="","",COUNTA($C$4:C274))</f>
        <v/>
      </c>
      <c r="B274" s="23"/>
      <c r="C274" s="57"/>
      <c r="D274" s="36"/>
      <c r="E274" s="31"/>
      <c r="F274" s="31"/>
      <c r="G274" s="56"/>
      <c r="H274" s="26"/>
      <c r="I274" s="26"/>
      <c r="J274" s="26"/>
      <c r="K274" s="26"/>
      <c r="L274" s="41"/>
      <c r="M274" s="36"/>
      <c r="N274" s="26"/>
      <c r="O274" s="26"/>
      <c r="P274" s="42"/>
    </row>
    <row r="275" spans="1:16" x14ac:dyDescent="0.25">
      <c r="A275" s="22" t="str">
        <f>IF(C275="","",COUNTA($C$4:C275))</f>
        <v/>
      </c>
      <c r="B275" s="23"/>
      <c r="C275" s="57"/>
      <c r="D275" s="36"/>
      <c r="E275" s="31"/>
      <c r="F275" s="31"/>
      <c r="G275" s="56"/>
      <c r="H275" s="26"/>
      <c r="I275" s="26"/>
      <c r="J275" s="26"/>
      <c r="K275" s="26"/>
      <c r="L275" s="41"/>
      <c r="M275" s="36"/>
      <c r="N275" s="26"/>
      <c r="O275" s="26"/>
      <c r="P275" s="42"/>
    </row>
    <row r="276" spans="1:16" x14ac:dyDescent="0.25">
      <c r="A276" s="22" t="str">
        <f>IF(C276="","",COUNTA($C$4:C276))</f>
        <v/>
      </c>
      <c r="B276" s="23"/>
      <c r="C276" s="57"/>
      <c r="D276" s="36"/>
      <c r="E276" s="31"/>
      <c r="F276" s="31"/>
      <c r="G276" s="56"/>
      <c r="H276" s="26"/>
      <c r="I276" s="26"/>
      <c r="J276" s="26"/>
      <c r="K276" s="26"/>
      <c r="L276" s="41"/>
      <c r="M276" s="36"/>
      <c r="N276" s="26"/>
      <c r="O276" s="26"/>
      <c r="P276" s="42"/>
    </row>
    <row r="277" spans="1:16" x14ac:dyDescent="0.25">
      <c r="A277" s="22" t="str">
        <f>IF(C277="","",COUNTA($C$4:C277))</f>
        <v/>
      </c>
      <c r="B277" s="23"/>
      <c r="C277" s="57"/>
      <c r="D277" s="36"/>
      <c r="E277" s="31"/>
      <c r="F277" s="31"/>
      <c r="G277" s="56"/>
      <c r="H277" s="26"/>
      <c r="I277" s="26"/>
      <c r="J277" s="26"/>
      <c r="K277" s="26"/>
      <c r="L277" s="41"/>
      <c r="M277" s="36"/>
      <c r="N277" s="26"/>
      <c r="O277" s="26"/>
      <c r="P277" s="42"/>
    </row>
    <row r="278" spans="1:16" x14ac:dyDescent="0.25">
      <c r="A278" s="22" t="str">
        <f>IF(C278="","",COUNTA($C$4:C278))</f>
        <v/>
      </c>
      <c r="B278" s="23"/>
      <c r="C278" s="57"/>
      <c r="D278" s="36"/>
      <c r="E278" s="31"/>
      <c r="F278" s="31"/>
      <c r="G278" s="56"/>
      <c r="H278" s="26"/>
      <c r="I278" s="26"/>
      <c r="J278" s="26"/>
      <c r="K278" s="26"/>
      <c r="L278" s="41"/>
      <c r="M278" s="36"/>
      <c r="N278" s="26"/>
      <c r="O278" s="26"/>
      <c r="P278" s="42"/>
    </row>
    <row r="279" spans="1:16" x14ac:dyDescent="0.25">
      <c r="A279" s="22" t="str">
        <f>IF(C279="","",COUNTA($C$4:C279))</f>
        <v/>
      </c>
      <c r="B279" s="23"/>
      <c r="C279" s="57"/>
      <c r="D279" s="36"/>
      <c r="E279" s="31"/>
      <c r="F279" s="31"/>
      <c r="G279" s="56"/>
      <c r="H279" s="26"/>
      <c r="I279" s="26"/>
      <c r="J279" s="26"/>
      <c r="K279" s="26"/>
      <c r="L279" s="41"/>
      <c r="M279" s="36"/>
      <c r="N279" s="26"/>
      <c r="O279" s="26"/>
      <c r="P279" s="42"/>
    </row>
    <row r="280" spans="1:16" x14ac:dyDescent="0.25">
      <c r="A280" s="22" t="str">
        <f>IF(C280="","",COUNTA($C$4:C280))</f>
        <v/>
      </c>
      <c r="B280" s="23"/>
      <c r="C280" s="57"/>
      <c r="D280" s="36"/>
      <c r="E280" s="31"/>
      <c r="F280" s="31"/>
      <c r="G280" s="56"/>
      <c r="H280" s="26"/>
      <c r="I280" s="26"/>
      <c r="J280" s="26"/>
      <c r="K280" s="26"/>
      <c r="L280" s="41"/>
      <c r="M280" s="36"/>
      <c r="N280" s="26"/>
      <c r="O280" s="26"/>
      <c r="P280" s="42"/>
    </row>
    <row r="281" spans="1:16" x14ac:dyDescent="0.25">
      <c r="A281" s="22" t="str">
        <f>IF(C281="","",COUNTA($C$4:C281))</f>
        <v/>
      </c>
      <c r="B281" s="23"/>
      <c r="C281" s="57"/>
      <c r="D281" s="36"/>
      <c r="E281" s="31"/>
      <c r="F281" s="31"/>
      <c r="G281" s="56"/>
      <c r="H281" s="26"/>
      <c r="I281" s="26"/>
      <c r="J281" s="26"/>
      <c r="K281" s="26"/>
      <c r="L281" s="41"/>
      <c r="M281" s="36"/>
      <c r="N281" s="26"/>
      <c r="O281" s="26"/>
      <c r="P281" s="42"/>
    </row>
    <row r="282" spans="1:16" x14ac:dyDescent="0.25">
      <c r="A282" s="22" t="str">
        <f>IF(C282="","",COUNTA($C$4:C282))</f>
        <v/>
      </c>
      <c r="B282" s="23"/>
      <c r="C282" s="57"/>
      <c r="D282" s="36"/>
      <c r="E282" s="31"/>
      <c r="F282" s="31"/>
      <c r="G282" s="56"/>
      <c r="H282" s="26"/>
      <c r="I282" s="26"/>
      <c r="J282" s="26"/>
      <c r="K282" s="26"/>
      <c r="L282" s="41"/>
      <c r="M282" s="36"/>
      <c r="N282" s="26"/>
      <c r="O282" s="26"/>
      <c r="P282" s="42"/>
    </row>
    <row r="283" spans="1:16" x14ac:dyDescent="0.25">
      <c r="A283" s="22" t="str">
        <f>IF(C283="","",COUNTA($C$4:C283))</f>
        <v/>
      </c>
      <c r="B283" s="23"/>
      <c r="C283" s="57"/>
      <c r="D283" s="36"/>
      <c r="E283" s="31"/>
      <c r="F283" s="31"/>
      <c r="G283" s="56"/>
      <c r="H283" s="26"/>
      <c r="I283" s="26"/>
      <c r="J283" s="26"/>
      <c r="K283" s="26"/>
      <c r="L283" s="41"/>
      <c r="M283" s="36"/>
      <c r="N283" s="26"/>
      <c r="O283" s="26"/>
      <c r="P283" s="42"/>
    </row>
    <row r="284" spans="1:16" x14ac:dyDescent="0.25">
      <c r="A284" s="22" t="str">
        <f>IF(C284="","",COUNTA($C$4:C284))</f>
        <v/>
      </c>
      <c r="B284" s="23"/>
      <c r="C284" s="57"/>
      <c r="D284" s="36"/>
      <c r="E284" s="31"/>
      <c r="F284" s="31"/>
      <c r="G284" s="56"/>
      <c r="H284" s="26"/>
      <c r="I284" s="26"/>
      <c r="J284" s="26"/>
      <c r="K284" s="26"/>
      <c r="L284" s="41"/>
      <c r="M284" s="36"/>
      <c r="N284" s="26"/>
      <c r="O284" s="26"/>
      <c r="P284" s="42"/>
    </row>
    <row r="285" spans="1:16" x14ac:dyDescent="0.25">
      <c r="A285" s="22" t="str">
        <f>IF(C285="","",COUNTA($C$4:C285))</f>
        <v/>
      </c>
      <c r="B285" s="23"/>
      <c r="C285" s="57"/>
      <c r="D285" s="36"/>
      <c r="E285" s="31"/>
      <c r="F285" s="31"/>
      <c r="G285" s="56"/>
      <c r="H285" s="26"/>
      <c r="I285" s="26"/>
      <c r="J285" s="26"/>
      <c r="K285" s="26"/>
      <c r="L285" s="41"/>
      <c r="M285" s="36"/>
      <c r="N285" s="26"/>
      <c r="O285" s="26"/>
      <c r="P285" s="42"/>
    </row>
    <row r="286" spans="1:16" x14ac:dyDescent="0.25">
      <c r="A286" s="22" t="str">
        <f>IF(C286="","",COUNTA($C$4:C286))</f>
        <v/>
      </c>
      <c r="B286" s="23"/>
      <c r="C286" s="57"/>
      <c r="D286" s="36"/>
      <c r="E286" s="31"/>
      <c r="F286" s="31"/>
      <c r="G286" s="56"/>
      <c r="H286" s="26"/>
      <c r="I286" s="26"/>
      <c r="J286" s="26"/>
      <c r="K286" s="26"/>
      <c r="L286" s="41"/>
      <c r="M286" s="36"/>
      <c r="N286" s="26"/>
      <c r="O286" s="26"/>
      <c r="P286" s="42"/>
    </row>
    <row r="287" spans="1:16" x14ac:dyDescent="0.25">
      <c r="A287" s="22" t="str">
        <f>IF(C287="","",COUNTA($C$4:C287))</f>
        <v/>
      </c>
      <c r="B287" s="23"/>
      <c r="C287" s="57"/>
      <c r="D287" s="36"/>
      <c r="E287" s="31"/>
      <c r="F287" s="31"/>
      <c r="G287" s="56"/>
      <c r="H287" s="26"/>
      <c r="I287" s="26"/>
      <c r="J287" s="26"/>
      <c r="K287" s="26"/>
      <c r="L287" s="41"/>
      <c r="M287" s="36"/>
      <c r="N287" s="26"/>
      <c r="O287" s="26"/>
      <c r="P287" s="42"/>
    </row>
    <row r="288" spans="1:16" x14ac:dyDescent="0.25">
      <c r="A288" s="22" t="str">
        <f>IF(C288="","",COUNTA($C$4:C288))</f>
        <v/>
      </c>
      <c r="B288" s="23"/>
      <c r="C288" s="57"/>
      <c r="D288" s="36"/>
      <c r="E288" s="31"/>
      <c r="F288" s="31"/>
      <c r="G288" s="56"/>
      <c r="H288" s="26"/>
      <c r="I288" s="26"/>
      <c r="J288" s="26"/>
      <c r="K288" s="26"/>
      <c r="L288" s="41"/>
      <c r="M288" s="36"/>
      <c r="N288" s="26"/>
      <c r="O288" s="26"/>
      <c r="P288" s="42"/>
    </row>
    <row r="289" spans="1:16" x14ac:dyDescent="0.25">
      <c r="A289" s="22" t="str">
        <f>IF(C289="","",COUNTA($C$4:C289))</f>
        <v/>
      </c>
      <c r="B289" s="23"/>
      <c r="C289" s="57"/>
      <c r="D289" s="36"/>
      <c r="E289" s="31"/>
      <c r="F289" s="31"/>
      <c r="G289" s="56"/>
      <c r="H289" s="26"/>
      <c r="I289" s="26"/>
      <c r="J289" s="26"/>
      <c r="K289" s="26"/>
      <c r="L289" s="41"/>
      <c r="M289" s="36"/>
      <c r="N289" s="26"/>
      <c r="O289" s="26"/>
      <c r="P289" s="42"/>
    </row>
    <row r="290" spans="1:16" x14ac:dyDescent="0.25">
      <c r="A290" s="22" t="str">
        <f>IF(C290="","",COUNTA($C$4:C290))</f>
        <v/>
      </c>
      <c r="B290" s="23"/>
      <c r="C290" s="57"/>
      <c r="D290" s="36"/>
      <c r="E290" s="31"/>
      <c r="F290" s="31"/>
      <c r="G290" s="56"/>
      <c r="H290" s="26"/>
      <c r="I290" s="26"/>
      <c r="J290" s="26"/>
      <c r="K290" s="26"/>
      <c r="L290" s="41"/>
      <c r="M290" s="36"/>
      <c r="N290" s="26"/>
      <c r="O290" s="26"/>
      <c r="P290" s="42"/>
    </row>
    <row r="291" spans="1:16" x14ac:dyDescent="0.25">
      <c r="A291" s="22" t="str">
        <f>IF(C291="","",COUNTA($C$4:C291))</f>
        <v/>
      </c>
      <c r="B291" s="23"/>
      <c r="C291" s="57"/>
      <c r="D291" s="36"/>
      <c r="E291" s="31"/>
      <c r="F291" s="31"/>
      <c r="G291" s="56"/>
      <c r="H291" s="26"/>
      <c r="I291" s="26"/>
      <c r="J291" s="26"/>
      <c r="K291" s="26"/>
      <c r="L291" s="41"/>
      <c r="M291" s="36"/>
      <c r="N291" s="26"/>
      <c r="O291" s="26"/>
      <c r="P291" s="42"/>
    </row>
    <row r="292" spans="1:16" x14ac:dyDescent="0.25">
      <c r="A292" s="22" t="str">
        <f>IF(C292="","",COUNTA($C$4:C292))</f>
        <v/>
      </c>
      <c r="B292" s="23"/>
      <c r="C292" s="57"/>
      <c r="D292" s="36"/>
      <c r="E292" s="31"/>
      <c r="F292" s="31"/>
      <c r="G292" s="56"/>
      <c r="H292" s="26"/>
      <c r="I292" s="26"/>
      <c r="J292" s="26"/>
      <c r="K292" s="26"/>
      <c r="L292" s="41"/>
      <c r="M292" s="36"/>
      <c r="N292" s="26"/>
      <c r="O292" s="26"/>
      <c r="P292" s="42"/>
    </row>
    <row r="293" spans="1:16" x14ac:dyDescent="0.25">
      <c r="A293" s="22" t="str">
        <f>IF(C293="","",COUNTA($C$4:C293))</f>
        <v/>
      </c>
      <c r="B293" s="23"/>
      <c r="C293" s="57"/>
      <c r="D293" s="36"/>
      <c r="E293" s="31"/>
      <c r="F293" s="31"/>
      <c r="G293" s="56"/>
      <c r="H293" s="26"/>
      <c r="I293" s="26"/>
      <c r="J293" s="26"/>
      <c r="K293" s="26"/>
      <c r="L293" s="41"/>
      <c r="M293" s="36"/>
      <c r="N293" s="26"/>
      <c r="O293" s="26"/>
      <c r="P293" s="42"/>
    </row>
    <row r="294" spans="1:16" x14ac:dyDescent="0.25">
      <c r="A294" s="22" t="str">
        <f>IF(C294="","",COUNTA($C$4:C294))</f>
        <v/>
      </c>
      <c r="B294" s="23"/>
      <c r="C294" s="57"/>
      <c r="D294" s="36"/>
      <c r="E294" s="31"/>
      <c r="F294" s="31"/>
      <c r="G294" s="56"/>
      <c r="H294" s="26"/>
      <c r="I294" s="26"/>
      <c r="J294" s="26"/>
      <c r="K294" s="26"/>
      <c r="L294" s="41"/>
      <c r="M294" s="36"/>
      <c r="N294" s="26"/>
      <c r="O294" s="26"/>
      <c r="P294" s="42"/>
    </row>
    <row r="295" spans="1:16" x14ac:dyDescent="0.25">
      <c r="A295" s="22" t="str">
        <f>IF(C295="","",COUNTA($C$4:C295))</f>
        <v/>
      </c>
      <c r="B295" s="23"/>
      <c r="C295" s="57"/>
      <c r="D295" s="36"/>
      <c r="E295" s="31"/>
      <c r="F295" s="31"/>
      <c r="G295" s="56"/>
      <c r="H295" s="26"/>
      <c r="I295" s="26"/>
      <c r="J295" s="26"/>
      <c r="K295" s="26"/>
      <c r="L295" s="41"/>
      <c r="M295" s="36"/>
      <c r="N295" s="26"/>
      <c r="O295" s="26"/>
      <c r="P295" s="42"/>
    </row>
    <row r="296" spans="1:16" x14ac:dyDescent="0.25">
      <c r="A296" s="22" t="str">
        <f>IF(C296="","",COUNTA($C$4:C296))</f>
        <v/>
      </c>
      <c r="B296" s="23"/>
      <c r="C296" s="57"/>
      <c r="D296" s="36"/>
      <c r="E296" s="31"/>
      <c r="F296" s="31"/>
      <c r="G296" s="56"/>
      <c r="H296" s="26"/>
      <c r="I296" s="26"/>
      <c r="J296" s="26"/>
      <c r="K296" s="26"/>
      <c r="L296" s="41"/>
      <c r="M296" s="36"/>
      <c r="N296" s="26"/>
      <c r="O296" s="26"/>
      <c r="P296" s="42"/>
    </row>
    <row r="297" spans="1:16" x14ac:dyDescent="0.25">
      <c r="A297" s="22" t="str">
        <f>IF(C297="","",COUNTA($C$4:C297))</f>
        <v/>
      </c>
      <c r="B297" s="23"/>
      <c r="C297" s="57"/>
      <c r="D297" s="36"/>
      <c r="E297" s="31"/>
      <c r="F297" s="31"/>
      <c r="G297" s="56"/>
      <c r="H297" s="26"/>
      <c r="I297" s="26"/>
      <c r="J297" s="26"/>
      <c r="K297" s="26"/>
      <c r="L297" s="41"/>
      <c r="M297" s="36"/>
      <c r="N297" s="26"/>
      <c r="O297" s="26"/>
      <c r="P297" s="42"/>
    </row>
    <row r="298" spans="1:16" x14ac:dyDescent="0.25">
      <c r="A298" s="22" t="str">
        <f>IF(C298="","",COUNTA($C$4:C298))</f>
        <v/>
      </c>
      <c r="B298" s="23"/>
      <c r="C298" s="57"/>
      <c r="D298" s="36"/>
      <c r="E298" s="31"/>
      <c r="F298" s="31"/>
      <c r="G298" s="56"/>
      <c r="H298" s="26"/>
      <c r="I298" s="26"/>
      <c r="J298" s="26"/>
      <c r="K298" s="26"/>
      <c r="L298" s="41"/>
      <c r="M298" s="36"/>
      <c r="N298" s="26"/>
      <c r="O298" s="26"/>
      <c r="P298" s="42"/>
    </row>
    <row r="299" spans="1:16" x14ac:dyDescent="0.25">
      <c r="A299" s="22" t="str">
        <f>IF(C299="","",COUNTA($C$4:C299))</f>
        <v/>
      </c>
      <c r="B299" s="23"/>
      <c r="C299" s="57"/>
      <c r="D299" s="36"/>
      <c r="E299" s="31"/>
      <c r="F299" s="31"/>
      <c r="G299" s="56"/>
      <c r="H299" s="26"/>
      <c r="I299" s="26"/>
      <c r="J299" s="26"/>
      <c r="K299" s="26"/>
      <c r="L299" s="41"/>
      <c r="M299" s="36"/>
      <c r="N299" s="26"/>
      <c r="O299" s="26"/>
      <c r="P299" s="42"/>
    </row>
    <row r="300" spans="1:16" x14ac:dyDescent="0.25">
      <c r="A300" s="22" t="str">
        <f>IF(C300="","",COUNTA($C$4:C300))</f>
        <v/>
      </c>
      <c r="B300" s="23"/>
      <c r="C300" s="57"/>
      <c r="D300" s="36"/>
      <c r="E300" s="31"/>
      <c r="F300" s="31"/>
      <c r="G300" s="56"/>
      <c r="H300" s="26"/>
      <c r="I300" s="26"/>
      <c r="J300" s="26"/>
      <c r="K300" s="26"/>
      <c r="L300" s="41"/>
      <c r="M300" s="36"/>
      <c r="N300" s="26"/>
      <c r="O300" s="26"/>
      <c r="P300" s="42"/>
    </row>
    <row r="301" spans="1:16" x14ac:dyDescent="0.25">
      <c r="A301" s="22" t="str">
        <f>IF(C301="","",COUNTA($C$4:C301))</f>
        <v/>
      </c>
      <c r="B301" s="23"/>
      <c r="C301" s="57"/>
      <c r="D301" s="36"/>
      <c r="E301" s="31"/>
      <c r="F301" s="31"/>
      <c r="G301" s="56"/>
      <c r="H301" s="26"/>
      <c r="I301" s="26"/>
      <c r="J301" s="26"/>
      <c r="K301" s="26"/>
      <c r="L301" s="41"/>
      <c r="M301" s="36"/>
      <c r="N301" s="26"/>
      <c r="O301" s="26"/>
      <c r="P301" s="42"/>
    </row>
    <row r="302" spans="1:16" x14ac:dyDescent="0.25">
      <c r="A302" s="22" t="str">
        <f>IF(C302="","",COUNTA($C$4:C302))</f>
        <v/>
      </c>
      <c r="B302" s="23"/>
      <c r="C302" s="57"/>
      <c r="D302" s="36"/>
      <c r="E302" s="31"/>
      <c r="F302" s="31"/>
      <c r="G302" s="56"/>
      <c r="H302" s="26"/>
      <c r="I302" s="26"/>
      <c r="J302" s="26"/>
      <c r="K302" s="26"/>
      <c r="L302" s="41"/>
      <c r="M302" s="36"/>
      <c r="N302" s="26"/>
      <c r="O302" s="26"/>
      <c r="P302" s="42"/>
    </row>
    <row r="303" spans="1:16" x14ac:dyDescent="0.25">
      <c r="A303" s="22" t="str">
        <f>IF(C303="","",COUNTA($C$4:C303))</f>
        <v/>
      </c>
      <c r="B303" s="23"/>
      <c r="C303" s="57"/>
      <c r="D303" s="36"/>
      <c r="E303" s="31"/>
      <c r="F303" s="31"/>
      <c r="G303" s="56"/>
      <c r="H303" s="26"/>
      <c r="I303" s="26"/>
      <c r="J303" s="26"/>
      <c r="K303" s="26"/>
      <c r="L303" s="41"/>
      <c r="M303" s="36"/>
      <c r="N303" s="26"/>
      <c r="O303" s="26"/>
      <c r="P303" s="42"/>
    </row>
    <row r="304" spans="1:16" x14ac:dyDescent="0.25">
      <c r="A304" s="22" t="str">
        <f>IF(C304="","",COUNTA($C$4:C304))</f>
        <v/>
      </c>
      <c r="B304" s="23"/>
      <c r="C304" s="57"/>
      <c r="D304" s="36"/>
      <c r="E304" s="31"/>
      <c r="F304" s="31"/>
      <c r="G304" s="56"/>
      <c r="H304" s="26"/>
      <c r="I304" s="26"/>
      <c r="J304" s="26"/>
      <c r="K304" s="26"/>
      <c r="L304" s="41"/>
      <c r="M304" s="36"/>
      <c r="N304" s="26"/>
      <c r="O304" s="26"/>
      <c r="P304" s="42"/>
    </row>
    <row r="305" spans="1:16" x14ac:dyDescent="0.25">
      <c r="A305" s="22" t="str">
        <f>IF(C305="","",COUNTA($C$4:C305))</f>
        <v/>
      </c>
      <c r="B305" s="23"/>
      <c r="C305" s="57"/>
      <c r="D305" s="36"/>
      <c r="E305" s="31"/>
      <c r="F305" s="31"/>
      <c r="G305" s="56"/>
      <c r="H305" s="26"/>
      <c r="I305" s="26"/>
      <c r="J305" s="26"/>
      <c r="K305" s="26"/>
      <c r="L305" s="41"/>
      <c r="M305" s="36"/>
      <c r="N305" s="26"/>
      <c r="O305" s="26"/>
      <c r="P305" s="42"/>
    </row>
    <row r="306" spans="1:16" x14ac:dyDescent="0.25">
      <c r="A306" s="22" t="str">
        <f>IF(C306="","",COUNTA($C$4:C306))</f>
        <v/>
      </c>
      <c r="B306" s="23"/>
      <c r="C306" s="57"/>
      <c r="D306" s="36"/>
      <c r="E306" s="31"/>
      <c r="F306" s="31"/>
      <c r="G306" s="56"/>
      <c r="H306" s="26"/>
      <c r="I306" s="26"/>
      <c r="J306" s="26"/>
      <c r="K306" s="26"/>
      <c r="L306" s="41"/>
      <c r="M306" s="36"/>
      <c r="N306" s="26"/>
      <c r="O306" s="26"/>
      <c r="P306" s="42"/>
    </row>
    <row r="307" spans="1:16" x14ac:dyDescent="0.25">
      <c r="A307" s="22" t="str">
        <f>IF(C307="","",COUNTA($C$4:C307))</f>
        <v/>
      </c>
      <c r="B307" s="23"/>
      <c r="C307" s="57"/>
      <c r="D307" s="36"/>
      <c r="E307" s="31"/>
      <c r="F307" s="31"/>
      <c r="G307" s="56"/>
      <c r="H307" s="26"/>
      <c r="I307" s="26"/>
      <c r="J307" s="26"/>
      <c r="K307" s="26"/>
      <c r="L307" s="41"/>
      <c r="M307" s="36"/>
      <c r="N307" s="26"/>
      <c r="O307" s="26"/>
      <c r="P307" s="42"/>
    </row>
    <row r="308" spans="1:16" x14ac:dyDescent="0.25">
      <c r="A308" s="22" t="str">
        <f>IF(C308="","",COUNTA($C$4:C308))</f>
        <v/>
      </c>
      <c r="B308" s="23"/>
      <c r="C308" s="57"/>
      <c r="D308" s="36"/>
      <c r="E308" s="31"/>
      <c r="F308" s="31"/>
      <c r="G308" s="56"/>
      <c r="H308" s="26"/>
      <c r="I308" s="26"/>
      <c r="J308" s="26"/>
      <c r="K308" s="26"/>
      <c r="L308" s="41"/>
      <c r="M308" s="36"/>
      <c r="N308" s="26"/>
      <c r="O308" s="26"/>
      <c r="P308" s="42"/>
    </row>
    <row r="309" spans="1:16" x14ac:dyDescent="0.25">
      <c r="A309" s="22" t="str">
        <f>IF(C309="","",COUNTA($C$4:C309))</f>
        <v/>
      </c>
      <c r="B309" s="23"/>
      <c r="C309" s="57"/>
      <c r="D309" s="36"/>
      <c r="E309" s="31"/>
      <c r="F309" s="31"/>
      <c r="G309" s="56"/>
      <c r="H309" s="26"/>
      <c r="I309" s="26"/>
      <c r="J309" s="26"/>
      <c r="K309" s="26"/>
      <c r="L309" s="41"/>
      <c r="M309" s="36"/>
      <c r="N309" s="26"/>
      <c r="O309" s="26"/>
      <c r="P309" s="42"/>
    </row>
    <row r="310" spans="1:16" x14ac:dyDescent="0.25">
      <c r="A310" s="22" t="str">
        <f>IF(C310="","",COUNTA($C$4:C310))</f>
        <v/>
      </c>
      <c r="B310" s="23"/>
      <c r="C310" s="57"/>
      <c r="D310" s="36"/>
      <c r="E310" s="31"/>
      <c r="F310" s="31"/>
      <c r="G310" s="56"/>
      <c r="H310" s="26"/>
      <c r="I310" s="26"/>
      <c r="J310" s="26"/>
      <c r="K310" s="26"/>
      <c r="L310" s="41"/>
      <c r="M310" s="36"/>
      <c r="N310" s="26"/>
      <c r="O310" s="26"/>
      <c r="P310" s="42"/>
    </row>
    <row r="311" spans="1:16" x14ac:dyDescent="0.25">
      <c r="A311" s="22" t="str">
        <f>IF(C311="","",COUNTA($C$4:C311))</f>
        <v/>
      </c>
      <c r="B311" s="23"/>
      <c r="C311" s="57"/>
      <c r="D311" s="36"/>
      <c r="E311" s="31"/>
      <c r="F311" s="31"/>
      <c r="G311" s="56"/>
      <c r="H311" s="26"/>
      <c r="I311" s="26"/>
      <c r="J311" s="26"/>
      <c r="K311" s="26"/>
      <c r="L311" s="41"/>
      <c r="M311" s="36"/>
      <c r="N311" s="26"/>
      <c r="O311" s="26"/>
      <c r="P311" s="42"/>
    </row>
    <row r="312" spans="1:16" x14ac:dyDescent="0.25">
      <c r="A312" s="22" t="str">
        <f>IF(C312="","",COUNTA($C$4:C312))</f>
        <v/>
      </c>
      <c r="B312" s="23"/>
      <c r="C312" s="57"/>
      <c r="D312" s="36"/>
      <c r="E312" s="31"/>
      <c r="F312" s="31"/>
      <c r="G312" s="56"/>
      <c r="H312" s="26"/>
      <c r="I312" s="26"/>
      <c r="J312" s="26"/>
      <c r="K312" s="26"/>
      <c r="L312" s="41"/>
      <c r="M312" s="36"/>
      <c r="N312" s="26"/>
      <c r="O312" s="26"/>
      <c r="P312" s="42"/>
    </row>
    <row r="313" spans="1:16" x14ac:dyDescent="0.25">
      <c r="A313" s="22" t="str">
        <f>IF(C313="","",COUNTA($C$4:C313))</f>
        <v/>
      </c>
      <c r="B313" s="23"/>
      <c r="C313" s="57"/>
      <c r="D313" s="36"/>
      <c r="E313" s="31"/>
      <c r="F313" s="31"/>
      <c r="G313" s="56"/>
      <c r="H313" s="26"/>
      <c r="I313" s="26"/>
      <c r="J313" s="26"/>
      <c r="K313" s="26"/>
      <c r="L313" s="41"/>
      <c r="M313" s="36"/>
      <c r="N313" s="26"/>
      <c r="O313" s="26"/>
      <c r="P313" s="42"/>
    </row>
    <row r="314" spans="1:16" x14ac:dyDescent="0.25">
      <c r="A314" s="22" t="str">
        <f>IF(C314="","",COUNTA($C$4:C314))</f>
        <v/>
      </c>
      <c r="B314" s="23"/>
      <c r="C314" s="57"/>
      <c r="D314" s="36"/>
      <c r="E314" s="31"/>
      <c r="F314" s="31"/>
      <c r="G314" s="56"/>
      <c r="H314" s="26"/>
      <c r="I314" s="26"/>
      <c r="J314" s="26"/>
      <c r="K314" s="26"/>
      <c r="L314" s="41"/>
      <c r="M314" s="36"/>
      <c r="N314" s="26"/>
      <c r="O314" s="26"/>
      <c r="P314" s="42"/>
    </row>
    <row r="315" spans="1:16" x14ac:dyDescent="0.25">
      <c r="A315" s="22" t="str">
        <f>IF(C315="","",COUNTA($C$4:C315))</f>
        <v/>
      </c>
      <c r="B315" s="23"/>
      <c r="C315" s="57"/>
      <c r="D315" s="36"/>
      <c r="E315" s="31"/>
      <c r="F315" s="31"/>
      <c r="G315" s="56"/>
      <c r="H315" s="26"/>
      <c r="I315" s="26"/>
      <c r="J315" s="26"/>
      <c r="K315" s="26"/>
      <c r="L315" s="41"/>
      <c r="M315" s="36"/>
      <c r="N315" s="26"/>
      <c r="O315" s="26"/>
      <c r="P315" s="42"/>
    </row>
    <row r="316" spans="1:16" x14ac:dyDescent="0.25">
      <c r="A316" s="22" t="str">
        <f>IF(C316="","",COUNTA($C$4:C316))</f>
        <v/>
      </c>
      <c r="B316" s="23"/>
      <c r="C316" s="57"/>
      <c r="D316" s="36"/>
      <c r="E316" s="31"/>
      <c r="F316" s="31"/>
      <c r="G316" s="56"/>
      <c r="H316" s="26"/>
      <c r="I316" s="26"/>
      <c r="J316" s="26"/>
      <c r="K316" s="26"/>
      <c r="L316" s="41"/>
      <c r="M316" s="36"/>
      <c r="N316" s="26"/>
      <c r="O316" s="26"/>
      <c r="P316" s="42"/>
    </row>
    <row r="317" spans="1:16" x14ac:dyDescent="0.25">
      <c r="A317" s="22" t="str">
        <f>IF(C317="","",COUNTA($C$4:C317))</f>
        <v/>
      </c>
      <c r="B317" s="23"/>
      <c r="C317" s="57"/>
      <c r="D317" s="36"/>
      <c r="E317" s="31"/>
      <c r="F317" s="31"/>
      <c r="G317" s="56"/>
      <c r="H317" s="26"/>
      <c r="I317" s="26"/>
      <c r="J317" s="26"/>
      <c r="K317" s="26"/>
      <c r="L317" s="41"/>
      <c r="M317" s="36"/>
      <c r="N317" s="26"/>
      <c r="O317" s="26"/>
      <c r="P317" s="42"/>
    </row>
    <row r="318" spans="1:16" x14ac:dyDescent="0.25">
      <c r="A318" s="22" t="str">
        <f>IF(C318="","",COUNTA($C$4:C318))</f>
        <v/>
      </c>
      <c r="B318" s="23"/>
      <c r="C318" s="57"/>
      <c r="D318" s="36"/>
      <c r="E318" s="31"/>
      <c r="F318" s="31"/>
      <c r="G318" s="56"/>
      <c r="H318" s="26"/>
      <c r="I318" s="26"/>
      <c r="J318" s="26"/>
      <c r="K318" s="26"/>
      <c r="L318" s="41"/>
      <c r="M318" s="36"/>
      <c r="N318" s="26"/>
      <c r="O318" s="26"/>
      <c r="P318" s="42"/>
    </row>
    <row r="319" spans="1:16" x14ac:dyDescent="0.25">
      <c r="A319" s="22" t="str">
        <f>IF(C319="","",COUNTA($C$4:C319))</f>
        <v/>
      </c>
      <c r="B319" s="23"/>
      <c r="C319" s="57"/>
      <c r="D319" s="36"/>
      <c r="E319" s="31"/>
      <c r="F319" s="31"/>
      <c r="G319" s="56"/>
      <c r="H319" s="26"/>
      <c r="I319" s="26"/>
      <c r="J319" s="26"/>
      <c r="K319" s="26"/>
      <c r="L319" s="41"/>
      <c r="M319" s="36"/>
      <c r="N319" s="26"/>
      <c r="O319" s="26"/>
      <c r="P319" s="42"/>
    </row>
    <row r="320" spans="1:16" x14ac:dyDescent="0.25">
      <c r="A320" s="22" t="str">
        <f>IF(C320="","",COUNTA($C$4:C320))</f>
        <v/>
      </c>
      <c r="B320" s="23"/>
      <c r="C320" s="57"/>
      <c r="D320" s="36"/>
      <c r="E320" s="31"/>
      <c r="F320" s="31"/>
      <c r="G320" s="56"/>
      <c r="H320" s="26"/>
      <c r="I320" s="26"/>
      <c r="J320" s="26"/>
      <c r="K320" s="26"/>
      <c r="L320" s="41"/>
      <c r="M320" s="36"/>
      <c r="N320" s="26"/>
      <c r="O320" s="26"/>
      <c r="P320" s="42"/>
    </row>
    <row r="321" spans="1:16" x14ac:dyDescent="0.25">
      <c r="A321" s="22" t="str">
        <f>IF(C321="","",COUNTA($C$4:C321))</f>
        <v/>
      </c>
      <c r="B321" s="23"/>
      <c r="C321" s="57"/>
      <c r="D321" s="36"/>
      <c r="E321" s="31"/>
      <c r="F321" s="31"/>
      <c r="G321" s="56"/>
      <c r="H321" s="26"/>
      <c r="I321" s="26"/>
      <c r="J321" s="26"/>
      <c r="K321" s="26"/>
      <c r="L321" s="41"/>
      <c r="M321" s="36"/>
      <c r="N321" s="26"/>
      <c r="O321" s="26"/>
      <c r="P321" s="42"/>
    </row>
    <row r="322" spans="1:16" x14ac:dyDescent="0.25">
      <c r="A322" s="22" t="str">
        <f>IF(C322="","",COUNTA($C$4:C322))</f>
        <v/>
      </c>
      <c r="B322" s="23"/>
      <c r="C322" s="57"/>
      <c r="D322" s="36"/>
      <c r="E322" s="31"/>
      <c r="F322" s="31"/>
      <c r="G322" s="56"/>
      <c r="H322" s="26"/>
      <c r="I322" s="26"/>
      <c r="J322" s="26"/>
      <c r="K322" s="26"/>
      <c r="L322" s="41"/>
      <c r="M322" s="36"/>
      <c r="N322" s="26"/>
      <c r="O322" s="26"/>
      <c r="P322" s="42"/>
    </row>
    <row r="323" spans="1:16" x14ac:dyDescent="0.25">
      <c r="A323" s="22" t="str">
        <f>IF(C323="","",COUNTA($C$4:C323))</f>
        <v/>
      </c>
      <c r="B323" s="23"/>
      <c r="C323" s="57"/>
      <c r="D323" s="36"/>
      <c r="E323" s="31"/>
      <c r="F323" s="31"/>
      <c r="G323" s="56"/>
      <c r="H323" s="26"/>
      <c r="I323" s="26"/>
      <c r="J323" s="26"/>
      <c r="K323" s="26"/>
      <c r="L323" s="41"/>
      <c r="M323" s="36"/>
      <c r="N323" s="26"/>
      <c r="O323" s="26"/>
      <c r="P323" s="42"/>
    </row>
    <row r="324" spans="1:16" x14ac:dyDescent="0.25">
      <c r="A324" s="22" t="str">
        <f>IF(C324="","",COUNTA($C$4:C324))</f>
        <v/>
      </c>
      <c r="B324" s="23"/>
      <c r="C324" s="57"/>
      <c r="D324" s="36"/>
      <c r="E324" s="31"/>
      <c r="F324" s="31"/>
      <c r="G324" s="56"/>
      <c r="H324" s="26"/>
      <c r="I324" s="26"/>
      <c r="J324" s="26"/>
      <c r="K324" s="26"/>
      <c r="L324" s="41"/>
      <c r="M324" s="36"/>
      <c r="N324" s="26"/>
      <c r="O324" s="26"/>
      <c r="P324" s="42"/>
    </row>
    <row r="325" spans="1:16" x14ac:dyDescent="0.25">
      <c r="A325" s="22" t="str">
        <f>IF(C325="","",COUNTA($C$4:C325))</f>
        <v/>
      </c>
      <c r="B325" s="23"/>
      <c r="C325" s="57"/>
      <c r="D325" s="36"/>
      <c r="E325" s="31"/>
      <c r="F325" s="31"/>
      <c r="G325" s="56"/>
      <c r="H325" s="26"/>
      <c r="I325" s="26"/>
      <c r="J325" s="26"/>
      <c r="K325" s="26"/>
      <c r="L325" s="41"/>
      <c r="M325" s="36"/>
      <c r="N325" s="26"/>
      <c r="O325" s="26"/>
      <c r="P325" s="42"/>
    </row>
    <row r="326" spans="1:16" x14ac:dyDescent="0.25">
      <c r="A326" s="22" t="str">
        <f>IF(C326="","",COUNTA($C$4:C326))</f>
        <v/>
      </c>
      <c r="B326" s="23"/>
      <c r="C326" s="57"/>
      <c r="D326" s="36"/>
      <c r="E326" s="31"/>
      <c r="F326" s="31"/>
      <c r="G326" s="56"/>
      <c r="H326" s="26"/>
      <c r="I326" s="26"/>
      <c r="J326" s="26"/>
      <c r="K326" s="26"/>
      <c r="L326" s="41"/>
      <c r="M326" s="36"/>
      <c r="N326" s="26"/>
      <c r="O326" s="26"/>
      <c r="P326" s="42"/>
    </row>
    <row r="327" spans="1:16" x14ac:dyDescent="0.25">
      <c r="A327" s="22" t="str">
        <f>IF(C327="","",COUNTA($C$4:C327))</f>
        <v/>
      </c>
      <c r="B327" s="23"/>
      <c r="C327" s="57"/>
      <c r="D327" s="36"/>
      <c r="E327" s="31"/>
      <c r="F327" s="31"/>
      <c r="G327" s="56"/>
      <c r="H327" s="26"/>
      <c r="I327" s="26"/>
      <c r="J327" s="26"/>
      <c r="K327" s="26"/>
      <c r="L327" s="41"/>
      <c r="M327" s="36"/>
      <c r="N327" s="26"/>
      <c r="O327" s="26"/>
      <c r="P327" s="42"/>
    </row>
    <row r="328" spans="1:16" x14ac:dyDescent="0.25">
      <c r="A328" s="22" t="str">
        <f>IF(C328="","",COUNTA($C$4:C328))</f>
        <v/>
      </c>
      <c r="B328" s="23"/>
      <c r="C328" s="57"/>
      <c r="D328" s="36"/>
      <c r="E328" s="31"/>
      <c r="F328" s="31"/>
      <c r="G328" s="56"/>
      <c r="H328" s="26"/>
      <c r="I328" s="26"/>
      <c r="J328" s="26"/>
      <c r="K328" s="26"/>
      <c r="L328" s="41"/>
      <c r="M328" s="36"/>
      <c r="N328" s="26"/>
      <c r="O328" s="26"/>
      <c r="P328" s="42"/>
    </row>
    <row r="329" spans="1:16" x14ac:dyDescent="0.25">
      <c r="A329" s="22" t="str">
        <f>IF(C329="","",COUNTA($C$4:C329))</f>
        <v/>
      </c>
      <c r="B329" s="23"/>
      <c r="C329" s="57"/>
      <c r="D329" s="36"/>
      <c r="E329" s="31"/>
      <c r="F329" s="31"/>
      <c r="G329" s="56"/>
      <c r="H329" s="26"/>
      <c r="I329" s="26"/>
      <c r="J329" s="26"/>
      <c r="K329" s="26"/>
      <c r="L329" s="41"/>
      <c r="M329" s="36"/>
      <c r="N329" s="26"/>
      <c r="O329" s="26"/>
      <c r="P329" s="42"/>
    </row>
    <row r="330" spans="1:16" x14ac:dyDescent="0.25">
      <c r="A330" s="22" t="str">
        <f>IF(C330="","",COUNTA($C$4:C330))</f>
        <v/>
      </c>
      <c r="B330" s="23"/>
      <c r="C330" s="57"/>
      <c r="D330" s="36"/>
      <c r="E330" s="31"/>
      <c r="F330" s="31"/>
      <c r="G330" s="56"/>
      <c r="H330" s="26"/>
      <c r="I330" s="26"/>
      <c r="J330" s="26"/>
      <c r="K330" s="26"/>
      <c r="L330" s="41"/>
      <c r="M330" s="36"/>
      <c r="N330" s="26"/>
      <c r="O330" s="26"/>
      <c r="P330" s="42"/>
    </row>
    <row r="331" spans="1:16" x14ac:dyDescent="0.25">
      <c r="A331" s="22" t="str">
        <f>IF(C331="","",COUNTA($C$4:C331))</f>
        <v/>
      </c>
      <c r="B331" s="23"/>
      <c r="C331" s="57"/>
      <c r="D331" s="36"/>
      <c r="E331" s="31"/>
      <c r="F331" s="31"/>
      <c r="G331" s="56"/>
      <c r="H331" s="26"/>
      <c r="I331" s="26"/>
      <c r="J331" s="26"/>
      <c r="K331" s="26"/>
      <c r="L331" s="41"/>
      <c r="M331" s="36"/>
      <c r="N331" s="26"/>
      <c r="O331" s="26"/>
      <c r="P331" s="42"/>
    </row>
    <row r="332" spans="1:16" x14ac:dyDescent="0.25">
      <c r="A332" s="22" t="str">
        <f>IF(C332="","",COUNTA($C$4:C332))</f>
        <v/>
      </c>
      <c r="B332" s="23"/>
      <c r="C332" s="57"/>
      <c r="D332" s="36"/>
      <c r="E332" s="31"/>
      <c r="F332" s="31"/>
      <c r="G332" s="56"/>
      <c r="H332" s="26"/>
      <c r="I332" s="26"/>
      <c r="J332" s="26"/>
      <c r="K332" s="26"/>
      <c r="L332" s="41"/>
      <c r="M332" s="36"/>
      <c r="N332" s="26"/>
      <c r="O332" s="26"/>
      <c r="P332" s="42"/>
    </row>
    <row r="333" spans="1:16" x14ac:dyDescent="0.25">
      <c r="A333" s="22" t="str">
        <f>IF(C333="","",COUNTA($C$4:C333))</f>
        <v/>
      </c>
      <c r="B333" s="23"/>
      <c r="C333" s="57"/>
      <c r="D333" s="36"/>
      <c r="E333" s="31"/>
      <c r="F333" s="31"/>
      <c r="G333" s="56"/>
      <c r="H333" s="26"/>
      <c r="I333" s="26"/>
      <c r="J333" s="26"/>
      <c r="K333" s="26"/>
      <c r="L333" s="41"/>
      <c r="M333" s="36"/>
      <c r="N333" s="26"/>
      <c r="O333" s="26"/>
      <c r="P333" s="42"/>
    </row>
    <row r="334" spans="1:16" x14ac:dyDescent="0.25">
      <c r="A334" s="22" t="str">
        <f>IF(C334="","",COUNTA($C$4:C334))</f>
        <v/>
      </c>
      <c r="B334" s="23"/>
      <c r="C334" s="57"/>
      <c r="D334" s="36"/>
      <c r="E334" s="31"/>
      <c r="F334" s="31"/>
      <c r="G334" s="56"/>
      <c r="H334" s="26"/>
      <c r="I334" s="26"/>
      <c r="J334" s="26"/>
      <c r="K334" s="26"/>
      <c r="L334" s="41"/>
      <c r="M334" s="36"/>
      <c r="N334" s="26"/>
      <c r="O334" s="26"/>
      <c r="P334" s="42"/>
    </row>
    <row r="335" spans="1:16" x14ac:dyDescent="0.25">
      <c r="A335" s="22" t="str">
        <f>IF(C335="","",COUNTA($C$4:C335))</f>
        <v/>
      </c>
      <c r="B335" s="23"/>
      <c r="C335" s="57"/>
      <c r="D335" s="36"/>
      <c r="E335" s="31"/>
      <c r="F335" s="31"/>
      <c r="G335" s="56"/>
      <c r="H335" s="26"/>
      <c r="I335" s="26"/>
      <c r="J335" s="26"/>
      <c r="K335" s="26"/>
      <c r="L335" s="41"/>
      <c r="M335" s="36"/>
      <c r="N335" s="26"/>
      <c r="O335" s="26"/>
      <c r="P335" s="42"/>
    </row>
    <row r="336" spans="1:16" x14ac:dyDescent="0.25">
      <c r="A336" s="22" t="str">
        <f>IF(C336="","",COUNTA($C$4:C336))</f>
        <v/>
      </c>
      <c r="B336" s="23"/>
      <c r="C336" s="57"/>
      <c r="D336" s="36"/>
      <c r="E336" s="31"/>
      <c r="F336" s="31"/>
      <c r="G336" s="56"/>
      <c r="H336" s="26"/>
      <c r="I336" s="26"/>
      <c r="J336" s="26"/>
      <c r="K336" s="26"/>
      <c r="L336" s="41"/>
      <c r="M336" s="36"/>
      <c r="N336" s="26"/>
      <c r="O336" s="26"/>
      <c r="P336" s="42"/>
    </row>
    <row r="337" spans="1:16" x14ac:dyDescent="0.25">
      <c r="A337" s="22" t="str">
        <f>IF(C337="","",COUNTA($C$4:C337))</f>
        <v/>
      </c>
      <c r="B337" s="23"/>
      <c r="C337" s="57"/>
      <c r="D337" s="36"/>
      <c r="E337" s="31"/>
      <c r="F337" s="31"/>
      <c r="G337" s="56"/>
      <c r="H337" s="26"/>
      <c r="I337" s="26"/>
      <c r="J337" s="26"/>
      <c r="K337" s="26"/>
      <c r="L337" s="41"/>
      <c r="M337" s="36"/>
      <c r="N337" s="26"/>
      <c r="O337" s="26"/>
      <c r="P337" s="42"/>
    </row>
    <row r="338" spans="1:16" x14ac:dyDescent="0.25">
      <c r="A338" s="22" t="str">
        <f>IF(C338="","",COUNTA($C$4:C338))</f>
        <v/>
      </c>
      <c r="B338" s="23"/>
      <c r="C338" s="57"/>
      <c r="D338" s="36"/>
      <c r="E338" s="31"/>
      <c r="F338" s="31"/>
      <c r="G338" s="56"/>
      <c r="H338" s="26"/>
      <c r="I338" s="26"/>
      <c r="J338" s="26"/>
      <c r="K338" s="26"/>
      <c r="L338" s="41"/>
      <c r="M338" s="36"/>
      <c r="N338" s="26"/>
      <c r="O338" s="26"/>
      <c r="P338" s="42"/>
    </row>
    <row r="339" spans="1:16" x14ac:dyDescent="0.25">
      <c r="A339" s="22" t="str">
        <f>IF(C339="","",COUNTA($C$4:C339))</f>
        <v/>
      </c>
      <c r="B339" s="23"/>
      <c r="C339" s="57"/>
      <c r="D339" s="36"/>
      <c r="E339" s="31"/>
      <c r="F339" s="31"/>
      <c r="G339" s="56"/>
      <c r="H339" s="26"/>
      <c r="I339" s="26"/>
      <c r="J339" s="26"/>
      <c r="K339" s="26"/>
      <c r="L339" s="41"/>
      <c r="M339" s="36"/>
      <c r="N339" s="26"/>
      <c r="O339" s="26"/>
      <c r="P339" s="42"/>
    </row>
    <row r="340" spans="1:16" x14ac:dyDescent="0.25">
      <c r="A340" s="22" t="str">
        <f>IF(C340="","",COUNTA($C$4:C340))</f>
        <v/>
      </c>
      <c r="B340" s="23"/>
      <c r="C340" s="57"/>
      <c r="D340" s="36"/>
      <c r="E340" s="31"/>
      <c r="F340" s="31"/>
      <c r="G340" s="56"/>
      <c r="H340" s="26"/>
      <c r="I340" s="26"/>
      <c r="J340" s="26"/>
      <c r="K340" s="26"/>
      <c r="L340" s="41"/>
      <c r="M340" s="36"/>
      <c r="N340" s="26"/>
      <c r="O340" s="26"/>
      <c r="P340" s="42"/>
    </row>
    <row r="341" spans="1:16" x14ac:dyDescent="0.25">
      <c r="A341" s="22" t="str">
        <f>IF(C341="","",COUNTA($C$4:C341))</f>
        <v/>
      </c>
      <c r="B341" s="23"/>
      <c r="C341" s="57"/>
      <c r="D341" s="36"/>
      <c r="E341" s="31"/>
      <c r="F341" s="31"/>
      <c r="G341" s="56"/>
      <c r="H341" s="26"/>
      <c r="I341" s="26"/>
      <c r="J341" s="26"/>
      <c r="K341" s="26"/>
      <c r="L341" s="41"/>
      <c r="M341" s="36"/>
      <c r="N341" s="26"/>
      <c r="O341" s="26"/>
      <c r="P341" s="42"/>
    </row>
    <row r="342" spans="1:16" x14ac:dyDescent="0.25">
      <c r="A342" s="22" t="str">
        <f>IF(C342="","",COUNTA($C$4:C342))</f>
        <v/>
      </c>
      <c r="B342" s="23"/>
      <c r="C342" s="57"/>
      <c r="D342" s="36"/>
      <c r="E342" s="31"/>
      <c r="F342" s="31"/>
      <c r="G342" s="56"/>
      <c r="H342" s="26"/>
      <c r="I342" s="26"/>
      <c r="J342" s="26"/>
      <c r="K342" s="26"/>
      <c r="L342" s="41"/>
      <c r="M342" s="36"/>
      <c r="N342" s="26"/>
      <c r="O342" s="26"/>
      <c r="P342" s="42"/>
    </row>
    <row r="343" spans="1:16" x14ac:dyDescent="0.25">
      <c r="A343" s="22" t="str">
        <f>IF(C343="","",COUNTA($C$4:C343))</f>
        <v/>
      </c>
      <c r="B343" s="23"/>
      <c r="C343" s="57"/>
      <c r="D343" s="36"/>
      <c r="E343" s="31"/>
      <c r="F343" s="31"/>
      <c r="G343" s="56"/>
      <c r="H343" s="26"/>
      <c r="I343" s="26"/>
      <c r="J343" s="26"/>
      <c r="K343" s="26"/>
      <c r="L343" s="41"/>
      <c r="M343" s="36"/>
      <c r="N343" s="26"/>
      <c r="O343" s="26"/>
      <c r="P343" s="42"/>
    </row>
    <row r="344" spans="1:16" x14ac:dyDescent="0.25">
      <c r="A344" s="22" t="str">
        <f>IF(C344="","",COUNTA($C$4:C344))</f>
        <v/>
      </c>
      <c r="B344" s="23"/>
      <c r="C344" s="57"/>
      <c r="D344" s="36"/>
      <c r="E344" s="31"/>
      <c r="F344" s="31"/>
      <c r="G344" s="56"/>
      <c r="H344" s="26"/>
      <c r="I344" s="26"/>
      <c r="J344" s="26"/>
      <c r="K344" s="26"/>
      <c r="L344" s="41"/>
      <c r="M344" s="36"/>
      <c r="N344" s="26"/>
      <c r="O344" s="26"/>
      <c r="P344" s="42"/>
    </row>
    <row r="345" spans="1:16" x14ac:dyDescent="0.25">
      <c r="A345" s="22" t="str">
        <f>IF(C345="","",COUNTA($C$4:C345))</f>
        <v/>
      </c>
      <c r="B345" s="23"/>
      <c r="C345" s="57"/>
      <c r="D345" s="36"/>
      <c r="E345" s="31"/>
      <c r="F345" s="31"/>
      <c r="G345" s="56"/>
      <c r="H345" s="26"/>
      <c r="I345" s="26"/>
      <c r="J345" s="26"/>
      <c r="K345" s="26"/>
      <c r="L345" s="41"/>
      <c r="M345" s="36"/>
      <c r="N345" s="26"/>
      <c r="O345" s="26"/>
      <c r="P345" s="42"/>
    </row>
    <row r="346" spans="1:16" x14ac:dyDescent="0.25">
      <c r="A346" s="22" t="str">
        <f>IF(C346="","",COUNTA($C$4:C346))</f>
        <v/>
      </c>
      <c r="B346" s="23"/>
      <c r="C346" s="57"/>
      <c r="D346" s="36"/>
      <c r="E346" s="31"/>
      <c r="F346" s="31"/>
      <c r="G346" s="56"/>
      <c r="H346" s="26"/>
      <c r="I346" s="26"/>
      <c r="J346" s="26"/>
      <c r="K346" s="26"/>
      <c r="L346" s="41"/>
      <c r="M346" s="36"/>
      <c r="N346" s="26"/>
      <c r="O346" s="26"/>
      <c r="P346" s="42"/>
    </row>
    <row r="347" spans="1:16" x14ac:dyDescent="0.25">
      <c r="A347" s="22" t="str">
        <f>IF(C347="","",COUNTA($C$4:C347))</f>
        <v/>
      </c>
      <c r="B347" s="23"/>
      <c r="C347" s="57"/>
      <c r="D347" s="36"/>
      <c r="E347" s="31"/>
      <c r="F347" s="31"/>
      <c r="G347" s="56"/>
      <c r="H347" s="26"/>
      <c r="I347" s="26"/>
      <c r="J347" s="26"/>
      <c r="K347" s="26"/>
      <c r="L347" s="41"/>
      <c r="M347" s="36"/>
      <c r="N347" s="26"/>
      <c r="O347" s="26"/>
      <c r="P347" s="42"/>
    </row>
    <row r="348" spans="1:16" x14ac:dyDescent="0.25">
      <c r="A348" s="22" t="str">
        <f>IF(C348="","",COUNTA($C$4:C348))</f>
        <v/>
      </c>
      <c r="B348" s="23"/>
      <c r="C348" s="57"/>
      <c r="D348" s="36"/>
      <c r="E348" s="31"/>
      <c r="F348" s="31"/>
      <c r="G348" s="56"/>
      <c r="H348" s="26"/>
      <c r="I348" s="26"/>
      <c r="J348" s="26"/>
      <c r="K348" s="26"/>
      <c r="L348" s="41"/>
      <c r="M348" s="36"/>
      <c r="N348" s="26"/>
      <c r="O348" s="26"/>
      <c r="P348" s="42"/>
    </row>
    <row r="349" spans="1:16" x14ac:dyDescent="0.25">
      <c r="A349" s="22" t="str">
        <f>IF(C349="","",COUNTA($C$4:C349))</f>
        <v/>
      </c>
      <c r="B349" s="23"/>
      <c r="C349" s="57"/>
      <c r="D349" s="36"/>
      <c r="E349" s="31"/>
      <c r="F349" s="31"/>
      <c r="G349" s="56"/>
      <c r="H349" s="26"/>
      <c r="I349" s="26"/>
      <c r="J349" s="26"/>
      <c r="K349" s="26"/>
      <c r="L349" s="41"/>
      <c r="M349" s="36"/>
      <c r="N349" s="26"/>
      <c r="O349" s="26"/>
      <c r="P349" s="42"/>
    </row>
    <row r="350" spans="1:16" x14ac:dyDescent="0.25">
      <c r="A350" s="22"/>
      <c r="B350" s="23"/>
      <c r="C350" s="57"/>
      <c r="D350" s="36"/>
      <c r="E350" s="31"/>
      <c r="F350" s="31"/>
      <c r="G350" s="56"/>
      <c r="H350" s="26"/>
      <c r="I350" s="26"/>
      <c r="J350" s="26"/>
      <c r="K350" s="26"/>
      <c r="L350" s="41"/>
      <c r="M350" s="36"/>
      <c r="N350" s="26"/>
      <c r="O350" s="26"/>
      <c r="P350" s="42"/>
    </row>
    <row r="351" spans="1:16" x14ac:dyDescent="0.25">
      <c r="A351" s="22"/>
      <c r="B351" s="23"/>
      <c r="C351" s="57"/>
      <c r="D351" s="36"/>
      <c r="E351" s="31"/>
      <c r="F351" s="31"/>
      <c r="G351" s="56"/>
      <c r="H351" s="26"/>
      <c r="I351" s="26"/>
      <c r="J351" s="26"/>
      <c r="K351" s="26"/>
      <c r="L351" s="41"/>
      <c r="M351" s="36"/>
      <c r="N351" s="26"/>
      <c r="O351" s="26"/>
      <c r="P351" s="42"/>
    </row>
    <row r="352" spans="1:16" x14ac:dyDescent="0.25">
      <c r="A352" s="22"/>
      <c r="B352" s="23"/>
      <c r="C352" s="57"/>
      <c r="D352" s="36"/>
      <c r="E352" s="31"/>
      <c r="F352" s="31"/>
      <c r="G352" s="56"/>
      <c r="H352" s="26"/>
      <c r="I352" s="26"/>
      <c r="J352" s="26"/>
      <c r="K352" s="26"/>
      <c r="L352" s="41"/>
      <c r="M352" s="36"/>
      <c r="N352" s="26"/>
      <c r="O352" s="26"/>
      <c r="P352" s="42"/>
    </row>
    <row r="353" spans="1:16" x14ac:dyDescent="0.25">
      <c r="A353" s="22"/>
      <c r="B353" s="23"/>
      <c r="C353" s="57"/>
      <c r="D353" s="36"/>
      <c r="E353" s="31"/>
      <c r="F353" s="31"/>
      <c r="G353" s="56"/>
      <c r="H353" s="26"/>
      <c r="I353" s="26"/>
      <c r="J353" s="26"/>
      <c r="K353" s="26"/>
      <c r="L353" s="41"/>
      <c r="M353" s="36"/>
      <c r="N353" s="26"/>
      <c r="O353" s="26"/>
      <c r="P353" s="42"/>
    </row>
    <row r="354" spans="1:16" x14ac:dyDescent="0.25">
      <c r="A354" s="22"/>
      <c r="B354" s="23"/>
      <c r="C354" s="57"/>
      <c r="D354" s="36"/>
      <c r="E354" s="31"/>
      <c r="F354" s="31"/>
      <c r="G354" s="56"/>
      <c r="H354" s="26"/>
      <c r="I354" s="26"/>
      <c r="J354" s="26"/>
      <c r="K354" s="26"/>
      <c r="L354" s="41"/>
      <c r="M354" s="36"/>
      <c r="N354" s="26"/>
      <c r="O354" s="26"/>
      <c r="P354" s="42"/>
    </row>
    <row r="355" spans="1:16" x14ac:dyDescent="0.25">
      <c r="A355" s="22"/>
      <c r="B355" s="23"/>
      <c r="C355" s="57"/>
      <c r="D355" s="36"/>
      <c r="E355" s="31"/>
      <c r="F355" s="31"/>
      <c r="G355" s="56"/>
      <c r="H355" s="26"/>
      <c r="I355" s="26"/>
      <c r="J355" s="26"/>
      <c r="K355" s="26"/>
      <c r="L355" s="41"/>
      <c r="M355" s="36"/>
      <c r="N355" s="26"/>
      <c r="O355" s="26"/>
      <c r="P355" s="42"/>
    </row>
    <row r="356" spans="1:16" x14ac:dyDescent="0.25">
      <c r="A356" s="22"/>
      <c r="B356" s="23"/>
      <c r="C356" s="57"/>
      <c r="D356" s="36"/>
      <c r="E356" s="31"/>
      <c r="F356" s="31"/>
      <c r="G356" s="56"/>
      <c r="H356" s="26"/>
      <c r="I356" s="26"/>
      <c r="J356" s="26"/>
      <c r="K356" s="26"/>
      <c r="L356" s="41"/>
      <c r="M356" s="36"/>
      <c r="N356" s="26"/>
      <c r="O356" s="26"/>
      <c r="P356" s="42"/>
    </row>
    <row r="357" spans="1:16" x14ac:dyDescent="0.25">
      <c r="A357" s="22"/>
      <c r="B357" s="23"/>
      <c r="C357" s="57"/>
      <c r="D357" s="36"/>
      <c r="E357" s="31"/>
      <c r="F357" s="31"/>
      <c r="G357" s="56"/>
      <c r="H357" s="26"/>
      <c r="I357" s="26"/>
      <c r="J357" s="26"/>
      <c r="K357" s="26"/>
      <c r="L357" s="41"/>
      <c r="M357" s="36"/>
      <c r="N357" s="26"/>
      <c r="O357" s="26"/>
      <c r="P357" s="42"/>
    </row>
    <row r="358" spans="1:16" x14ac:dyDescent="0.25">
      <c r="A358" s="22"/>
      <c r="B358" s="23"/>
      <c r="C358" s="57"/>
      <c r="D358" s="36"/>
      <c r="E358" s="31"/>
      <c r="F358" s="31"/>
      <c r="G358" s="56"/>
      <c r="H358" s="26"/>
      <c r="I358" s="26"/>
      <c r="J358" s="26"/>
      <c r="K358" s="26"/>
      <c r="L358" s="41"/>
      <c r="M358" s="36"/>
      <c r="N358" s="26"/>
      <c r="O358" s="26"/>
      <c r="P358" s="42"/>
    </row>
    <row r="359" spans="1:16" x14ac:dyDescent="0.25">
      <c r="A359" s="22"/>
      <c r="B359" s="23"/>
      <c r="C359" s="57"/>
      <c r="D359" s="36"/>
      <c r="E359" s="31"/>
      <c r="F359" s="31"/>
      <c r="G359" s="56"/>
      <c r="H359" s="26"/>
      <c r="I359" s="26"/>
      <c r="J359" s="26"/>
      <c r="K359" s="26"/>
      <c r="L359" s="41"/>
      <c r="M359" s="36"/>
      <c r="N359" s="26"/>
      <c r="O359" s="26"/>
      <c r="P359" s="42"/>
    </row>
    <row r="360" spans="1:16" x14ac:dyDescent="0.25">
      <c r="A360" s="22"/>
      <c r="B360" s="23"/>
      <c r="C360" s="57"/>
      <c r="D360" s="36"/>
      <c r="E360" s="31"/>
      <c r="F360" s="31"/>
      <c r="G360" s="56"/>
      <c r="H360" s="26"/>
      <c r="I360" s="26"/>
      <c r="J360" s="26"/>
      <c r="K360" s="26"/>
      <c r="L360" s="41"/>
      <c r="M360" s="36"/>
      <c r="N360" s="26"/>
      <c r="O360" s="26"/>
      <c r="P360" s="42"/>
    </row>
    <row r="361" spans="1:16" x14ac:dyDescent="0.25">
      <c r="A361" s="22"/>
      <c r="B361" s="23"/>
      <c r="C361" s="57"/>
      <c r="D361" s="36"/>
      <c r="E361" s="31"/>
      <c r="F361" s="31"/>
      <c r="G361" s="56"/>
      <c r="H361" s="26"/>
      <c r="I361" s="26"/>
      <c r="J361" s="26"/>
      <c r="K361" s="26"/>
      <c r="L361" s="41"/>
      <c r="M361" s="36"/>
      <c r="N361" s="26"/>
      <c r="O361" s="26"/>
      <c r="P361" s="42"/>
    </row>
    <row r="362" spans="1:16" x14ac:dyDescent="0.25">
      <c r="A362" s="22"/>
      <c r="B362" s="23"/>
      <c r="C362" s="57"/>
      <c r="D362" s="36"/>
      <c r="E362" s="31"/>
      <c r="F362" s="31"/>
      <c r="G362" s="56"/>
      <c r="H362" s="26"/>
      <c r="I362" s="26"/>
      <c r="J362" s="26"/>
      <c r="K362" s="26"/>
      <c r="L362" s="41"/>
      <c r="M362" s="36"/>
      <c r="N362" s="26"/>
      <c r="O362" s="26"/>
      <c r="P362" s="42"/>
    </row>
    <row r="363" spans="1:16" x14ac:dyDescent="0.25">
      <c r="A363" s="22"/>
      <c r="B363" s="23"/>
      <c r="C363" s="57"/>
      <c r="D363" s="36"/>
      <c r="E363" s="31"/>
      <c r="F363" s="31"/>
      <c r="G363" s="56"/>
      <c r="H363" s="26"/>
      <c r="I363" s="26"/>
      <c r="J363" s="26"/>
      <c r="K363" s="26"/>
      <c r="L363" s="41"/>
      <c r="M363" s="36"/>
      <c r="N363" s="26"/>
      <c r="O363" s="26"/>
      <c r="P363" s="42"/>
    </row>
    <row r="364" spans="1:16" x14ac:dyDescent="0.25">
      <c r="A364" s="22"/>
      <c r="B364" s="23"/>
      <c r="C364" s="57"/>
      <c r="D364" s="36"/>
      <c r="E364" s="31"/>
      <c r="F364" s="31"/>
      <c r="G364" s="56"/>
      <c r="H364" s="26"/>
      <c r="I364" s="26"/>
      <c r="J364" s="26"/>
      <c r="K364" s="26"/>
      <c r="L364" s="41"/>
      <c r="M364" s="36"/>
      <c r="N364" s="26"/>
      <c r="O364" s="26"/>
      <c r="P364" s="42"/>
    </row>
    <row r="365" spans="1:16" x14ac:dyDescent="0.25">
      <c r="A365" s="22"/>
      <c r="B365" s="23"/>
      <c r="C365" s="57"/>
      <c r="D365" s="36"/>
      <c r="E365" s="31"/>
      <c r="F365" s="31"/>
      <c r="G365" s="56"/>
      <c r="H365" s="26"/>
      <c r="I365" s="26"/>
      <c r="J365" s="26"/>
      <c r="K365" s="26"/>
      <c r="L365" s="41"/>
      <c r="M365" s="36"/>
      <c r="N365" s="26"/>
      <c r="O365" s="26"/>
      <c r="P365" s="42"/>
    </row>
    <row r="366" spans="1:16" x14ac:dyDescent="0.25">
      <c r="A366" s="22"/>
      <c r="B366" s="23"/>
      <c r="C366" s="57"/>
      <c r="D366" s="36"/>
      <c r="E366" s="31"/>
      <c r="F366" s="31"/>
      <c r="G366" s="56"/>
      <c r="H366" s="26"/>
      <c r="I366" s="26"/>
      <c r="J366" s="26"/>
      <c r="K366" s="26"/>
      <c r="L366" s="41"/>
      <c r="M366" s="36"/>
      <c r="N366" s="26"/>
      <c r="O366" s="26"/>
      <c r="P366" s="42"/>
    </row>
    <row r="367" spans="1:16" x14ac:dyDescent="0.25">
      <c r="A367" s="22"/>
      <c r="B367" s="23"/>
      <c r="C367" s="57"/>
      <c r="D367" s="36"/>
      <c r="E367" s="31"/>
      <c r="F367" s="31"/>
      <c r="G367" s="56"/>
      <c r="H367" s="26"/>
      <c r="I367" s="26"/>
      <c r="J367" s="26"/>
      <c r="K367" s="26"/>
      <c r="L367" s="41"/>
      <c r="M367" s="36"/>
      <c r="N367" s="26"/>
      <c r="O367" s="26"/>
      <c r="P367" s="42"/>
    </row>
    <row r="368" spans="1:16" x14ac:dyDescent="0.25">
      <c r="A368" s="22"/>
      <c r="B368" s="23"/>
      <c r="C368" s="57"/>
      <c r="D368" s="36"/>
      <c r="E368" s="31"/>
      <c r="F368" s="31"/>
      <c r="G368" s="56"/>
      <c r="H368" s="26"/>
      <c r="I368" s="26"/>
      <c r="J368" s="26"/>
      <c r="K368" s="26"/>
      <c r="L368" s="41"/>
      <c r="M368" s="36"/>
      <c r="N368" s="26"/>
      <c r="O368" s="26"/>
      <c r="P368" s="42"/>
    </row>
    <row r="369" spans="1:16" x14ac:dyDescent="0.25">
      <c r="A369" s="22"/>
      <c r="B369" s="23"/>
      <c r="C369" s="57"/>
      <c r="D369" s="36"/>
      <c r="E369" s="31"/>
      <c r="F369" s="31"/>
      <c r="G369" s="56"/>
      <c r="H369" s="26"/>
      <c r="I369" s="26"/>
      <c r="J369" s="26"/>
      <c r="K369" s="26"/>
      <c r="L369" s="41"/>
      <c r="M369" s="36"/>
      <c r="N369" s="26"/>
      <c r="O369" s="26"/>
      <c r="P369" s="42"/>
    </row>
    <row r="370" spans="1:16" x14ac:dyDescent="0.25">
      <c r="A370" s="22"/>
      <c r="B370" s="23"/>
      <c r="C370" s="57"/>
      <c r="D370" s="36"/>
      <c r="E370" s="31"/>
      <c r="F370" s="31"/>
      <c r="G370" s="56"/>
      <c r="H370" s="26"/>
      <c r="I370" s="26"/>
      <c r="J370" s="26"/>
      <c r="K370" s="26"/>
      <c r="L370" s="41"/>
      <c r="M370" s="36"/>
      <c r="N370" s="26"/>
      <c r="O370" s="26"/>
      <c r="P370" s="42"/>
    </row>
    <row r="371" spans="1:16" x14ac:dyDescent="0.25">
      <c r="A371" s="22"/>
      <c r="B371" s="23"/>
      <c r="C371" s="57"/>
      <c r="D371" s="36"/>
      <c r="E371" s="31"/>
      <c r="F371" s="31"/>
      <c r="G371" s="56"/>
      <c r="H371" s="26"/>
      <c r="I371" s="26"/>
      <c r="J371" s="26"/>
      <c r="K371" s="26"/>
      <c r="L371" s="41"/>
      <c r="M371" s="36"/>
      <c r="N371" s="26"/>
      <c r="O371" s="26"/>
      <c r="P371" s="42"/>
    </row>
    <row r="372" spans="1:16" x14ac:dyDescent="0.25">
      <c r="A372" s="22"/>
      <c r="B372" s="23"/>
      <c r="C372" s="57"/>
      <c r="D372" s="36"/>
      <c r="E372" s="31"/>
      <c r="F372" s="31"/>
      <c r="G372" s="56"/>
      <c r="H372" s="26"/>
      <c r="I372" s="26"/>
      <c r="J372" s="26"/>
      <c r="K372" s="26"/>
      <c r="L372" s="41"/>
      <c r="M372" s="36"/>
      <c r="N372" s="26"/>
      <c r="O372" s="26"/>
      <c r="P372" s="42"/>
    </row>
    <row r="373" spans="1:16" x14ac:dyDescent="0.25">
      <c r="A373" s="22"/>
      <c r="B373" s="23"/>
      <c r="C373" s="57"/>
      <c r="D373" s="36"/>
      <c r="E373" s="31"/>
      <c r="F373" s="31"/>
      <c r="G373" s="56"/>
      <c r="H373" s="26"/>
      <c r="I373" s="26"/>
      <c r="J373" s="26"/>
      <c r="K373" s="26"/>
      <c r="L373" s="41"/>
      <c r="M373" s="36"/>
      <c r="N373" s="26"/>
      <c r="O373" s="26"/>
      <c r="P373" s="42"/>
    </row>
    <row r="374" spans="1:16" x14ac:dyDescent="0.25">
      <c r="A374" s="22"/>
      <c r="B374" s="23"/>
      <c r="C374" s="57"/>
      <c r="D374" s="36"/>
      <c r="E374" s="31"/>
      <c r="F374" s="31"/>
      <c r="G374" s="56"/>
      <c r="H374" s="26"/>
      <c r="I374" s="26"/>
      <c r="J374" s="26"/>
      <c r="K374" s="26"/>
      <c r="L374" s="41"/>
      <c r="M374" s="36"/>
      <c r="N374" s="26"/>
      <c r="O374" s="26"/>
      <c r="P374" s="42"/>
    </row>
    <row r="375" spans="1:16" x14ac:dyDescent="0.25">
      <c r="A375" s="22"/>
      <c r="B375" s="23"/>
      <c r="C375" s="57"/>
      <c r="D375" s="36"/>
      <c r="E375" s="31"/>
      <c r="F375" s="31"/>
      <c r="G375" s="56"/>
      <c r="H375" s="26"/>
      <c r="I375" s="26"/>
      <c r="J375" s="26"/>
      <c r="K375" s="26"/>
      <c r="L375" s="41"/>
      <c r="M375" s="36"/>
      <c r="N375" s="26"/>
      <c r="O375" s="26"/>
      <c r="P375" s="42"/>
    </row>
    <row r="376" spans="1:16" x14ac:dyDescent="0.25">
      <c r="A376" s="22"/>
      <c r="B376" s="23"/>
      <c r="C376" s="57"/>
      <c r="D376" s="36"/>
      <c r="E376" s="31"/>
      <c r="F376" s="31"/>
      <c r="G376" s="56"/>
      <c r="H376" s="26"/>
      <c r="I376" s="26"/>
      <c r="J376" s="26"/>
      <c r="K376" s="26"/>
      <c r="L376" s="41"/>
      <c r="M376" s="36"/>
      <c r="N376" s="26"/>
      <c r="O376" s="26"/>
      <c r="P376" s="42"/>
    </row>
    <row r="377" spans="1:16" x14ac:dyDescent="0.25">
      <c r="A377" s="22"/>
      <c r="B377" s="23"/>
      <c r="C377" s="57"/>
      <c r="D377" s="36"/>
      <c r="E377" s="31"/>
      <c r="F377" s="31"/>
      <c r="G377" s="56"/>
      <c r="H377" s="26"/>
      <c r="I377" s="26"/>
      <c r="J377" s="26"/>
      <c r="K377" s="26"/>
      <c r="L377" s="41"/>
      <c r="M377" s="36"/>
      <c r="N377" s="26"/>
      <c r="O377" s="26"/>
      <c r="P377" s="42"/>
    </row>
    <row r="378" spans="1:16" x14ac:dyDescent="0.25">
      <c r="A378" s="22"/>
      <c r="B378" s="23"/>
      <c r="C378" s="57"/>
      <c r="D378" s="36"/>
      <c r="E378" s="31"/>
      <c r="F378" s="31"/>
      <c r="G378" s="56"/>
      <c r="H378" s="26"/>
      <c r="I378" s="26"/>
      <c r="J378" s="26"/>
      <c r="K378" s="26"/>
      <c r="L378" s="41"/>
      <c r="M378" s="36"/>
      <c r="N378" s="26"/>
      <c r="O378" s="26"/>
      <c r="P378" s="42"/>
    </row>
    <row r="379" spans="1:16" x14ac:dyDescent="0.25">
      <c r="A379" s="22"/>
      <c r="B379" s="23"/>
      <c r="C379" s="57"/>
      <c r="D379" s="36"/>
      <c r="E379" s="31"/>
      <c r="F379" s="31"/>
      <c r="G379" s="56"/>
      <c r="H379" s="26"/>
      <c r="I379" s="26"/>
      <c r="J379" s="26"/>
      <c r="K379" s="26"/>
      <c r="L379" s="41"/>
      <c r="M379" s="36"/>
      <c r="N379" s="26"/>
      <c r="O379" s="26"/>
      <c r="P379" s="42"/>
    </row>
    <row r="380" spans="1:16" x14ac:dyDescent="0.25">
      <c r="A380" s="22"/>
      <c r="B380" s="23"/>
      <c r="C380" s="57"/>
      <c r="D380" s="36"/>
      <c r="E380" s="31"/>
      <c r="F380" s="31"/>
      <c r="G380" s="56"/>
      <c r="H380" s="26"/>
      <c r="I380" s="26"/>
      <c r="J380" s="26"/>
      <c r="K380" s="26"/>
      <c r="L380" s="41"/>
      <c r="M380" s="36"/>
      <c r="N380" s="26"/>
      <c r="O380" s="26"/>
      <c r="P380" s="42"/>
    </row>
    <row r="381" spans="1:16" x14ac:dyDescent="0.25">
      <c r="A381" s="22"/>
      <c r="B381" s="23"/>
      <c r="C381" s="57"/>
      <c r="D381" s="36"/>
      <c r="E381" s="31"/>
      <c r="F381" s="31"/>
      <c r="G381" s="56"/>
      <c r="H381" s="26"/>
      <c r="I381" s="26"/>
      <c r="J381" s="26"/>
      <c r="K381" s="26"/>
      <c r="L381" s="41"/>
      <c r="M381" s="36"/>
      <c r="N381" s="26"/>
      <c r="O381" s="26"/>
      <c r="P381" s="42"/>
    </row>
    <row r="382" spans="1:16" x14ac:dyDescent="0.25">
      <c r="A382" s="22"/>
      <c r="B382" s="23"/>
      <c r="C382" s="57"/>
      <c r="D382" s="36"/>
      <c r="E382" s="31"/>
      <c r="F382" s="31"/>
      <c r="G382" s="56"/>
      <c r="H382" s="26"/>
      <c r="I382" s="26"/>
      <c r="J382" s="26"/>
      <c r="K382" s="26"/>
      <c r="L382" s="41"/>
      <c r="M382" s="36"/>
      <c r="N382" s="26"/>
      <c r="O382" s="26"/>
      <c r="P382" s="42"/>
    </row>
    <row r="383" spans="1:16" x14ac:dyDescent="0.25">
      <c r="A383" s="22"/>
      <c r="B383" s="23"/>
      <c r="C383" s="57"/>
      <c r="D383" s="36"/>
      <c r="E383" s="31"/>
      <c r="F383" s="31"/>
      <c r="G383" s="56"/>
      <c r="H383" s="26"/>
      <c r="I383" s="26"/>
      <c r="J383" s="26"/>
      <c r="K383" s="26"/>
      <c r="L383" s="41"/>
      <c r="M383" s="36"/>
      <c r="N383" s="26"/>
      <c r="O383" s="26"/>
      <c r="P383" s="42"/>
    </row>
    <row r="384" spans="1:16" x14ac:dyDescent="0.25">
      <c r="A384" s="22"/>
      <c r="B384" s="23"/>
      <c r="C384" s="57"/>
      <c r="D384" s="36"/>
      <c r="E384" s="31"/>
      <c r="F384" s="31"/>
      <c r="G384" s="56"/>
      <c r="H384" s="26"/>
      <c r="I384" s="26"/>
      <c r="J384" s="26"/>
      <c r="K384" s="26"/>
      <c r="L384" s="41"/>
      <c r="M384" s="36"/>
      <c r="N384" s="26"/>
      <c r="O384" s="26"/>
      <c r="P384" s="42"/>
    </row>
    <row r="385" spans="1:16" x14ac:dyDescent="0.25">
      <c r="A385" s="22"/>
      <c r="B385" s="23"/>
      <c r="C385" s="57"/>
      <c r="D385" s="36"/>
      <c r="E385" s="31"/>
      <c r="F385" s="31"/>
      <c r="G385" s="56"/>
      <c r="H385" s="26"/>
      <c r="I385" s="26"/>
      <c r="J385" s="26"/>
      <c r="K385" s="26"/>
      <c r="L385" s="41"/>
      <c r="M385" s="36"/>
      <c r="N385" s="26"/>
      <c r="O385" s="26"/>
      <c r="P385" s="42"/>
    </row>
    <row r="386" spans="1:16" x14ac:dyDescent="0.25">
      <c r="A386" s="22"/>
      <c r="B386" s="23"/>
      <c r="C386" s="57"/>
      <c r="D386" s="36"/>
      <c r="E386" s="31"/>
      <c r="F386" s="31"/>
      <c r="G386" s="56"/>
      <c r="H386" s="26"/>
      <c r="I386" s="26"/>
      <c r="J386" s="26"/>
      <c r="K386" s="26"/>
      <c r="L386" s="41"/>
      <c r="M386" s="36"/>
      <c r="N386" s="26"/>
      <c r="O386" s="26"/>
      <c r="P386" s="42"/>
    </row>
    <row r="387" spans="1:16" x14ac:dyDescent="0.25">
      <c r="A387" s="22"/>
      <c r="B387" s="23"/>
      <c r="C387" s="57"/>
      <c r="D387" s="36"/>
      <c r="E387" s="31"/>
      <c r="F387" s="31"/>
      <c r="G387" s="56"/>
      <c r="H387" s="26"/>
      <c r="I387" s="26"/>
      <c r="J387" s="26"/>
      <c r="K387" s="26"/>
      <c r="L387" s="41"/>
      <c r="M387" s="36"/>
      <c r="N387" s="26"/>
      <c r="O387" s="26"/>
      <c r="P387" s="42"/>
    </row>
    <row r="388" spans="1:16" x14ac:dyDescent="0.25">
      <c r="A388" s="22"/>
      <c r="B388" s="23"/>
      <c r="C388" s="57"/>
      <c r="D388" s="36"/>
      <c r="E388" s="31"/>
      <c r="F388" s="31"/>
      <c r="G388" s="56"/>
      <c r="H388" s="26"/>
      <c r="I388" s="26"/>
      <c r="J388" s="26"/>
      <c r="K388" s="26"/>
      <c r="L388" s="41"/>
      <c r="M388" s="36"/>
      <c r="N388" s="26"/>
      <c r="O388" s="26"/>
      <c r="P388" s="42"/>
    </row>
    <row r="389" spans="1:16" x14ac:dyDescent="0.25">
      <c r="A389" s="22"/>
      <c r="B389" s="23"/>
      <c r="C389" s="57"/>
      <c r="D389" s="36"/>
      <c r="E389" s="31"/>
      <c r="F389" s="31"/>
      <c r="G389" s="56"/>
      <c r="H389" s="26"/>
      <c r="I389" s="26"/>
      <c r="J389" s="26"/>
      <c r="K389" s="26"/>
      <c r="L389" s="41"/>
      <c r="M389" s="36"/>
      <c r="N389" s="26"/>
      <c r="O389" s="26"/>
      <c r="P389" s="42"/>
    </row>
    <row r="390" spans="1:16" x14ac:dyDescent="0.25">
      <c r="A390" s="22"/>
      <c r="B390" s="23"/>
      <c r="C390" s="57"/>
      <c r="D390" s="36"/>
      <c r="E390" s="31"/>
      <c r="F390" s="31"/>
      <c r="G390" s="56"/>
      <c r="H390" s="26"/>
      <c r="I390" s="26"/>
      <c r="J390" s="26"/>
      <c r="K390" s="26"/>
      <c r="L390" s="41"/>
      <c r="M390" s="36"/>
      <c r="N390" s="26"/>
      <c r="O390" s="26"/>
      <c r="P390" s="42"/>
    </row>
    <row r="391" spans="1:16" x14ac:dyDescent="0.25">
      <c r="A391" s="22"/>
      <c r="B391" s="23"/>
      <c r="C391" s="57"/>
      <c r="D391" s="36"/>
      <c r="E391" s="31"/>
      <c r="F391" s="31"/>
      <c r="G391" s="56"/>
      <c r="H391" s="26"/>
      <c r="I391" s="26"/>
      <c r="J391" s="26"/>
      <c r="K391" s="26"/>
      <c r="L391" s="41"/>
      <c r="M391" s="36"/>
      <c r="N391" s="26"/>
      <c r="O391" s="26"/>
      <c r="P391" s="42"/>
    </row>
    <row r="392" spans="1:16" x14ac:dyDescent="0.25">
      <c r="A392" s="22"/>
      <c r="B392" s="23"/>
      <c r="C392" s="57"/>
      <c r="D392" s="36"/>
      <c r="E392" s="31"/>
      <c r="F392" s="31"/>
      <c r="G392" s="56"/>
      <c r="H392" s="26"/>
      <c r="I392" s="26"/>
      <c r="J392" s="26"/>
      <c r="K392" s="26"/>
      <c r="L392" s="41"/>
      <c r="M392" s="36"/>
      <c r="N392" s="26"/>
      <c r="O392" s="26"/>
      <c r="P392" s="42"/>
    </row>
    <row r="393" spans="1:16" x14ac:dyDescent="0.25">
      <c r="A393" s="22"/>
      <c r="B393" s="23"/>
      <c r="C393" s="57"/>
      <c r="D393" s="36"/>
      <c r="E393" s="31"/>
      <c r="F393" s="31"/>
      <c r="G393" s="56"/>
      <c r="H393" s="26"/>
      <c r="I393" s="26"/>
      <c r="J393" s="26"/>
      <c r="K393" s="26"/>
      <c r="L393" s="41"/>
      <c r="M393" s="36"/>
      <c r="N393" s="26"/>
      <c r="O393" s="26"/>
      <c r="P393" s="42"/>
    </row>
    <row r="394" spans="1:16" x14ac:dyDescent="0.25">
      <c r="A394" s="22"/>
      <c r="B394" s="23"/>
      <c r="C394" s="57"/>
      <c r="D394" s="36"/>
      <c r="E394" s="31"/>
      <c r="F394" s="31"/>
      <c r="G394" s="56"/>
      <c r="H394" s="26"/>
      <c r="I394" s="26"/>
      <c r="J394" s="26"/>
      <c r="K394" s="26"/>
      <c r="L394" s="41"/>
      <c r="M394" s="36"/>
      <c r="N394" s="26"/>
      <c r="O394" s="26"/>
      <c r="P394" s="42"/>
    </row>
    <row r="395" spans="1:16" x14ac:dyDescent="0.25">
      <c r="A395" s="22"/>
      <c r="B395" s="23"/>
      <c r="C395" s="57"/>
      <c r="D395" s="36"/>
      <c r="E395" s="31"/>
      <c r="F395" s="31"/>
      <c r="G395" s="56"/>
      <c r="H395" s="26"/>
      <c r="I395" s="26"/>
      <c r="J395" s="26"/>
      <c r="K395" s="26"/>
      <c r="L395" s="41"/>
      <c r="M395" s="36"/>
      <c r="N395" s="26"/>
      <c r="O395" s="26"/>
      <c r="P395" s="42"/>
    </row>
    <row r="396" spans="1:16" x14ac:dyDescent="0.25">
      <c r="A396" s="22"/>
      <c r="B396" s="23"/>
      <c r="C396" s="57"/>
      <c r="D396" s="36"/>
      <c r="E396" s="31"/>
      <c r="F396" s="31"/>
      <c r="G396" s="56"/>
      <c r="H396" s="26"/>
      <c r="I396" s="26"/>
      <c r="J396" s="26"/>
      <c r="K396" s="26"/>
      <c r="L396" s="41"/>
      <c r="M396" s="36"/>
      <c r="N396" s="26"/>
      <c r="O396" s="26"/>
      <c r="P396" s="42"/>
    </row>
    <row r="397" spans="1:16" x14ac:dyDescent="0.25">
      <c r="A397" s="22"/>
      <c r="B397" s="23"/>
      <c r="C397" s="57"/>
      <c r="D397" s="36"/>
      <c r="E397" s="31"/>
      <c r="F397" s="31"/>
      <c r="G397" s="56"/>
      <c r="H397" s="26"/>
      <c r="I397" s="26"/>
      <c r="J397" s="26"/>
      <c r="K397" s="26"/>
      <c r="L397" s="41"/>
      <c r="M397" s="36"/>
      <c r="N397" s="26"/>
      <c r="O397" s="26"/>
      <c r="P397" s="42"/>
    </row>
    <row r="398" spans="1:16" x14ac:dyDescent="0.25">
      <c r="A398" s="22"/>
      <c r="B398" s="23"/>
      <c r="C398" s="57"/>
      <c r="D398" s="36"/>
      <c r="E398" s="31"/>
      <c r="F398" s="31"/>
      <c r="G398" s="56"/>
      <c r="H398" s="26"/>
      <c r="I398" s="26"/>
      <c r="J398" s="26"/>
      <c r="K398" s="26"/>
      <c r="L398" s="41"/>
      <c r="M398" s="36"/>
      <c r="N398" s="26"/>
      <c r="O398" s="26"/>
      <c r="P398" s="42"/>
    </row>
    <row r="399" spans="1:16" x14ac:dyDescent="0.25">
      <c r="A399" s="22"/>
      <c r="B399" s="23"/>
      <c r="C399" s="57"/>
      <c r="D399" s="36"/>
      <c r="E399" s="31"/>
      <c r="F399" s="31"/>
      <c r="G399" s="56"/>
      <c r="H399" s="26"/>
      <c r="I399" s="26"/>
      <c r="J399" s="26"/>
      <c r="K399" s="26"/>
      <c r="L399" s="41"/>
      <c r="M399" s="36"/>
      <c r="N399" s="26"/>
      <c r="O399" s="26"/>
      <c r="P399" s="42"/>
    </row>
    <row r="400" spans="1:16" x14ac:dyDescent="0.25">
      <c r="A400" s="22"/>
      <c r="B400" s="23"/>
      <c r="C400" s="57"/>
      <c r="D400" s="36"/>
      <c r="E400" s="31"/>
      <c r="F400" s="31"/>
      <c r="G400" s="56"/>
      <c r="H400" s="26"/>
      <c r="I400" s="26"/>
      <c r="J400" s="26"/>
      <c r="K400" s="26"/>
      <c r="L400" s="41"/>
      <c r="M400" s="36"/>
      <c r="N400" s="26"/>
      <c r="O400" s="26"/>
      <c r="P400" s="42"/>
    </row>
    <row r="401" spans="1:16" x14ac:dyDescent="0.25">
      <c r="A401" s="22"/>
      <c r="B401" s="23"/>
      <c r="C401" s="57"/>
      <c r="D401" s="36"/>
      <c r="E401" s="31"/>
      <c r="F401" s="31"/>
      <c r="G401" s="56"/>
      <c r="H401" s="26"/>
      <c r="I401" s="26"/>
      <c r="J401" s="26"/>
      <c r="K401" s="26"/>
      <c r="L401" s="41"/>
      <c r="M401" s="36"/>
      <c r="N401" s="26"/>
      <c r="O401" s="26"/>
      <c r="P401" s="42"/>
    </row>
    <row r="402" spans="1:16" x14ac:dyDescent="0.25">
      <c r="A402" s="22"/>
      <c r="B402" s="23"/>
      <c r="C402" s="57"/>
      <c r="D402" s="36"/>
      <c r="E402" s="31"/>
      <c r="F402" s="31"/>
      <c r="G402" s="56"/>
      <c r="H402" s="26"/>
      <c r="I402" s="26"/>
      <c r="J402" s="26"/>
      <c r="K402" s="26"/>
      <c r="L402" s="41"/>
      <c r="M402" s="36"/>
      <c r="N402" s="26"/>
      <c r="O402" s="26"/>
      <c r="P402" s="42"/>
    </row>
    <row r="403" spans="1:16" x14ac:dyDescent="0.25">
      <c r="A403" s="22"/>
      <c r="B403" s="23"/>
      <c r="C403" s="57"/>
      <c r="D403" s="36"/>
      <c r="E403" s="31"/>
      <c r="F403" s="31"/>
      <c r="G403" s="56"/>
      <c r="H403" s="26"/>
      <c r="I403" s="26"/>
      <c r="J403" s="26"/>
      <c r="K403" s="26"/>
      <c r="L403" s="41"/>
      <c r="M403" s="36"/>
      <c r="N403" s="26"/>
      <c r="O403" s="26"/>
      <c r="P403" s="42"/>
    </row>
    <row r="404" spans="1:16" x14ac:dyDescent="0.25">
      <c r="A404" s="22"/>
      <c r="B404" s="23"/>
      <c r="C404" s="57"/>
      <c r="D404" s="36"/>
      <c r="E404" s="31"/>
      <c r="F404" s="31"/>
      <c r="G404" s="56"/>
      <c r="H404" s="26"/>
      <c r="I404" s="26"/>
      <c r="J404" s="26"/>
      <c r="K404" s="26"/>
      <c r="L404" s="41"/>
      <c r="M404" s="36"/>
      <c r="N404" s="26"/>
      <c r="O404" s="26"/>
      <c r="P404" s="42"/>
    </row>
    <row r="405" spans="1:16" x14ac:dyDescent="0.25">
      <c r="A405" s="22"/>
      <c r="B405" s="23"/>
      <c r="C405" s="57"/>
      <c r="D405" s="36"/>
      <c r="E405" s="31"/>
      <c r="F405" s="31"/>
      <c r="G405" s="56"/>
      <c r="H405" s="26"/>
      <c r="I405" s="26"/>
      <c r="J405" s="26"/>
      <c r="K405" s="26"/>
      <c r="L405" s="41"/>
      <c r="M405" s="36"/>
      <c r="N405" s="26"/>
      <c r="O405" s="26"/>
      <c r="P405" s="42"/>
    </row>
    <row r="406" spans="1:16" x14ac:dyDescent="0.25">
      <c r="A406" s="22"/>
      <c r="B406" s="23"/>
      <c r="C406" s="57"/>
      <c r="D406" s="36"/>
      <c r="E406" s="31"/>
      <c r="F406" s="31"/>
      <c r="G406" s="56"/>
      <c r="H406" s="26"/>
      <c r="I406" s="26"/>
      <c r="J406" s="26"/>
      <c r="K406" s="26"/>
      <c r="L406" s="41"/>
      <c r="M406" s="36"/>
      <c r="N406" s="26"/>
      <c r="O406" s="26"/>
      <c r="P406" s="42"/>
    </row>
    <row r="407" spans="1:16" x14ac:dyDescent="0.25">
      <c r="A407" s="22"/>
      <c r="B407" s="23"/>
      <c r="C407" s="57"/>
      <c r="D407" s="36"/>
      <c r="E407" s="31"/>
      <c r="F407" s="31"/>
      <c r="G407" s="56"/>
      <c r="H407" s="26"/>
      <c r="I407" s="26"/>
      <c r="J407" s="26"/>
      <c r="K407" s="26"/>
      <c r="L407" s="41"/>
      <c r="M407" s="36"/>
      <c r="N407" s="26"/>
      <c r="O407" s="26"/>
      <c r="P407" s="42"/>
    </row>
    <row r="408" spans="1:16" x14ac:dyDescent="0.25">
      <c r="A408" s="22"/>
      <c r="B408" s="23"/>
      <c r="C408" s="57"/>
      <c r="D408" s="36"/>
      <c r="E408" s="31"/>
      <c r="F408" s="31"/>
      <c r="G408" s="56"/>
      <c r="H408" s="26"/>
      <c r="I408" s="26"/>
      <c r="J408" s="26"/>
      <c r="K408" s="26"/>
      <c r="L408" s="41"/>
      <c r="M408" s="36"/>
      <c r="N408" s="26"/>
      <c r="O408" s="26"/>
      <c r="P408" s="42"/>
    </row>
    <row r="409" spans="1:16" x14ac:dyDescent="0.25">
      <c r="A409" s="22"/>
      <c r="B409" s="23"/>
      <c r="C409" s="57"/>
      <c r="D409" s="36"/>
      <c r="E409" s="31"/>
      <c r="F409" s="31"/>
      <c r="G409" s="56"/>
      <c r="H409" s="26"/>
      <c r="I409" s="26"/>
      <c r="J409" s="26"/>
      <c r="K409" s="26"/>
      <c r="L409" s="41"/>
      <c r="M409" s="36"/>
      <c r="N409" s="26"/>
      <c r="O409" s="26"/>
      <c r="P409" s="42"/>
    </row>
    <row r="410" spans="1:16" x14ac:dyDescent="0.25">
      <c r="A410" s="22"/>
      <c r="B410" s="23"/>
      <c r="C410" s="57"/>
      <c r="D410" s="36"/>
      <c r="E410" s="31"/>
      <c r="F410" s="31"/>
      <c r="G410" s="56"/>
      <c r="H410" s="26"/>
      <c r="I410" s="26"/>
      <c r="J410" s="26"/>
      <c r="K410" s="26"/>
      <c r="L410" s="41"/>
      <c r="M410" s="36"/>
      <c r="N410" s="26"/>
      <c r="O410" s="26"/>
      <c r="P410" s="42"/>
    </row>
    <row r="411" spans="1:16" x14ac:dyDescent="0.25">
      <c r="A411" s="22"/>
      <c r="B411" s="23"/>
      <c r="C411" s="57"/>
      <c r="D411" s="36"/>
      <c r="E411" s="31"/>
      <c r="F411" s="31"/>
      <c r="G411" s="56"/>
      <c r="H411" s="26"/>
      <c r="I411" s="26"/>
      <c r="J411" s="26"/>
      <c r="K411" s="26"/>
      <c r="L411" s="41"/>
      <c r="M411" s="36"/>
      <c r="N411" s="26"/>
      <c r="O411" s="26"/>
      <c r="P411" s="42"/>
    </row>
    <row r="412" spans="1:16" x14ac:dyDescent="0.25">
      <c r="A412" s="22"/>
      <c r="B412" s="23"/>
      <c r="C412" s="57"/>
      <c r="D412" s="36"/>
      <c r="E412" s="31"/>
      <c r="F412" s="31"/>
      <c r="G412" s="56"/>
      <c r="H412" s="26"/>
      <c r="I412" s="26"/>
      <c r="J412" s="26"/>
      <c r="K412" s="26"/>
      <c r="L412" s="41"/>
      <c r="M412" s="36"/>
      <c r="N412" s="26"/>
      <c r="O412" s="26"/>
      <c r="P412" s="42"/>
    </row>
    <row r="413" spans="1:16" x14ac:dyDescent="0.25">
      <c r="A413" s="22"/>
      <c r="B413" s="23"/>
      <c r="C413" s="57"/>
      <c r="D413" s="36"/>
      <c r="E413" s="31"/>
      <c r="F413" s="31"/>
      <c r="G413" s="56"/>
      <c r="H413" s="26"/>
      <c r="I413" s="26"/>
      <c r="J413" s="26"/>
      <c r="K413" s="26"/>
      <c r="L413" s="41"/>
      <c r="M413" s="36"/>
      <c r="N413" s="26"/>
      <c r="O413" s="26"/>
      <c r="P413" s="42"/>
    </row>
    <row r="414" spans="1:16" x14ac:dyDescent="0.25">
      <c r="A414" s="22"/>
      <c r="B414" s="23"/>
      <c r="C414" s="57"/>
      <c r="D414" s="36"/>
      <c r="E414" s="31"/>
      <c r="F414" s="31"/>
      <c r="G414" s="56"/>
      <c r="H414" s="26"/>
      <c r="I414" s="26"/>
      <c r="J414" s="26"/>
      <c r="K414" s="26"/>
      <c r="L414" s="41"/>
      <c r="M414" s="36"/>
      <c r="N414" s="26"/>
      <c r="O414" s="26"/>
      <c r="P414" s="42"/>
    </row>
    <row r="415" spans="1:16" x14ac:dyDescent="0.25">
      <c r="A415" s="22"/>
      <c r="B415" s="23"/>
      <c r="C415" s="57"/>
      <c r="D415" s="36"/>
      <c r="E415" s="31"/>
      <c r="F415" s="31"/>
      <c r="G415" s="56"/>
      <c r="H415" s="26"/>
      <c r="I415" s="26"/>
      <c r="J415" s="26"/>
      <c r="K415" s="26"/>
      <c r="L415" s="41"/>
      <c r="M415" s="36"/>
      <c r="N415" s="26"/>
      <c r="O415" s="26"/>
      <c r="P415" s="42"/>
    </row>
    <row r="416" spans="1:16" x14ac:dyDescent="0.25">
      <c r="A416" s="22"/>
      <c r="B416" s="23"/>
      <c r="C416" s="57"/>
      <c r="D416" s="36"/>
      <c r="E416" s="31"/>
      <c r="F416" s="31"/>
      <c r="G416" s="56"/>
      <c r="H416" s="26"/>
      <c r="I416" s="26"/>
      <c r="J416" s="26"/>
      <c r="K416" s="26"/>
      <c r="L416" s="41"/>
      <c r="M416" s="36"/>
      <c r="N416" s="26"/>
      <c r="O416" s="26"/>
      <c r="P416" s="42"/>
    </row>
    <row r="417" spans="1:16" x14ac:dyDescent="0.25">
      <c r="A417" s="22"/>
      <c r="B417" s="23"/>
      <c r="C417" s="57"/>
      <c r="D417" s="36"/>
      <c r="E417" s="31"/>
      <c r="F417" s="31"/>
      <c r="G417" s="56"/>
      <c r="H417" s="26"/>
      <c r="I417" s="26"/>
      <c r="J417" s="26"/>
      <c r="K417" s="26"/>
      <c r="L417" s="41"/>
      <c r="M417" s="36"/>
      <c r="N417" s="26"/>
      <c r="O417" s="26"/>
      <c r="P417" s="42"/>
    </row>
    <row r="418" spans="1:16" x14ac:dyDescent="0.25">
      <c r="A418" s="22"/>
      <c r="B418" s="23"/>
      <c r="C418" s="57"/>
      <c r="D418" s="36"/>
      <c r="E418" s="31"/>
      <c r="F418" s="31"/>
      <c r="G418" s="56"/>
      <c r="H418" s="26"/>
      <c r="I418" s="26"/>
      <c r="J418" s="26"/>
      <c r="K418" s="26"/>
      <c r="L418" s="41"/>
      <c r="M418" s="36"/>
      <c r="N418" s="26"/>
      <c r="O418" s="26"/>
      <c r="P418" s="42"/>
    </row>
    <row r="419" spans="1:16" x14ac:dyDescent="0.25">
      <c r="A419" s="22"/>
      <c r="B419" s="23"/>
      <c r="C419" s="57"/>
      <c r="D419" s="36"/>
      <c r="E419" s="31"/>
      <c r="F419" s="31"/>
      <c r="G419" s="56"/>
      <c r="H419" s="26"/>
      <c r="I419" s="26"/>
      <c r="J419" s="26"/>
      <c r="K419" s="26"/>
      <c r="L419" s="41"/>
      <c r="M419" s="36"/>
      <c r="N419" s="26"/>
      <c r="O419" s="26"/>
      <c r="P419" s="42"/>
    </row>
    <row r="420" spans="1:16" x14ac:dyDescent="0.25">
      <c r="A420" s="22"/>
      <c r="B420" s="23"/>
      <c r="C420" s="57"/>
      <c r="D420" s="36"/>
      <c r="E420" s="31"/>
      <c r="F420" s="31"/>
      <c r="G420" s="56"/>
      <c r="H420" s="26"/>
      <c r="I420" s="26"/>
      <c r="J420" s="26"/>
      <c r="K420" s="26"/>
      <c r="L420" s="41"/>
      <c r="M420" s="36"/>
      <c r="N420" s="26"/>
      <c r="O420" s="26"/>
      <c r="P420" s="42"/>
    </row>
    <row r="421" spans="1:16" x14ac:dyDescent="0.25">
      <c r="A421" s="22"/>
      <c r="B421" s="23"/>
      <c r="C421" s="57"/>
      <c r="D421" s="36"/>
      <c r="E421" s="31"/>
      <c r="F421" s="31"/>
      <c r="G421" s="56"/>
      <c r="H421" s="26"/>
      <c r="I421" s="26"/>
      <c r="J421" s="26"/>
      <c r="K421" s="26"/>
      <c r="L421" s="41"/>
      <c r="M421" s="36"/>
      <c r="N421" s="26"/>
      <c r="O421" s="26"/>
      <c r="P421" s="42"/>
    </row>
    <row r="422" spans="1:16" x14ac:dyDescent="0.25">
      <c r="A422" s="22"/>
      <c r="B422" s="23"/>
      <c r="C422" s="57"/>
      <c r="D422" s="36"/>
      <c r="E422" s="31"/>
      <c r="F422" s="31"/>
      <c r="G422" s="56"/>
      <c r="H422" s="26"/>
      <c r="I422" s="26"/>
      <c r="J422" s="26"/>
      <c r="K422" s="26"/>
      <c r="L422" s="41"/>
      <c r="M422" s="36"/>
      <c r="N422" s="26"/>
      <c r="O422" s="26"/>
      <c r="P422" s="42"/>
    </row>
    <row r="423" spans="1:16" x14ac:dyDescent="0.25">
      <c r="A423" s="22"/>
      <c r="B423" s="23"/>
      <c r="C423" s="57"/>
      <c r="D423" s="36"/>
      <c r="E423" s="31"/>
      <c r="F423" s="31"/>
      <c r="G423" s="56"/>
      <c r="H423" s="26"/>
      <c r="I423" s="26"/>
      <c r="J423" s="26"/>
      <c r="K423" s="26"/>
      <c r="L423" s="41"/>
      <c r="M423" s="36"/>
      <c r="N423" s="26"/>
      <c r="O423" s="26"/>
      <c r="P423" s="42"/>
    </row>
    <row r="424" spans="1:16" x14ac:dyDescent="0.25">
      <c r="A424" s="22"/>
      <c r="B424" s="23"/>
      <c r="C424" s="57"/>
      <c r="D424" s="36"/>
      <c r="E424" s="31"/>
      <c r="F424" s="31"/>
      <c r="G424" s="56"/>
      <c r="H424" s="26"/>
      <c r="I424" s="26"/>
      <c r="J424" s="26"/>
      <c r="K424" s="26"/>
      <c r="L424" s="41"/>
      <c r="M424" s="36"/>
      <c r="N424" s="26"/>
      <c r="O424" s="26"/>
      <c r="P424" s="42"/>
    </row>
    <row r="425" spans="1:16" x14ac:dyDescent="0.25">
      <c r="A425" s="22"/>
      <c r="B425" s="23"/>
      <c r="C425" s="57"/>
      <c r="D425" s="36"/>
      <c r="E425" s="31"/>
      <c r="F425" s="31"/>
      <c r="G425" s="56"/>
      <c r="H425" s="26"/>
      <c r="I425" s="26"/>
      <c r="J425" s="26"/>
      <c r="K425" s="26"/>
      <c r="L425" s="41"/>
      <c r="M425" s="36"/>
      <c r="N425" s="26"/>
      <c r="O425" s="26"/>
      <c r="P425" s="42"/>
    </row>
    <row r="426" spans="1:16" x14ac:dyDescent="0.25">
      <c r="A426" s="22"/>
      <c r="B426" s="23"/>
      <c r="C426" s="57"/>
      <c r="D426" s="36"/>
      <c r="E426" s="31"/>
      <c r="F426" s="31"/>
      <c r="G426" s="56"/>
      <c r="H426" s="26"/>
      <c r="I426" s="26"/>
      <c r="J426" s="26"/>
      <c r="K426" s="26"/>
      <c r="L426" s="41"/>
      <c r="M426" s="36"/>
      <c r="N426" s="26"/>
      <c r="O426" s="26"/>
      <c r="P426" s="42"/>
    </row>
    <row r="427" spans="1:16" x14ac:dyDescent="0.25">
      <c r="A427" s="22"/>
      <c r="B427" s="23"/>
      <c r="C427" s="57"/>
      <c r="D427" s="36"/>
      <c r="E427" s="31"/>
      <c r="F427" s="31"/>
      <c r="G427" s="56"/>
      <c r="H427" s="26"/>
      <c r="I427" s="26"/>
      <c r="J427" s="26"/>
      <c r="K427" s="26"/>
      <c r="L427" s="41"/>
      <c r="M427" s="36"/>
      <c r="N427" s="26"/>
      <c r="O427" s="26"/>
      <c r="P427" s="42"/>
    </row>
    <row r="428" spans="1:16" x14ac:dyDescent="0.25">
      <c r="A428" s="22"/>
      <c r="B428" s="23"/>
      <c r="C428" s="57"/>
      <c r="D428" s="36"/>
      <c r="E428" s="31"/>
      <c r="F428" s="31"/>
      <c r="G428" s="56"/>
      <c r="H428" s="26"/>
      <c r="I428" s="26"/>
      <c r="J428" s="26"/>
      <c r="K428" s="26"/>
      <c r="L428" s="41"/>
      <c r="M428" s="36"/>
      <c r="N428" s="26"/>
      <c r="O428" s="26"/>
      <c r="P428" s="42"/>
    </row>
    <row r="429" spans="1:16" x14ac:dyDescent="0.25">
      <c r="A429" s="22"/>
      <c r="B429" s="23"/>
      <c r="C429" s="57"/>
      <c r="D429" s="36"/>
      <c r="E429" s="31"/>
      <c r="F429" s="31"/>
      <c r="G429" s="56"/>
      <c r="H429" s="26"/>
      <c r="I429" s="26"/>
      <c r="J429" s="26"/>
      <c r="K429" s="26"/>
      <c r="L429" s="41"/>
      <c r="M429" s="36"/>
      <c r="N429" s="26"/>
      <c r="O429" s="26"/>
      <c r="P429" s="42"/>
    </row>
    <row r="430" spans="1:16" x14ac:dyDescent="0.25">
      <c r="A430" s="22"/>
      <c r="B430" s="23"/>
      <c r="C430" s="57"/>
      <c r="D430" s="36"/>
      <c r="E430" s="31"/>
      <c r="F430" s="31"/>
      <c r="G430" s="56"/>
      <c r="H430" s="26"/>
      <c r="I430" s="26"/>
      <c r="J430" s="26"/>
      <c r="K430" s="26"/>
      <c r="L430" s="41"/>
      <c r="M430" s="36"/>
      <c r="N430" s="26"/>
      <c r="O430" s="26"/>
      <c r="P430" s="42"/>
    </row>
    <row r="431" spans="1:16" x14ac:dyDescent="0.25">
      <c r="A431" s="22"/>
      <c r="B431" s="23"/>
      <c r="C431" s="57"/>
      <c r="D431" s="36"/>
      <c r="E431" s="31"/>
      <c r="F431" s="31"/>
      <c r="G431" s="56"/>
      <c r="H431" s="26"/>
      <c r="I431" s="26"/>
      <c r="J431" s="26"/>
      <c r="K431" s="26"/>
      <c r="L431" s="41"/>
      <c r="M431" s="36"/>
      <c r="N431" s="26"/>
      <c r="O431" s="26"/>
      <c r="P431" s="42"/>
    </row>
    <row r="432" spans="1:16" x14ac:dyDescent="0.25">
      <c r="A432" s="22"/>
      <c r="B432" s="23"/>
      <c r="C432" s="57"/>
      <c r="D432" s="36"/>
      <c r="E432" s="31"/>
      <c r="F432" s="31"/>
      <c r="G432" s="56"/>
      <c r="H432" s="26"/>
      <c r="I432" s="26"/>
      <c r="J432" s="26"/>
      <c r="K432" s="26"/>
      <c r="L432" s="41"/>
      <c r="M432" s="36"/>
      <c r="N432" s="26"/>
      <c r="O432" s="26"/>
      <c r="P432" s="42"/>
    </row>
    <row r="433" spans="1:16" x14ac:dyDescent="0.25">
      <c r="A433" s="22"/>
      <c r="B433" s="23"/>
      <c r="C433" s="57"/>
      <c r="D433" s="36"/>
      <c r="E433" s="31"/>
      <c r="F433" s="31"/>
      <c r="G433" s="56"/>
      <c r="H433" s="26"/>
      <c r="I433" s="26"/>
      <c r="J433" s="26"/>
      <c r="K433" s="26"/>
      <c r="L433" s="41"/>
      <c r="M433" s="36"/>
      <c r="N433" s="26"/>
      <c r="O433" s="26"/>
      <c r="P433" s="42"/>
    </row>
    <row r="434" spans="1:16" x14ac:dyDescent="0.25">
      <c r="A434" s="22"/>
      <c r="B434" s="23"/>
      <c r="C434" s="57"/>
      <c r="D434" s="36"/>
      <c r="E434" s="31"/>
      <c r="F434" s="31"/>
      <c r="G434" s="56"/>
      <c r="H434" s="26"/>
      <c r="I434" s="26"/>
      <c r="J434" s="26"/>
      <c r="K434" s="26"/>
      <c r="L434" s="41"/>
      <c r="M434" s="36"/>
      <c r="N434" s="26"/>
      <c r="O434" s="26"/>
      <c r="P434" s="42"/>
    </row>
    <row r="435" spans="1:16" x14ac:dyDescent="0.25">
      <c r="A435" s="22"/>
      <c r="B435" s="23"/>
      <c r="C435" s="57"/>
      <c r="D435" s="36"/>
      <c r="E435" s="31"/>
      <c r="F435" s="31"/>
      <c r="G435" s="56"/>
      <c r="H435" s="26"/>
      <c r="I435" s="26"/>
      <c r="J435" s="26"/>
      <c r="K435" s="26"/>
      <c r="L435" s="41"/>
      <c r="M435" s="36"/>
      <c r="N435" s="26"/>
      <c r="O435" s="26"/>
      <c r="P435" s="42"/>
    </row>
    <row r="436" spans="1:16" x14ac:dyDescent="0.25">
      <c r="A436" s="22"/>
      <c r="B436" s="23"/>
      <c r="C436" s="57"/>
      <c r="D436" s="36"/>
      <c r="E436" s="31"/>
      <c r="F436" s="31"/>
      <c r="G436" s="56"/>
      <c r="H436" s="26"/>
      <c r="I436" s="26"/>
      <c r="J436" s="26"/>
      <c r="K436" s="26"/>
      <c r="L436" s="41"/>
      <c r="M436" s="36"/>
      <c r="N436" s="26"/>
      <c r="O436" s="26"/>
      <c r="P436" s="42"/>
    </row>
    <row r="437" spans="1:16" x14ac:dyDescent="0.25">
      <c r="A437" s="22"/>
      <c r="B437" s="23"/>
      <c r="C437" s="57"/>
      <c r="D437" s="36"/>
      <c r="E437" s="31"/>
      <c r="F437" s="31"/>
      <c r="G437" s="56"/>
      <c r="H437" s="26"/>
      <c r="I437" s="26"/>
      <c r="J437" s="26"/>
      <c r="K437" s="26"/>
      <c r="L437" s="41"/>
      <c r="M437" s="36"/>
      <c r="N437" s="26"/>
      <c r="O437" s="26"/>
      <c r="P437" s="42"/>
    </row>
    <row r="438" spans="1:16" x14ac:dyDescent="0.25">
      <c r="A438" s="22"/>
      <c r="B438" s="23"/>
      <c r="C438" s="57"/>
      <c r="D438" s="36"/>
      <c r="E438" s="31"/>
      <c r="F438" s="31"/>
      <c r="G438" s="56"/>
      <c r="H438" s="26"/>
      <c r="I438" s="26"/>
      <c r="J438" s="26"/>
      <c r="K438" s="26"/>
      <c r="L438" s="41"/>
      <c r="M438" s="36"/>
      <c r="N438" s="26"/>
      <c r="O438" s="26"/>
      <c r="P438" s="42"/>
    </row>
    <row r="439" spans="1:16" x14ac:dyDescent="0.25">
      <c r="A439" s="22"/>
      <c r="B439" s="23"/>
      <c r="C439" s="57"/>
      <c r="D439" s="36"/>
      <c r="E439" s="31"/>
      <c r="F439" s="31"/>
      <c r="G439" s="56"/>
      <c r="H439" s="26"/>
      <c r="I439" s="26"/>
      <c r="J439" s="26"/>
      <c r="K439" s="26"/>
      <c r="L439" s="41"/>
      <c r="M439" s="36"/>
      <c r="N439" s="26"/>
      <c r="O439" s="26"/>
      <c r="P439" s="42"/>
    </row>
    <row r="440" spans="1:16" x14ac:dyDescent="0.25">
      <c r="A440" s="22"/>
      <c r="B440" s="23"/>
      <c r="C440" s="57"/>
      <c r="D440" s="36"/>
      <c r="E440" s="31"/>
      <c r="F440" s="31"/>
      <c r="G440" s="56"/>
      <c r="H440" s="26"/>
      <c r="I440" s="26"/>
      <c r="J440" s="26"/>
      <c r="K440" s="26"/>
      <c r="L440" s="41"/>
      <c r="M440" s="36"/>
      <c r="N440" s="26"/>
      <c r="O440" s="26"/>
      <c r="P440" s="42"/>
    </row>
    <row r="441" spans="1:16" x14ac:dyDescent="0.25">
      <c r="A441" s="22"/>
      <c r="B441" s="23"/>
      <c r="C441" s="57"/>
      <c r="D441" s="36"/>
      <c r="E441" s="31"/>
      <c r="F441" s="31"/>
      <c r="G441" s="56"/>
      <c r="H441" s="26"/>
      <c r="I441" s="26"/>
      <c r="J441" s="26"/>
      <c r="K441" s="26"/>
      <c r="L441" s="41"/>
      <c r="M441" s="36"/>
      <c r="N441" s="26"/>
      <c r="O441" s="26"/>
      <c r="P441" s="42"/>
    </row>
    <row r="442" spans="1:16" x14ac:dyDescent="0.25">
      <c r="A442" s="22"/>
      <c r="B442" s="23"/>
      <c r="C442" s="57"/>
      <c r="D442" s="36"/>
      <c r="E442" s="31"/>
      <c r="F442" s="31"/>
      <c r="G442" s="56"/>
      <c r="H442" s="26"/>
      <c r="I442" s="26"/>
      <c r="J442" s="26"/>
      <c r="K442" s="26"/>
      <c r="L442" s="41"/>
      <c r="M442" s="36"/>
      <c r="N442" s="26"/>
      <c r="O442" s="26"/>
      <c r="P442" s="42"/>
    </row>
    <row r="443" spans="1:16" x14ac:dyDescent="0.25">
      <c r="A443" s="22"/>
      <c r="B443" s="23"/>
      <c r="C443" s="57"/>
      <c r="D443" s="36"/>
      <c r="E443" s="31"/>
      <c r="F443" s="31"/>
      <c r="G443" s="56"/>
      <c r="H443" s="26"/>
      <c r="I443" s="26"/>
      <c r="J443" s="26"/>
      <c r="K443" s="26"/>
      <c r="L443" s="41"/>
      <c r="M443" s="36"/>
      <c r="N443" s="26"/>
      <c r="O443" s="26"/>
      <c r="P443" s="42"/>
    </row>
    <row r="444" spans="1:16" x14ac:dyDescent="0.25">
      <c r="A444" s="22"/>
      <c r="B444" s="23"/>
      <c r="C444" s="57"/>
      <c r="D444" s="36"/>
      <c r="E444" s="31"/>
      <c r="F444" s="31"/>
      <c r="G444" s="56"/>
      <c r="H444" s="26"/>
      <c r="I444" s="26"/>
      <c r="J444" s="26"/>
      <c r="K444" s="26"/>
      <c r="L444" s="41"/>
      <c r="M444" s="36"/>
      <c r="N444" s="26"/>
      <c r="O444" s="26"/>
      <c r="P444" s="42"/>
    </row>
    <row r="445" spans="1:16" x14ac:dyDescent="0.25">
      <c r="A445" s="22"/>
      <c r="B445" s="23"/>
      <c r="C445" s="57"/>
      <c r="D445" s="36"/>
      <c r="E445" s="31"/>
      <c r="F445" s="31"/>
      <c r="G445" s="56"/>
      <c r="H445" s="26"/>
      <c r="I445" s="26"/>
      <c r="J445" s="26"/>
      <c r="K445" s="26"/>
      <c r="L445" s="41"/>
      <c r="M445" s="36"/>
      <c r="N445" s="26"/>
      <c r="O445" s="26"/>
      <c r="P445" s="42"/>
    </row>
    <row r="446" spans="1:16" x14ac:dyDescent="0.25">
      <c r="A446" s="22"/>
      <c r="B446" s="23"/>
      <c r="C446" s="57"/>
      <c r="D446" s="36"/>
      <c r="E446" s="31"/>
      <c r="F446" s="31"/>
      <c r="G446" s="56"/>
      <c r="H446" s="26"/>
      <c r="I446" s="26"/>
      <c r="J446" s="26"/>
      <c r="K446" s="26"/>
      <c r="L446" s="41"/>
      <c r="M446" s="36"/>
      <c r="N446" s="26"/>
      <c r="O446" s="26"/>
      <c r="P446" s="42"/>
    </row>
    <row r="447" spans="1:16" x14ac:dyDescent="0.25">
      <c r="A447" s="22"/>
      <c r="B447" s="23"/>
      <c r="C447" s="57"/>
      <c r="D447" s="36"/>
      <c r="E447" s="31"/>
      <c r="F447" s="31"/>
      <c r="G447" s="56"/>
      <c r="H447" s="26"/>
      <c r="I447" s="26"/>
      <c r="J447" s="26"/>
      <c r="K447" s="26"/>
      <c r="L447" s="41"/>
      <c r="M447" s="36"/>
      <c r="N447" s="26"/>
      <c r="O447" s="26"/>
      <c r="P447" s="42"/>
    </row>
    <row r="448" spans="1:16" x14ac:dyDescent="0.25">
      <c r="A448" s="22"/>
      <c r="B448" s="23"/>
      <c r="C448" s="57"/>
      <c r="D448" s="36"/>
      <c r="E448" s="31"/>
      <c r="F448" s="31"/>
      <c r="G448" s="56"/>
      <c r="H448" s="26"/>
      <c r="I448" s="26"/>
      <c r="J448" s="26"/>
      <c r="K448" s="26"/>
      <c r="L448" s="41"/>
      <c r="M448" s="36"/>
      <c r="N448" s="26"/>
      <c r="O448" s="26"/>
      <c r="P448" s="42"/>
    </row>
    <row r="449" spans="1:16" x14ac:dyDescent="0.25">
      <c r="A449" s="22"/>
      <c r="B449" s="23"/>
      <c r="C449" s="57"/>
      <c r="D449" s="36"/>
      <c r="E449" s="31"/>
      <c r="F449" s="31"/>
      <c r="G449" s="56"/>
      <c r="H449" s="26"/>
      <c r="I449" s="26"/>
      <c r="J449" s="26"/>
      <c r="K449" s="26"/>
      <c r="L449" s="41"/>
      <c r="M449" s="36"/>
      <c r="N449" s="26"/>
      <c r="O449" s="26"/>
      <c r="P449" s="42"/>
    </row>
    <row r="450" spans="1:16" x14ac:dyDescent="0.25">
      <c r="A450" s="22"/>
      <c r="B450" s="23"/>
      <c r="C450" s="57"/>
      <c r="D450" s="36"/>
      <c r="E450" s="31"/>
      <c r="F450" s="31"/>
      <c r="G450" s="56"/>
      <c r="H450" s="26"/>
      <c r="I450" s="26"/>
      <c r="J450" s="26"/>
      <c r="K450" s="26"/>
      <c r="L450" s="41"/>
      <c r="M450" s="36"/>
      <c r="N450" s="26"/>
      <c r="O450" s="26"/>
      <c r="P450" s="42"/>
    </row>
    <row r="451" spans="1:16" x14ac:dyDescent="0.25">
      <c r="A451" s="22"/>
      <c r="B451" s="23"/>
      <c r="C451" s="57"/>
      <c r="D451" s="36"/>
      <c r="E451" s="31"/>
      <c r="F451" s="31"/>
      <c r="G451" s="56"/>
      <c r="H451" s="26"/>
      <c r="I451" s="26"/>
      <c r="J451" s="26"/>
      <c r="K451" s="26"/>
      <c r="L451" s="41"/>
      <c r="M451" s="36"/>
      <c r="N451" s="26"/>
      <c r="O451" s="26"/>
      <c r="P451" s="42"/>
    </row>
    <row r="452" spans="1:16" x14ac:dyDescent="0.25">
      <c r="A452" s="22"/>
      <c r="B452" s="23"/>
      <c r="C452" s="57"/>
      <c r="D452" s="36"/>
      <c r="E452" s="31"/>
      <c r="F452" s="31"/>
      <c r="G452" s="56"/>
      <c r="H452" s="26"/>
      <c r="I452" s="26"/>
      <c r="J452" s="26"/>
      <c r="K452" s="26"/>
      <c r="L452" s="41"/>
      <c r="M452" s="36"/>
      <c r="N452" s="26"/>
      <c r="O452" s="26"/>
      <c r="P452" s="42"/>
    </row>
    <row r="453" spans="1:16" x14ac:dyDescent="0.25">
      <c r="A453" s="22"/>
      <c r="B453" s="23"/>
      <c r="C453" s="57"/>
      <c r="D453" s="36"/>
      <c r="E453" s="31"/>
      <c r="F453" s="31"/>
      <c r="G453" s="56"/>
      <c r="H453" s="26"/>
      <c r="I453" s="26"/>
      <c r="J453" s="26"/>
      <c r="K453" s="26"/>
      <c r="L453" s="41"/>
      <c r="M453" s="36"/>
      <c r="N453" s="26"/>
      <c r="O453" s="26"/>
      <c r="P453" s="42"/>
    </row>
    <row r="454" spans="1:16" x14ac:dyDescent="0.25">
      <c r="A454" s="22"/>
      <c r="B454" s="23"/>
      <c r="C454" s="57"/>
      <c r="D454" s="36"/>
      <c r="E454" s="31"/>
      <c r="F454" s="31"/>
      <c r="G454" s="56"/>
      <c r="H454" s="26"/>
      <c r="I454" s="26"/>
      <c r="J454" s="26"/>
      <c r="K454" s="26"/>
      <c r="L454" s="41"/>
      <c r="M454" s="36"/>
      <c r="N454" s="26"/>
      <c r="O454" s="26"/>
      <c r="P454" s="42"/>
    </row>
    <row r="455" spans="1:16" x14ac:dyDescent="0.25">
      <c r="A455" s="22"/>
      <c r="B455" s="23"/>
      <c r="C455" s="57"/>
      <c r="D455" s="36"/>
      <c r="E455" s="31"/>
      <c r="F455" s="31"/>
      <c r="G455" s="56"/>
      <c r="H455" s="26"/>
      <c r="I455" s="26"/>
      <c r="J455" s="26"/>
      <c r="K455" s="26"/>
      <c r="L455" s="41"/>
      <c r="M455" s="36"/>
      <c r="N455" s="26"/>
      <c r="O455" s="26"/>
      <c r="P455" s="42"/>
    </row>
    <row r="456" spans="1:16" x14ac:dyDescent="0.25">
      <c r="A456" s="22"/>
      <c r="B456" s="23"/>
      <c r="C456" s="57"/>
      <c r="D456" s="36"/>
      <c r="E456" s="31"/>
      <c r="F456" s="31"/>
      <c r="G456" s="56"/>
      <c r="H456" s="26"/>
      <c r="I456" s="26"/>
      <c r="J456" s="26"/>
      <c r="K456" s="26"/>
      <c r="L456" s="41"/>
      <c r="M456" s="36"/>
      <c r="N456" s="26"/>
      <c r="O456" s="26"/>
      <c r="P456" s="42"/>
    </row>
    <row r="457" spans="1:16" x14ac:dyDescent="0.25">
      <c r="A457" s="22"/>
      <c r="B457" s="23"/>
      <c r="C457" s="57"/>
      <c r="D457" s="36"/>
      <c r="E457" s="31"/>
      <c r="F457" s="31"/>
      <c r="G457" s="56"/>
      <c r="H457" s="26"/>
      <c r="I457" s="26"/>
      <c r="J457" s="26"/>
      <c r="K457" s="26"/>
      <c r="L457" s="41"/>
      <c r="M457" s="36"/>
      <c r="N457" s="26"/>
      <c r="O457" s="26"/>
      <c r="P457" s="42"/>
    </row>
    <row r="458" spans="1:16" x14ac:dyDescent="0.25">
      <c r="A458" s="22"/>
      <c r="B458" s="23"/>
      <c r="C458" s="57"/>
      <c r="D458" s="36"/>
      <c r="E458" s="31"/>
      <c r="F458" s="31"/>
      <c r="G458" s="56"/>
      <c r="H458" s="26"/>
      <c r="I458" s="26"/>
      <c r="J458" s="26"/>
      <c r="K458" s="26"/>
      <c r="L458" s="41"/>
      <c r="M458" s="36"/>
      <c r="N458" s="26"/>
      <c r="O458" s="26"/>
      <c r="P458" s="42"/>
    </row>
    <row r="459" spans="1:16" x14ac:dyDescent="0.25">
      <c r="A459" s="22"/>
      <c r="B459" s="23"/>
      <c r="C459" s="57"/>
      <c r="D459" s="36"/>
      <c r="E459" s="31"/>
      <c r="F459" s="31"/>
      <c r="G459" s="56"/>
      <c r="H459" s="26"/>
      <c r="I459" s="26"/>
      <c r="J459" s="26"/>
      <c r="K459" s="26"/>
      <c r="L459" s="41"/>
      <c r="M459" s="36"/>
      <c r="N459" s="26"/>
      <c r="O459" s="26"/>
      <c r="P459" s="42"/>
    </row>
    <row r="460" spans="1:16" x14ac:dyDescent="0.25">
      <c r="A460" s="22"/>
      <c r="B460" s="23"/>
      <c r="C460" s="57"/>
      <c r="D460" s="36"/>
      <c r="E460" s="31"/>
      <c r="F460" s="31"/>
      <c r="G460" s="56"/>
      <c r="H460" s="26"/>
      <c r="I460" s="26"/>
      <c r="J460" s="26"/>
      <c r="K460" s="26"/>
      <c r="L460" s="41"/>
      <c r="M460" s="36"/>
      <c r="N460" s="26"/>
      <c r="O460" s="26"/>
      <c r="P460" s="42"/>
    </row>
    <row r="461" spans="1:16" x14ac:dyDescent="0.25">
      <c r="A461" s="22"/>
      <c r="B461" s="23"/>
      <c r="C461" s="57"/>
      <c r="D461" s="36"/>
      <c r="E461" s="31"/>
      <c r="F461" s="31"/>
      <c r="G461" s="56"/>
      <c r="H461" s="26"/>
      <c r="I461" s="26"/>
      <c r="J461" s="26"/>
      <c r="K461" s="26"/>
      <c r="L461" s="41"/>
      <c r="M461" s="36"/>
      <c r="N461" s="26"/>
      <c r="O461" s="26"/>
      <c r="P461" s="42"/>
    </row>
    <row r="462" spans="1:16" x14ac:dyDescent="0.25">
      <c r="A462" s="22"/>
      <c r="B462" s="23"/>
      <c r="C462" s="57"/>
      <c r="D462" s="36"/>
      <c r="E462" s="31"/>
      <c r="F462" s="31"/>
      <c r="G462" s="56"/>
      <c r="H462" s="26"/>
      <c r="I462" s="26"/>
      <c r="J462" s="26"/>
      <c r="K462" s="26"/>
      <c r="L462" s="41"/>
      <c r="M462" s="36"/>
      <c r="N462" s="26"/>
      <c r="O462" s="26"/>
      <c r="P462" s="42"/>
    </row>
    <row r="463" spans="1:16" x14ac:dyDescent="0.25">
      <c r="A463" s="22"/>
      <c r="B463" s="23"/>
      <c r="C463" s="57"/>
      <c r="D463" s="36"/>
      <c r="E463" s="31"/>
      <c r="F463" s="31"/>
      <c r="G463" s="56"/>
      <c r="H463" s="26"/>
      <c r="I463" s="26"/>
      <c r="J463" s="26"/>
      <c r="K463" s="26"/>
      <c r="L463" s="41"/>
      <c r="M463" s="36"/>
      <c r="N463" s="26"/>
      <c r="O463" s="26"/>
      <c r="P463" s="42"/>
    </row>
    <row r="464" spans="1:16" x14ac:dyDescent="0.25">
      <c r="A464" s="22"/>
      <c r="B464" s="23"/>
      <c r="C464" s="57"/>
      <c r="D464" s="36"/>
      <c r="E464" s="31"/>
      <c r="F464" s="31"/>
      <c r="G464" s="56"/>
      <c r="H464" s="26"/>
      <c r="I464" s="26"/>
      <c r="J464" s="26"/>
      <c r="K464" s="26"/>
      <c r="L464" s="41"/>
      <c r="M464" s="36"/>
      <c r="N464" s="26"/>
      <c r="O464" s="26"/>
      <c r="P464" s="42"/>
    </row>
    <row r="465" spans="1:16" x14ac:dyDescent="0.25">
      <c r="A465" s="22"/>
      <c r="B465" s="23"/>
      <c r="C465" s="57"/>
      <c r="D465" s="36"/>
      <c r="E465" s="31"/>
      <c r="F465" s="31"/>
      <c r="G465" s="56"/>
      <c r="H465" s="26"/>
      <c r="I465" s="26"/>
      <c r="J465" s="26"/>
      <c r="K465" s="26"/>
      <c r="L465" s="41"/>
      <c r="M465" s="36"/>
      <c r="N465" s="26"/>
      <c r="O465" s="26"/>
      <c r="P465" s="42"/>
    </row>
    <row r="466" spans="1:16" x14ac:dyDescent="0.25">
      <c r="A466" s="22"/>
      <c r="B466" s="23"/>
      <c r="C466" s="57"/>
      <c r="D466" s="36"/>
      <c r="E466" s="31"/>
      <c r="F466" s="31"/>
      <c r="G466" s="56"/>
      <c r="H466" s="26"/>
      <c r="I466" s="26"/>
      <c r="J466" s="26"/>
      <c r="K466" s="26"/>
      <c r="L466" s="41"/>
      <c r="M466" s="36"/>
      <c r="N466" s="26"/>
      <c r="O466" s="26"/>
      <c r="P466" s="42"/>
    </row>
    <row r="467" spans="1:16" x14ac:dyDescent="0.25">
      <c r="A467" s="22"/>
      <c r="B467" s="23"/>
      <c r="C467" s="57"/>
      <c r="D467" s="36"/>
      <c r="E467" s="31"/>
      <c r="F467" s="31"/>
      <c r="G467" s="56"/>
      <c r="H467" s="26"/>
      <c r="I467" s="26"/>
      <c r="J467" s="26"/>
      <c r="K467" s="26"/>
      <c r="L467" s="41"/>
      <c r="M467" s="36"/>
      <c r="N467" s="26"/>
      <c r="O467" s="26"/>
      <c r="P467" s="42"/>
    </row>
    <row r="468" spans="1:16" x14ac:dyDescent="0.25">
      <c r="A468" s="22"/>
      <c r="B468" s="23"/>
      <c r="C468" s="57"/>
      <c r="D468" s="36"/>
      <c r="E468" s="31"/>
      <c r="F468" s="31"/>
      <c r="G468" s="56"/>
      <c r="H468" s="26"/>
      <c r="I468" s="26"/>
      <c r="J468" s="26"/>
      <c r="K468" s="26"/>
      <c r="L468" s="41"/>
      <c r="M468" s="36"/>
      <c r="N468" s="26"/>
      <c r="O468" s="26"/>
      <c r="P468" s="42"/>
    </row>
    <row r="469" spans="1:16" x14ac:dyDescent="0.25">
      <c r="A469" s="22"/>
      <c r="B469" s="23"/>
      <c r="C469" s="57"/>
      <c r="D469" s="36"/>
      <c r="E469" s="31"/>
      <c r="F469" s="31"/>
      <c r="G469" s="56"/>
      <c r="H469" s="26"/>
      <c r="I469" s="26"/>
      <c r="J469" s="26"/>
      <c r="K469" s="26"/>
      <c r="L469" s="41"/>
      <c r="M469" s="36"/>
      <c r="N469" s="26"/>
      <c r="O469" s="26"/>
      <c r="P469" s="42"/>
    </row>
    <row r="470" spans="1:16" x14ac:dyDescent="0.25">
      <c r="A470" s="22"/>
      <c r="B470" s="23"/>
      <c r="C470" s="57"/>
      <c r="D470" s="36"/>
      <c r="E470" s="31"/>
      <c r="F470" s="31"/>
      <c r="G470" s="56"/>
      <c r="H470" s="26"/>
      <c r="I470" s="26"/>
      <c r="J470" s="26"/>
      <c r="K470" s="26"/>
      <c r="L470" s="41"/>
      <c r="M470" s="36"/>
      <c r="N470" s="26"/>
      <c r="O470" s="26"/>
      <c r="P470" s="42"/>
    </row>
    <row r="471" spans="1:16" x14ac:dyDescent="0.25">
      <c r="A471" s="22"/>
      <c r="B471" s="23"/>
      <c r="C471" s="57"/>
      <c r="D471" s="36"/>
      <c r="E471" s="31"/>
      <c r="F471" s="31"/>
      <c r="G471" s="56"/>
      <c r="H471" s="26"/>
      <c r="I471" s="26"/>
      <c r="J471" s="26"/>
      <c r="K471" s="26"/>
      <c r="L471" s="41"/>
      <c r="M471" s="36"/>
      <c r="N471" s="26"/>
      <c r="O471" s="26"/>
      <c r="P471" s="42"/>
    </row>
    <row r="472" spans="1:16" x14ac:dyDescent="0.25">
      <c r="A472" s="22"/>
      <c r="B472" s="23"/>
      <c r="C472" s="57"/>
      <c r="D472" s="36"/>
      <c r="E472" s="31"/>
      <c r="F472" s="31"/>
      <c r="G472" s="56"/>
      <c r="H472" s="26"/>
      <c r="I472" s="26"/>
      <c r="J472" s="26"/>
      <c r="K472" s="26"/>
      <c r="L472" s="41"/>
      <c r="M472" s="36"/>
      <c r="N472" s="26"/>
      <c r="O472" s="26"/>
      <c r="P472" s="42"/>
    </row>
    <row r="473" spans="1:16" x14ac:dyDescent="0.25">
      <c r="A473" s="22"/>
      <c r="B473" s="23"/>
      <c r="C473" s="57"/>
      <c r="D473" s="36"/>
      <c r="E473" s="31"/>
      <c r="F473" s="31"/>
      <c r="G473" s="56"/>
      <c r="H473" s="26"/>
      <c r="I473" s="26"/>
      <c r="J473" s="26"/>
      <c r="K473" s="26"/>
      <c r="L473" s="41"/>
      <c r="M473" s="36"/>
      <c r="N473" s="26"/>
      <c r="O473" s="26"/>
      <c r="P473" s="42"/>
    </row>
    <row r="474" spans="1:16" x14ac:dyDescent="0.25">
      <c r="A474" s="22"/>
      <c r="B474" s="23"/>
      <c r="C474" s="57"/>
      <c r="D474" s="36"/>
      <c r="E474" s="31"/>
      <c r="F474" s="31"/>
      <c r="G474" s="56"/>
      <c r="H474" s="26"/>
      <c r="I474" s="26"/>
      <c r="J474" s="26"/>
      <c r="K474" s="26"/>
      <c r="L474" s="41"/>
      <c r="M474" s="36"/>
      <c r="N474" s="26"/>
      <c r="O474" s="26"/>
      <c r="P474" s="42"/>
    </row>
    <row r="475" spans="1:16" x14ac:dyDescent="0.25">
      <c r="A475" s="22"/>
      <c r="B475" s="23"/>
      <c r="C475" s="57"/>
      <c r="D475" s="36"/>
      <c r="E475" s="31"/>
      <c r="F475" s="31"/>
      <c r="G475" s="56"/>
      <c r="H475" s="26"/>
      <c r="I475" s="26"/>
      <c r="J475" s="26"/>
      <c r="K475" s="26"/>
      <c r="L475" s="41"/>
      <c r="M475" s="36"/>
      <c r="N475" s="26"/>
      <c r="O475" s="26"/>
      <c r="P475" s="42"/>
    </row>
    <row r="476" spans="1:16" x14ac:dyDescent="0.25">
      <c r="A476" s="22"/>
      <c r="B476" s="23"/>
      <c r="C476" s="57"/>
      <c r="D476" s="36"/>
      <c r="E476" s="31"/>
      <c r="F476" s="31"/>
      <c r="G476" s="56"/>
      <c r="H476" s="26"/>
      <c r="I476" s="26"/>
      <c r="J476" s="26"/>
      <c r="K476" s="26"/>
      <c r="L476" s="41"/>
      <c r="M476" s="36"/>
      <c r="N476" s="26"/>
      <c r="O476" s="26"/>
      <c r="P476" s="42"/>
    </row>
    <row r="477" spans="1:16" x14ac:dyDescent="0.25">
      <c r="A477" s="22"/>
      <c r="B477" s="23"/>
      <c r="C477" s="57"/>
      <c r="D477" s="36"/>
      <c r="E477" s="31"/>
      <c r="F477" s="31"/>
      <c r="G477" s="56"/>
      <c r="H477" s="26"/>
      <c r="I477" s="26"/>
      <c r="J477" s="26"/>
      <c r="K477" s="26"/>
      <c r="L477" s="41"/>
      <c r="M477" s="36"/>
      <c r="N477" s="26"/>
      <c r="O477" s="26"/>
      <c r="P477" s="42"/>
    </row>
    <row r="478" spans="1:16" x14ac:dyDescent="0.25">
      <c r="A478" s="22"/>
      <c r="B478" s="23"/>
      <c r="C478" s="57"/>
      <c r="D478" s="36"/>
      <c r="E478" s="31"/>
      <c r="F478" s="31"/>
      <c r="G478" s="56"/>
      <c r="H478" s="26"/>
      <c r="I478" s="26"/>
      <c r="J478" s="26"/>
      <c r="K478" s="26"/>
      <c r="L478" s="41"/>
      <c r="M478" s="36"/>
      <c r="N478" s="26"/>
      <c r="O478" s="26"/>
      <c r="P478" s="42"/>
    </row>
    <row r="479" spans="1:16" x14ac:dyDescent="0.25">
      <c r="A479" s="22"/>
      <c r="B479" s="23"/>
      <c r="C479" s="57"/>
      <c r="D479" s="36"/>
      <c r="E479" s="31"/>
      <c r="F479" s="31"/>
      <c r="G479" s="56"/>
      <c r="H479" s="26"/>
      <c r="I479" s="26"/>
      <c r="J479" s="26"/>
      <c r="K479" s="26"/>
      <c r="L479" s="41"/>
      <c r="M479" s="36"/>
      <c r="N479" s="26"/>
      <c r="O479" s="26"/>
      <c r="P479" s="42"/>
    </row>
    <row r="480" spans="1:16" x14ac:dyDescent="0.25">
      <c r="A480" s="22"/>
      <c r="B480" s="23"/>
      <c r="C480" s="57"/>
      <c r="D480" s="36"/>
      <c r="E480" s="31"/>
      <c r="F480" s="31"/>
      <c r="G480" s="56"/>
      <c r="H480" s="26"/>
      <c r="I480" s="26"/>
      <c r="J480" s="26"/>
      <c r="K480" s="26"/>
      <c r="L480" s="41"/>
      <c r="M480" s="36"/>
      <c r="N480" s="26"/>
      <c r="O480" s="26"/>
      <c r="P480" s="42"/>
    </row>
    <row r="481" spans="1:16" x14ac:dyDescent="0.25">
      <c r="A481" s="22"/>
      <c r="B481" s="23"/>
      <c r="C481" s="57"/>
      <c r="D481" s="36"/>
      <c r="E481" s="31"/>
      <c r="F481" s="31"/>
      <c r="G481" s="56"/>
      <c r="H481" s="26"/>
      <c r="I481" s="26"/>
      <c r="J481" s="26"/>
      <c r="K481" s="26"/>
      <c r="L481" s="41"/>
      <c r="M481" s="36"/>
      <c r="N481" s="26"/>
      <c r="O481" s="26"/>
      <c r="P481" s="42"/>
    </row>
    <row r="482" spans="1:16" x14ac:dyDescent="0.25">
      <c r="A482" s="22"/>
      <c r="B482" s="23"/>
      <c r="C482" s="57"/>
      <c r="D482" s="36"/>
      <c r="E482" s="31"/>
      <c r="F482" s="31"/>
      <c r="G482" s="56"/>
      <c r="H482" s="26"/>
      <c r="I482" s="26"/>
      <c r="J482" s="26"/>
      <c r="K482" s="26"/>
      <c r="L482" s="41"/>
      <c r="M482" s="36"/>
      <c r="N482" s="26"/>
      <c r="O482" s="26"/>
      <c r="P482" s="42"/>
    </row>
    <row r="483" spans="1:16" x14ac:dyDescent="0.25">
      <c r="A483" s="22"/>
      <c r="B483" s="23"/>
      <c r="C483" s="57"/>
      <c r="D483" s="36"/>
      <c r="E483" s="31"/>
      <c r="F483" s="31"/>
      <c r="G483" s="56"/>
      <c r="H483" s="26"/>
      <c r="I483" s="26"/>
      <c r="J483" s="26"/>
      <c r="K483" s="26"/>
      <c r="L483" s="41"/>
      <c r="M483" s="36"/>
      <c r="N483" s="26"/>
      <c r="O483" s="26"/>
      <c r="P483" s="42"/>
    </row>
    <row r="484" spans="1:16" x14ac:dyDescent="0.25">
      <c r="A484" s="22"/>
      <c r="B484" s="23"/>
      <c r="C484" s="57"/>
      <c r="D484" s="36"/>
      <c r="E484" s="31"/>
      <c r="F484" s="31"/>
      <c r="G484" s="56"/>
      <c r="H484" s="26"/>
      <c r="I484" s="26"/>
      <c r="J484" s="26"/>
      <c r="K484" s="26"/>
      <c r="L484" s="41"/>
      <c r="M484" s="36"/>
      <c r="N484" s="26"/>
      <c r="O484" s="26"/>
      <c r="P484" s="42"/>
    </row>
    <row r="485" spans="1:16" x14ac:dyDescent="0.25">
      <c r="A485" s="22"/>
      <c r="B485" s="23"/>
      <c r="C485" s="57"/>
      <c r="D485" s="36"/>
      <c r="E485" s="31"/>
      <c r="F485" s="31"/>
      <c r="G485" s="56"/>
      <c r="H485" s="26"/>
      <c r="I485" s="26"/>
      <c r="J485" s="26"/>
      <c r="K485" s="26"/>
      <c r="L485" s="41"/>
      <c r="M485" s="36"/>
      <c r="N485" s="26"/>
      <c r="O485" s="26"/>
      <c r="P485" s="42"/>
    </row>
    <row r="486" spans="1:16" x14ac:dyDescent="0.25">
      <c r="A486" s="22"/>
      <c r="B486" s="23"/>
      <c r="C486" s="57"/>
      <c r="D486" s="36"/>
      <c r="E486" s="31"/>
      <c r="F486" s="31"/>
      <c r="G486" s="56"/>
      <c r="H486" s="26"/>
      <c r="I486" s="26"/>
      <c r="J486" s="26"/>
      <c r="K486" s="26"/>
      <c r="L486" s="41"/>
      <c r="M486" s="36"/>
      <c r="N486" s="26"/>
      <c r="O486" s="26"/>
      <c r="P486" s="42"/>
    </row>
    <row r="487" spans="1:16" x14ac:dyDescent="0.25">
      <c r="A487" s="22"/>
      <c r="B487" s="23"/>
      <c r="C487" s="57"/>
      <c r="D487" s="36"/>
      <c r="E487" s="31"/>
      <c r="F487" s="31"/>
      <c r="G487" s="56"/>
      <c r="H487" s="26"/>
      <c r="I487" s="26"/>
      <c r="J487" s="26"/>
      <c r="K487" s="26"/>
      <c r="L487" s="41"/>
      <c r="M487" s="36"/>
      <c r="N487" s="26"/>
      <c r="O487" s="26"/>
      <c r="P487" s="42"/>
    </row>
    <row r="488" spans="1:16" x14ac:dyDescent="0.25">
      <c r="A488" s="22"/>
      <c r="B488" s="23"/>
      <c r="C488" s="57"/>
      <c r="D488" s="36"/>
      <c r="E488" s="31"/>
      <c r="F488" s="31"/>
      <c r="G488" s="56"/>
      <c r="H488" s="26"/>
      <c r="I488" s="26"/>
      <c r="J488" s="26"/>
      <c r="K488" s="26"/>
      <c r="L488" s="41"/>
      <c r="M488" s="36"/>
      <c r="N488" s="26"/>
      <c r="O488" s="26"/>
      <c r="P488" s="42"/>
    </row>
    <row r="489" spans="1:16" x14ac:dyDescent="0.25">
      <c r="A489" s="22"/>
      <c r="B489" s="23"/>
      <c r="C489" s="57"/>
      <c r="D489" s="36"/>
      <c r="E489" s="31"/>
      <c r="F489" s="31"/>
      <c r="G489" s="56"/>
      <c r="H489" s="26"/>
      <c r="I489" s="26"/>
      <c r="J489" s="26"/>
      <c r="K489" s="26"/>
      <c r="L489" s="41"/>
      <c r="M489" s="36"/>
      <c r="N489" s="26"/>
      <c r="O489" s="26"/>
      <c r="P489" s="42"/>
    </row>
    <row r="490" spans="1:16" x14ac:dyDescent="0.25">
      <c r="A490" s="22"/>
      <c r="B490" s="23"/>
      <c r="C490" s="57"/>
      <c r="D490" s="36"/>
      <c r="E490" s="31"/>
      <c r="F490" s="31"/>
      <c r="G490" s="56"/>
      <c r="H490" s="26"/>
      <c r="I490" s="26"/>
      <c r="J490" s="26"/>
      <c r="K490" s="26"/>
      <c r="L490" s="41"/>
      <c r="M490" s="36"/>
      <c r="N490" s="26"/>
      <c r="O490" s="26"/>
      <c r="P490" s="42"/>
    </row>
    <row r="491" spans="1:16" x14ac:dyDescent="0.25">
      <c r="A491" s="22"/>
      <c r="B491" s="23"/>
      <c r="C491" s="57"/>
      <c r="D491" s="36"/>
      <c r="E491" s="31"/>
      <c r="F491" s="31"/>
      <c r="G491" s="56"/>
      <c r="H491" s="26"/>
      <c r="I491" s="26"/>
      <c r="J491" s="26"/>
      <c r="K491" s="26"/>
      <c r="L491" s="41"/>
      <c r="M491" s="36"/>
      <c r="N491" s="26"/>
      <c r="O491" s="26"/>
      <c r="P491" s="42"/>
    </row>
    <row r="492" spans="1:16" x14ac:dyDescent="0.25">
      <c r="A492" s="22"/>
      <c r="B492" s="23"/>
      <c r="C492" s="57"/>
      <c r="D492" s="36"/>
      <c r="E492" s="31"/>
      <c r="F492" s="31"/>
      <c r="G492" s="56"/>
      <c r="H492" s="26"/>
      <c r="I492" s="26"/>
      <c r="J492" s="26"/>
      <c r="K492" s="26"/>
      <c r="L492" s="41"/>
      <c r="M492" s="36"/>
      <c r="N492" s="26"/>
      <c r="O492" s="26"/>
      <c r="P492" s="42"/>
    </row>
    <row r="493" spans="1:16" x14ac:dyDescent="0.25">
      <c r="A493" s="22"/>
      <c r="B493" s="23"/>
      <c r="C493" s="57"/>
      <c r="D493" s="36"/>
      <c r="E493" s="31"/>
      <c r="F493" s="31"/>
      <c r="G493" s="56"/>
      <c r="H493" s="26"/>
      <c r="I493" s="26"/>
      <c r="J493" s="26"/>
      <c r="K493" s="26"/>
      <c r="L493" s="41"/>
      <c r="M493" s="36"/>
      <c r="N493" s="26"/>
      <c r="O493" s="26"/>
      <c r="P493" s="42"/>
    </row>
    <row r="494" spans="1:16" x14ac:dyDescent="0.25">
      <c r="A494" s="22"/>
      <c r="B494" s="23"/>
      <c r="C494" s="57"/>
      <c r="D494" s="36"/>
      <c r="E494" s="31"/>
      <c r="F494" s="31"/>
      <c r="G494" s="56"/>
      <c r="H494" s="26"/>
      <c r="I494" s="26"/>
      <c r="J494" s="26"/>
      <c r="K494" s="26"/>
      <c r="L494" s="41"/>
      <c r="M494" s="36"/>
      <c r="N494" s="26"/>
      <c r="O494" s="26"/>
      <c r="P494" s="42"/>
    </row>
    <row r="495" spans="1:16" x14ac:dyDescent="0.25">
      <c r="A495" s="22"/>
      <c r="B495" s="23"/>
      <c r="C495" s="57"/>
      <c r="D495" s="36"/>
      <c r="E495" s="31"/>
      <c r="F495" s="31"/>
      <c r="G495" s="56"/>
      <c r="H495" s="26"/>
      <c r="I495" s="26"/>
      <c r="J495" s="26"/>
      <c r="K495" s="26"/>
      <c r="L495" s="41"/>
      <c r="M495" s="36"/>
      <c r="N495" s="26"/>
      <c r="O495" s="26"/>
      <c r="P495" s="42"/>
    </row>
    <row r="496" spans="1:16" x14ac:dyDescent="0.25">
      <c r="A496" s="22"/>
      <c r="B496" s="23"/>
      <c r="C496" s="57"/>
      <c r="D496" s="36"/>
      <c r="E496" s="31"/>
      <c r="F496" s="31"/>
      <c r="G496" s="56"/>
      <c r="H496" s="26"/>
      <c r="I496" s="26"/>
      <c r="J496" s="26"/>
      <c r="K496" s="26"/>
      <c r="L496" s="41"/>
      <c r="M496" s="36"/>
      <c r="N496" s="26"/>
      <c r="O496" s="26"/>
      <c r="P496" s="42"/>
    </row>
    <row r="497" spans="1:16" x14ac:dyDescent="0.25">
      <c r="A497" s="22"/>
      <c r="B497" s="23"/>
      <c r="C497" s="57"/>
      <c r="D497" s="36"/>
      <c r="E497" s="31"/>
      <c r="F497" s="31"/>
      <c r="G497" s="56"/>
      <c r="H497" s="26"/>
      <c r="I497" s="26"/>
      <c r="J497" s="26"/>
      <c r="K497" s="26"/>
      <c r="L497" s="41"/>
      <c r="M497" s="36"/>
      <c r="N497" s="26"/>
      <c r="O497" s="26"/>
      <c r="P497" s="42"/>
    </row>
    <row r="498" spans="1:16" x14ac:dyDescent="0.25">
      <c r="A498" s="22"/>
      <c r="B498" s="23"/>
      <c r="C498" s="57"/>
      <c r="D498" s="36"/>
      <c r="E498" s="31"/>
      <c r="F498" s="31"/>
      <c r="G498" s="56"/>
      <c r="H498" s="26"/>
      <c r="I498" s="26"/>
      <c r="J498" s="26"/>
      <c r="K498" s="26"/>
      <c r="L498" s="41"/>
      <c r="M498" s="36"/>
      <c r="N498" s="26"/>
      <c r="O498" s="26"/>
      <c r="P498" s="42"/>
    </row>
    <row r="499" spans="1:16" x14ac:dyDescent="0.25">
      <c r="A499" s="22"/>
      <c r="B499" s="23"/>
      <c r="C499" s="57"/>
      <c r="D499" s="36"/>
      <c r="E499" s="31"/>
      <c r="F499" s="31"/>
      <c r="G499" s="56"/>
      <c r="H499" s="26"/>
      <c r="I499" s="26"/>
      <c r="J499" s="26"/>
      <c r="K499" s="26"/>
      <c r="L499" s="41"/>
      <c r="M499" s="36"/>
      <c r="N499" s="26"/>
      <c r="O499" s="26"/>
      <c r="P499" s="42"/>
    </row>
    <row r="500" spans="1:16" x14ac:dyDescent="0.25">
      <c r="A500" s="22"/>
      <c r="B500" s="23"/>
      <c r="C500" s="57"/>
      <c r="D500" s="36"/>
      <c r="E500" s="31"/>
      <c r="F500" s="31"/>
      <c r="G500" s="56"/>
      <c r="H500" s="26"/>
      <c r="I500" s="26"/>
      <c r="J500" s="26"/>
      <c r="K500" s="26"/>
      <c r="L500" s="41"/>
      <c r="M500" s="36"/>
      <c r="N500" s="26"/>
      <c r="O500" s="26"/>
      <c r="P500" s="42"/>
    </row>
    <row r="501" spans="1:16" x14ac:dyDescent="0.25">
      <c r="A501" s="22"/>
      <c r="B501" s="23"/>
      <c r="C501" s="57"/>
      <c r="D501" s="36"/>
      <c r="E501" s="31"/>
      <c r="F501" s="31"/>
      <c r="G501" s="56"/>
      <c r="H501" s="26"/>
      <c r="I501" s="26"/>
      <c r="J501" s="26"/>
      <c r="K501" s="26"/>
      <c r="L501" s="41"/>
      <c r="M501" s="36"/>
      <c r="N501" s="26"/>
      <c r="O501" s="26"/>
      <c r="P501" s="42"/>
    </row>
    <row r="502" spans="1:16" x14ac:dyDescent="0.25">
      <c r="A502" s="22"/>
      <c r="B502" s="23"/>
      <c r="C502" s="57"/>
      <c r="D502" s="36"/>
      <c r="E502" s="31"/>
      <c r="F502" s="31"/>
      <c r="G502" s="56"/>
      <c r="H502" s="26"/>
      <c r="I502" s="26"/>
      <c r="J502" s="26"/>
      <c r="K502" s="26"/>
      <c r="L502" s="41"/>
      <c r="M502" s="36"/>
      <c r="N502" s="26"/>
      <c r="O502" s="26"/>
      <c r="P502" s="42"/>
    </row>
    <row r="503" spans="1:16" x14ac:dyDescent="0.25">
      <c r="A503" s="22"/>
      <c r="B503" s="23"/>
      <c r="C503" s="57"/>
      <c r="D503" s="36"/>
      <c r="E503" s="31"/>
      <c r="F503" s="31"/>
      <c r="G503" s="56"/>
      <c r="H503" s="26"/>
      <c r="I503" s="26"/>
      <c r="J503" s="26"/>
      <c r="K503" s="26"/>
      <c r="L503" s="41"/>
      <c r="M503" s="36"/>
      <c r="N503" s="26"/>
      <c r="O503" s="26"/>
      <c r="P503" s="42"/>
    </row>
    <row r="504" spans="1:16" x14ac:dyDescent="0.25">
      <c r="A504" s="22"/>
      <c r="B504" s="23"/>
      <c r="C504" s="57"/>
      <c r="D504" s="36"/>
      <c r="E504" s="31"/>
      <c r="F504" s="31"/>
      <c r="G504" s="56"/>
      <c r="H504" s="26"/>
      <c r="I504" s="26"/>
      <c r="J504" s="26"/>
      <c r="K504" s="26"/>
      <c r="L504" s="41"/>
      <c r="M504" s="36"/>
      <c r="N504" s="26"/>
      <c r="O504" s="26"/>
      <c r="P504" s="42"/>
    </row>
    <row r="505" spans="1:16" x14ac:dyDescent="0.25">
      <c r="A505" s="22"/>
      <c r="B505" s="23"/>
      <c r="C505" s="57"/>
      <c r="D505" s="36"/>
      <c r="E505" s="31"/>
      <c r="F505" s="31"/>
      <c r="G505" s="56"/>
      <c r="H505" s="26"/>
      <c r="I505" s="26"/>
      <c r="J505" s="26"/>
      <c r="K505" s="26"/>
      <c r="L505" s="41"/>
      <c r="M505" s="36"/>
      <c r="N505" s="26"/>
      <c r="O505" s="26"/>
      <c r="P505" s="42"/>
    </row>
    <row r="506" spans="1:16" x14ac:dyDescent="0.25">
      <c r="A506" s="22"/>
      <c r="B506" s="23"/>
      <c r="C506" s="57"/>
      <c r="D506" s="36"/>
      <c r="E506" s="31"/>
      <c r="F506" s="31"/>
      <c r="G506" s="56"/>
      <c r="H506" s="26"/>
      <c r="I506" s="26"/>
      <c r="J506" s="26"/>
      <c r="K506" s="26"/>
      <c r="L506" s="41"/>
      <c r="M506" s="36"/>
      <c r="N506" s="26"/>
      <c r="O506" s="26"/>
      <c r="P506" s="42"/>
    </row>
    <row r="507" spans="1:16" x14ac:dyDescent="0.25">
      <c r="A507" s="22"/>
      <c r="B507" s="23"/>
      <c r="C507" s="57"/>
      <c r="D507" s="36"/>
      <c r="E507" s="31"/>
      <c r="F507" s="31"/>
      <c r="G507" s="56"/>
      <c r="H507" s="26"/>
      <c r="I507" s="26"/>
      <c r="J507" s="26"/>
      <c r="K507" s="26"/>
      <c r="L507" s="41"/>
      <c r="M507" s="36"/>
      <c r="N507" s="26"/>
      <c r="O507" s="26"/>
      <c r="P507" s="42"/>
    </row>
    <row r="508" spans="1:16" x14ac:dyDescent="0.25">
      <c r="A508" s="22"/>
      <c r="B508" s="23"/>
      <c r="C508" s="57"/>
      <c r="D508" s="36"/>
      <c r="E508" s="31"/>
      <c r="F508" s="31"/>
      <c r="G508" s="56"/>
      <c r="H508" s="26"/>
      <c r="I508" s="26"/>
      <c r="J508" s="26"/>
      <c r="K508" s="26"/>
      <c r="L508" s="41"/>
      <c r="M508" s="36"/>
      <c r="N508" s="26"/>
      <c r="O508" s="26"/>
      <c r="P508" s="42"/>
    </row>
    <row r="509" spans="1:16" x14ac:dyDescent="0.25">
      <c r="A509" s="22"/>
      <c r="B509" s="23"/>
      <c r="C509" s="57"/>
      <c r="D509" s="36"/>
      <c r="E509" s="31"/>
      <c r="F509" s="31"/>
      <c r="G509" s="56"/>
      <c r="H509" s="26"/>
      <c r="I509" s="26"/>
      <c r="J509" s="26"/>
      <c r="K509" s="26"/>
      <c r="L509" s="41"/>
      <c r="M509" s="36"/>
      <c r="N509" s="26"/>
      <c r="O509" s="26"/>
      <c r="P509" s="42"/>
    </row>
    <row r="510" spans="1:16" x14ac:dyDescent="0.25">
      <c r="A510" s="22"/>
      <c r="B510" s="23"/>
      <c r="C510" s="57"/>
      <c r="D510" s="36"/>
      <c r="E510" s="31"/>
      <c r="F510" s="31"/>
      <c r="G510" s="56"/>
      <c r="H510" s="26"/>
      <c r="I510" s="26"/>
      <c r="J510" s="26"/>
      <c r="K510" s="26"/>
      <c r="L510" s="41"/>
      <c r="M510" s="36"/>
      <c r="N510" s="26"/>
      <c r="O510" s="26"/>
      <c r="P510" s="42"/>
    </row>
    <row r="511" spans="1:16" x14ac:dyDescent="0.25">
      <c r="A511" s="22"/>
      <c r="B511" s="23"/>
      <c r="C511" s="57"/>
      <c r="D511" s="36"/>
      <c r="E511" s="31"/>
      <c r="F511" s="31"/>
      <c r="G511" s="56"/>
      <c r="H511" s="26"/>
      <c r="I511" s="26"/>
      <c r="J511" s="26"/>
      <c r="K511" s="26"/>
      <c r="L511" s="41"/>
      <c r="M511" s="36"/>
      <c r="N511" s="26"/>
      <c r="O511" s="26"/>
      <c r="P511" s="42"/>
    </row>
    <row r="512" spans="1:16" x14ac:dyDescent="0.25">
      <c r="A512" s="22"/>
      <c r="B512" s="23"/>
      <c r="C512" s="57"/>
      <c r="D512" s="36"/>
      <c r="E512" s="31"/>
      <c r="F512" s="31"/>
      <c r="G512" s="56"/>
      <c r="H512" s="26"/>
      <c r="I512" s="26"/>
      <c r="J512" s="26"/>
      <c r="K512" s="26"/>
      <c r="L512" s="41"/>
      <c r="M512" s="36"/>
      <c r="N512" s="26"/>
      <c r="O512" s="26"/>
      <c r="P512" s="42"/>
    </row>
    <row r="513" spans="1:16" x14ac:dyDescent="0.25">
      <c r="A513" s="22"/>
      <c r="B513" s="23"/>
      <c r="C513" s="57"/>
      <c r="D513" s="36"/>
      <c r="E513" s="31"/>
      <c r="F513" s="31"/>
      <c r="G513" s="56"/>
      <c r="H513" s="26"/>
      <c r="I513" s="26"/>
      <c r="J513" s="26"/>
      <c r="K513" s="26"/>
      <c r="L513" s="41"/>
      <c r="M513" s="36"/>
      <c r="N513" s="26"/>
      <c r="O513" s="26"/>
      <c r="P513" s="42"/>
    </row>
    <row r="514" spans="1:16" x14ac:dyDescent="0.25">
      <c r="A514" s="22"/>
      <c r="B514" s="23"/>
      <c r="C514" s="57"/>
      <c r="D514" s="36"/>
      <c r="E514" s="31"/>
      <c r="F514" s="31"/>
      <c r="G514" s="56"/>
      <c r="H514" s="26"/>
      <c r="I514" s="26"/>
      <c r="J514" s="26"/>
      <c r="K514" s="26"/>
      <c r="L514" s="41"/>
      <c r="M514" s="36"/>
      <c r="N514" s="26"/>
      <c r="O514" s="26"/>
      <c r="P514" s="42"/>
    </row>
    <row r="515" spans="1:16" x14ac:dyDescent="0.25">
      <c r="A515" s="22"/>
      <c r="B515" s="23"/>
      <c r="C515" s="57"/>
      <c r="D515" s="36"/>
      <c r="E515" s="31"/>
      <c r="F515" s="31"/>
      <c r="G515" s="56"/>
      <c r="H515" s="26"/>
      <c r="I515" s="26"/>
      <c r="J515" s="26"/>
      <c r="K515" s="26"/>
      <c r="L515" s="41"/>
      <c r="M515" s="36"/>
      <c r="N515" s="26"/>
      <c r="O515" s="26"/>
      <c r="P515" s="42"/>
    </row>
    <row r="516" spans="1:16" x14ac:dyDescent="0.25">
      <c r="A516" s="22"/>
      <c r="B516" s="23"/>
      <c r="C516" s="57"/>
      <c r="D516" s="36"/>
      <c r="E516" s="31"/>
      <c r="F516" s="31"/>
      <c r="G516" s="56"/>
      <c r="H516" s="26"/>
      <c r="I516" s="26"/>
      <c r="J516" s="26"/>
      <c r="K516" s="26"/>
      <c r="L516" s="41"/>
      <c r="M516" s="36"/>
      <c r="N516" s="26"/>
      <c r="O516" s="26"/>
      <c r="P516" s="42"/>
    </row>
    <row r="517" spans="1:16" x14ac:dyDescent="0.25">
      <c r="A517" s="22"/>
      <c r="B517" s="23"/>
      <c r="C517" s="57"/>
      <c r="D517" s="36"/>
      <c r="E517" s="31"/>
      <c r="F517" s="31"/>
      <c r="G517" s="56"/>
      <c r="H517" s="26"/>
      <c r="I517" s="26"/>
      <c r="J517" s="26"/>
      <c r="K517" s="26"/>
      <c r="L517" s="41"/>
      <c r="M517" s="36"/>
      <c r="N517" s="26"/>
      <c r="O517" s="26"/>
      <c r="P517" s="42"/>
    </row>
    <row r="518" spans="1:16" x14ac:dyDescent="0.25">
      <c r="A518" s="22"/>
      <c r="B518" s="23"/>
      <c r="C518" s="57"/>
      <c r="D518" s="36"/>
      <c r="E518" s="31"/>
      <c r="F518" s="31"/>
      <c r="G518" s="56"/>
      <c r="H518" s="26"/>
      <c r="I518" s="26"/>
      <c r="J518" s="26"/>
      <c r="K518" s="26"/>
      <c r="L518" s="41"/>
      <c r="M518" s="36"/>
      <c r="N518" s="26"/>
      <c r="O518" s="26"/>
      <c r="P518" s="42"/>
    </row>
    <row r="519" spans="1:16" x14ac:dyDescent="0.25">
      <c r="A519" s="22"/>
      <c r="B519" s="23"/>
      <c r="C519" s="57"/>
      <c r="D519" s="36"/>
      <c r="E519" s="31"/>
      <c r="F519" s="31"/>
      <c r="G519" s="56"/>
      <c r="H519" s="26"/>
      <c r="I519" s="26"/>
      <c r="J519" s="26"/>
      <c r="K519" s="26"/>
      <c r="L519" s="41"/>
      <c r="M519" s="36"/>
      <c r="N519" s="26"/>
      <c r="O519" s="26"/>
      <c r="P519" s="42"/>
    </row>
    <row r="520" spans="1:16" x14ac:dyDescent="0.25">
      <c r="A520" s="22"/>
      <c r="B520" s="23"/>
      <c r="C520" s="57"/>
      <c r="D520" s="36"/>
      <c r="E520" s="31"/>
      <c r="F520" s="31"/>
      <c r="G520" s="56"/>
      <c r="H520" s="26"/>
      <c r="I520" s="26"/>
      <c r="J520" s="26"/>
      <c r="K520" s="26"/>
      <c r="L520" s="41"/>
      <c r="M520" s="36"/>
      <c r="N520" s="26"/>
      <c r="O520" s="26"/>
      <c r="P520" s="42"/>
    </row>
    <row r="521" spans="1:16" x14ac:dyDescent="0.25">
      <c r="A521" s="22"/>
      <c r="B521" s="23"/>
      <c r="C521" s="57"/>
      <c r="D521" s="36"/>
      <c r="E521" s="31"/>
      <c r="F521" s="31"/>
      <c r="G521" s="56"/>
      <c r="H521" s="26"/>
      <c r="I521" s="26"/>
      <c r="J521" s="26"/>
      <c r="K521" s="26"/>
      <c r="L521" s="41"/>
      <c r="M521" s="36"/>
      <c r="N521" s="26"/>
      <c r="O521" s="26"/>
      <c r="P521" s="42"/>
    </row>
    <row r="522" spans="1:16" x14ac:dyDescent="0.25">
      <c r="A522" s="22"/>
      <c r="B522" s="23"/>
      <c r="C522" s="57"/>
      <c r="D522" s="36"/>
      <c r="E522" s="31"/>
      <c r="F522" s="31"/>
      <c r="G522" s="56"/>
      <c r="H522" s="26"/>
      <c r="I522" s="26"/>
      <c r="J522" s="26"/>
      <c r="K522" s="26"/>
      <c r="L522" s="41"/>
      <c r="M522" s="36"/>
      <c r="N522" s="26"/>
      <c r="O522" s="26"/>
      <c r="P522" s="42"/>
    </row>
    <row r="523" spans="1:16" x14ac:dyDescent="0.25">
      <c r="A523" s="22"/>
      <c r="B523" s="23"/>
      <c r="C523" s="57"/>
      <c r="D523" s="36"/>
      <c r="E523" s="31"/>
      <c r="F523" s="31"/>
      <c r="G523" s="56"/>
      <c r="H523" s="26"/>
      <c r="I523" s="26"/>
      <c r="J523" s="26"/>
      <c r="K523" s="26"/>
      <c r="L523" s="41"/>
      <c r="M523" s="36"/>
      <c r="N523" s="26"/>
      <c r="O523" s="26"/>
      <c r="P523" s="42"/>
    </row>
    <row r="524" spans="1:16" x14ac:dyDescent="0.25">
      <c r="A524" s="22"/>
      <c r="B524" s="23"/>
      <c r="C524" s="57"/>
      <c r="D524" s="36"/>
      <c r="E524" s="31"/>
      <c r="F524" s="31"/>
      <c r="G524" s="56"/>
      <c r="H524" s="26"/>
      <c r="I524" s="26"/>
      <c r="J524" s="26"/>
      <c r="K524" s="26"/>
      <c r="L524" s="41"/>
      <c r="M524" s="36"/>
      <c r="N524" s="26"/>
      <c r="O524" s="26"/>
      <c r="P524" s="42"/>
    </row>
    <row r="525" spans="1:16" x14ac:dyDescent="0.25">
      <c r="A525" s="22"/>
      <c r="B525" s="23"/>
      <c r="C525" s="57"/>
      <c r="D525" s="36"/>
      <c r="E525" s="31"/>
      <c r="F525" s="31"/>
      <c r="G525" s="56"/>
      <c r="H525" s="26"/>
      <c r="I525" s="26"/>
      <c r="J525" s="26"/>
      <c r="K525" s="26"/>
      <c r="L525" s="41"/>
      <c r="M525" s="36"/>
      <c r="N525" s="26"/>
      <c r="O525" s="26"/>
      <c r="P525" s="42"/>
    </row>
    <row r="526" spans="1:16" x14ac:dyDescent="0.25">
      <c r="A526" s="22"/>
      <c r="B526" s="23"/>
      <c r="C526" s="57"/>
      <c r="D526" s="36"/>
      <c r="E526" s="31"/>
      <c r="F526" s="31"/>
      <c r="G526" s="56"/>
      <c r="H526" s="26"/>
      <c r="I526" s="26"/>
      <c r="J526" s="26"/>
      <c r="K526" s="26"/>
      <c r="L526" s="41"/>
      <c r="M526" s="36"/>
      <c r="N526" s="26"/>
      <c r="O526" s="26"/>
      <c r="P526" s="42"/>
    </row>
    <row r="527" spans="1:16" x14ac:dyDescent="0.25">
      <c r="A527" s="22"/>
      <c r="B527" s="23"/>
      <c r="C527" s="57"/>
      <c r="D527" s="36"/>
      <c r="E527" s="31"/>
      <c r="F527" s="31"/>
      <c r="G527" s="56"/>
      <c r="H527" s="26"/>
      <c r="I527" s="26"/>
      <c r="J527" s="26"/>
      <c r="K527" s="26"/>
      <c r="L527" s="41"/>
      <c r="M527" s="36"/>
      <c r="N527" s="26"/>
      <c r="O527" s="26"/>
      <c r="P527" s="42"/>
    </row>
    <row r="528" spans="1:16" x14ac:dyDescent="0.25">
      <c r="A528" s="22"/>
      <c r="B528" s="23"/>
      <c r="C528" s="57"/>
      <c r="D528" s="36"/>
      <c r="E528" s="31"/>
      <c r="F528" s="31"/>
      <c r="G528" s="56"/>
      <c r="H528" s="26"/>
      <c r="I528" s="26"/>
      <c r="J528" s="26"/>
      <c r="K528" s="26"/>
      <c r="L528" s="41"/>
      <c r="M528" s="36"/>
      <c r="N528" s="26"/>
      <c r="O528" s="26"/>
      <c r="P528" s="42"/>
    </row>
    <row r="529" spans="1:16" x14ac:dyDescent="0.25">
      <c r="A529" s="22"/>
      <c r="B529" s="23"/>
      <c r="C529" s="57"/>
      <c r="D529" s="36"/>
      <c r="E529" s="31"/>
      <c r="F529" s="31"/>
      <c r="G529" s="56"/>
      <c r="H529" s="26"/>
      <c r="I529" s="26"/>
      <c r="J529" s="26"/>
      <c r="K529" s="26"/>
      <c r="L529" s="41"/>
      <c r="M529" s="36"/>
      <c r="N529" s="26"/>
      <c r="O529" s="26"/>
      <c r="P529" s="42"/>
    </row>
    <row r="530" spans="1:16" x14ac:dyDescent="0.25">
      <c r="A530" s="22"/>
      <c r="B530" s="23"/>
      <c r="C530" s="57"/>
      <c r="D530" s="36"/>
      <c r="E530" s="31"/>
      <c r="F530" s="31"/>
      <c r="G530" s="56"/>
      <c r="H530" s="26"/>
      <c r="I530" s="26"/>
      <c r="J530" s="26"/>
      <c r="K530" s="26"/>
      <c r="L530" s="41"/>
      <c r="M530" s="36"/>
      <c r="N530" s="26"/>
      <c r="O530" s="26"/>
      <c r="P530" s="42"/>
    </row>
    <row r="531" spans="1:16" x14ac:dyDescent="0.25">
      <c r="A531" s="22"/>
      <c r="B531" s="23"/>
      <c r="C531" s="57"/>
      <c r="D531" s="36"/>
      <c r="E531" s="31"/>
      <c r="F531" s="31"/>
      <c r="G531" s="56"/>
      <c r="H531" s="26"/>
      <c r="I531" s="26"/>
      <c r="J531" s="26"/>
      <c r="K531" s="26"/>
      <c r="L531" s="41"/>
      <c r="M531" s="36"/>
      <c r="N531" s="26"/>
      <c r="O531" s="26"/>
      <c r="P531" s="42"/>
    </row>
    <row r="532" spans="1:16" x14ac:dyDescent="0.25">
      <c r="A532" s="22"/>
      <c r="B532" s="23"/>
      <c r="C532" s="57"/>
      <c r="D532" s="36"/>
      <c r="E532" s="31"/>
      <c r="F532" s="31"/>
      <c r="G532" s="56"/>
      <c r="H532" s="26"/>
      <c r="I532" s="26"/>
      <c r="J532" s="26"/>
      <c r="K532" s="26"/>
      <c r="L532" s="41"/>
      <c r="M532" s="36"/>
      <c r="N532" s="26"/>
      <c r="O532" s="26"/>
      <c r="P532" s="42"/>
    </row>
    <row r="533" spans="1:16" x14ac:dyDescent="0.25">
      <c r="A533" s="22"/>
      <c r="B533" s="23"/>
      <c r="C533" s="57"/>
      <c r="D533" s="36"/>
      <c r="E533" s="31"/>
      <c r="F533" s="31"/>
      <c r="G533" s="56"/>
      <c r="H533" s="26"/>
      <c r="I533" s="26"/>
      <c r="J533" s="26"/>
      <c r="K533" s="26"/>
      <c r="L533" s="41"/>
      <c r="M533" s="36"/>
      <c r="N533" s="26"/>
      <c r="O533" s="26"/>
      <c r="P533" s="42"/>
    </row>
    <row r="534" spans="1:16" x14ac:dyDescent="0.25">
      <c r="A534" s="22"/>
      <c r="B534" s="23"/>
      <c r="C534" s="57"/>
      <c r="D534" s="36"/>
      <c r="E534" s="31"/>
      <c r="F534" s="31"/>
      <c r="G534" s="56"/>
      <c r="H534" s="26"/>
      <c r="I534" s="26"/>
      <c r="J534" s="26"/>
      <c r="K534" s="26"/>
      <c r="L534" s="41"/>
      <c r="M534" s="36"/>
      <c r="N534" s="26"/>
      <c r="O534" s="26"/>
      <c r="P534" s="42"/>
    </row>
    <row r="535" spans="1:16" x14ac:dyDescent="0.25">
      <c r="A535" s="22"/>
      <c r="B535" s="23"/>
      <c r="C535" s="57"/>
      <c r="D535" s="36"/>
      <c r="E535" s="31"/>
      <c r="F535" s="31"/>
      <c r="G535" s="56"/>
      <c r="H535" s="26"/>
      <c r="I535" s="26"/>
      <c r="J535" s="26"/>
      <c r="K535" s="26"/>
      <c r="L535" s="41"/>
      <c r="M535" s="36"/>
      <c r="N535" s="26"/>
      <c r="O535" s="26"/>
      <c r="P535" s="42"/>
    </row>
    <row r="536" spans="1:16" x14ac:dyDescent="0.25">
      <c r="A536" s="22"/>
      <c r="B536" s="23"/>
      <c r="C536" s="57"/>
      <c r="D536" s="36"/>
      <c r="E536" s="31"/>
      <c r="F536" s="31"/>
      <c r="G536" s="56"/>
      <c r="H536" s="26"/>
      <c r="I536" s="26"/>
      <c r="J536" s="26"/>
      <c r="K536" s="26"/>
      <c r="L536" s="41"/>
      <c r="M536" s="36"/>
      <c r="N536" s="26"/>
      <c r="O536" s="26"/>
      <c r="P536" s="42"/>
    </row>
    <row r="537" spans="1:16" x14ac:dyDescent="0.25">
      <c r="A537" s="22"/>
      <c r="B537" s="23"/>
      <c r="C537" s="57"/>
      <c r="D537" s="36"/>
      <c r="E537" s="31"/>
      <c r="F537" s="31"/>
      <c r="G537" s="56"/>
      <c r="H537" s="26"/>
      <c r="I537" s="26"/>
      <c r="J537" s="26"/>
      <c r="K537" s="26"/>
      <c r="L537" s="41"/>
      <c r="M537" s="36"/>
      <c r="N537" s="26"/>
      <c r="O537" s="26"/>
      <c r="P537" s="42"/>
    </row>
    <row r="538" spans="1:16" x14ac:dyDescent="0.25">
      <c r="A538" s="22"/>
      <c r="B538" s="23"/>
      <c r="C538" s="57"/>
      <c r="D538" s="36"/>
      <c r="E538" s="31"/>
      <c r="F538" s="31"/>
      <c r="G538" s="56"/>
      <c r="H538" s="26"/>
      <c r="I538" s="26"/>
      <c r="J538" s="26"/>
      <c r="K538" s="26"/>
      <c r="L538" s="41"/>
      <c r="M538" s="36"/>
      <c r="N538" s="26"/>
      <c r="O538" s="26"/>
      <c r="P538" s="42"/>
    </row>
    <row r="539" spans="1:16" x14ac:dyDescent="0.25">
      <c r="A539" s="22"/>
      <c r="B539" s="23"/>
      <c r="C539" s="57"/>
      <c r="D539" s="36"/>
      <c r="E539" s="31"/>
      <c r="F539" s="31"/>
      <c r="G539" s="56"/>
      <c r="H539" s="26"/>
      <c r="I539" s="26"/>
      <c r="J539" s="26"/>
      <c r="K539" s="26"/>
      <c r="L539" s="41"/>
      <c r="M539" s="36"/>
      <c r="N539" s="26"/>
      <c r="O539" s="26"/>
      <c r="P539" s="42"/>
    </row>
    <row r="540" spans="1:16" x14ac:dyDescent="0.25">
      <c r="A540" s="22"/>
      <c r="B540" s="23"/>
      <c r="C540" s="57"/>
      <c r="D540" s="36"/>
      <c r="E540" s="31"/>
      <c r="F540" s="31"/>
      <c r="G540" s="56"/>
      <c r="H540" s="26"/>
      <c r="I540" s="26"/>
      <c r="J540" s="26"/>
      <c r="K540" s="26"/>
      <c r="L540" s="41"/>
      <c r="M540" s="36"/>
      <c r="N540" s="26"/>
      <c r="O540" s="26"/>
      <c r="P540" s="42"/>
    </row>
    <row r="541" spans="1:16" x14ac:dyDescent="0.25">
      <c r="A541" s="22"/>
      <c r="B541" s="23"/>
      <c r="C541" s="57"/>
      <c r="D541" s="36"/>
      <c r="E541" s="31"/>
      <c r="F541" s="31"/>
      <c r="G541" s="56"/>
      <c r="H541" s="26"/>
      <c r="I541" s="26"/>
      <c r="J541" s="26"/>
      <c r="K541" s="26"/>
      <c r="L541" s="41"/>
      <c r="M541" s="36"/>
      <c r="N541" s="26"/>
      <c r="O541" s="26"/>
      <c r="P541" s="42"/>
    </row>
    <row r="542" spans="1:16" x14ac:dyDescent="0.25">
      <c r="A542" s="22"/>
      <c r="B542" s="23"/>
      <c r="C542" s="57"/>
      <c r="D542" s="36"/>
      <c r="E542" s="31"/>
      <c r="F542" s="31"/>
      <c r="G542" s="56"/>
      <c r="H542" s="26"/>
      <c r="I542" s="26"/>
      <c r="J542" s="26"/>
      <c r="K542" s="26"/>
      <c r="L542" s="41"/>
      <c r="M542" s="36"/>
      <c r="N542" s="26"/>
      <c r="O542" s="26"/>
      <c r="P542" s="42"/>
    </row>
    <row r="543" spans="1:16" x14ac:dyDescent="0.25">
      <c r="A543" s="22"/>
      <c r="B543" s="23"/>
      <c r="C543" s="57"/>
      <c r="D543" s="36"/>
      <c r="E543" s="31"/>
      <c r="F543" s="31"/>
      <c r="G543" s="56"/>
      <c r="H543" s="26"/>
      <c r="I543" s="26"/>
      <c r="J543" s="26"/>
      <c r="K543" s="26"/>
      <c r="L543" s="41"/>
      <c r="M543" s="36"/>
      <c r="N543" s="26"/>
      <c r="O543" s="26"/>
      <c r="P543" s="42"/>
    </row>
    <row r="544" spans="1:16" x14ac:dyDescent="0.25">
      <c r="A544" s="22"/>
      <c r="B544" s="23"/>
      <c r="C544" s="57"/>
      <c r="D544" s="36"/>
      <c r="E544" s="31"/>
      <c r="F544" s="31"/>
      <c r="G544" s="56"/>
      <c r="H544" s="26"/>
      <c r="I544" s="26"/>
      <c r="J544" s="26"/>
      <c r="K544" s="26"/>
      <c r="L544" s="41"/>
      <c r="M544" s="36"/>
      <c r="N544" s="26"/>
      <c r="O544" s="26"/>
      <c r="P544" s="42"/>
    </row>
    <row r="545" spans="1:16" x14ac:dyDescent="0.25">
      <c r="A545" s="22"/>
      <c r="B545" s="23"/>
      <c r="C545" s="57"/>
      <c r="D545" s="36"/>
      <c r="E545" s="31"/>
      <c r="F545" s="31"/>
      <c r="G545" s="56"/>
      <c r="H545" s="26"/>
      <c r="I545" s="26"/>
      <c r="J545" s="26"/>
      <c r="K545" s="26"/>
      <c r="L545" s="41"/>
      <c r="M545" s="36"/>
      <c r="N545" s="26"/>
      <c r="O545" s="26"/>
      <c r="P545" s="42"/>
    </row>
    <row r="546" spans="1:16" x14ac:dyDescent="0.25">
      <c r="A546" s="22"/>
      <c r="B546" s="23"/>
      <c r="C546" s="57"/>
      <c r="D546" s="36"/>
      <c r="E546" s="31"/>
      <c r="F546" s="31"/>
      <c r="G546" s="56"/>
      <c r="H546" s="26"/>
      <c r="I546" s="26"/>
      <c r="J546" s="26"/>
      <c r="K546" s="26"/>
      <c r="L546" s="41"/>
      <c r="M546" s="36"/>
      <c r="N546" s="26"/>
      <c r="O546" s="26"/>
      <c r="P546" s="42"/>
    </row>
    <row r="547" spans="1:16" x14ac:dyDescent="0.25">
      <c r="A547" s="22"/>
      <c r="B547" s="23"/>
      <c r="C547" s="57"/>
      <c r="D547" s="36"/>
      <c r="E547" s="31"/>
      <c r="F547" s="31"/>
      <c r="G547" s="56"/>
      <c r="H547" s="26"/>
      <c r="I547" s="26"/>
      <c r="J547" s="26"/>
      <c r="K547" s="26"/>
      <c r="L547" s="41"/>
      <c r="M547" s="36"/>
      <c r="N547" s="26"/>
      <c r="O547" s="26"/>
      <c r="P547" s="42"/>
    </row>
    <row r="548" spans="1:16" x14ac:dyDescent="0.25">
      <c r="A548" s="22"/>
      <c r="B548" s="23"/>
      <c r="C548" s="57"/>
      <c r="D548" s="36"/>
      <c r="E548" s="31"/>
      <c r="F548" s="31"/>
      <c r="G548" s="56"/>
      <c r="H548" s="26"/>
      <c r="I548" s="26"/>
      <c r="J548" s="26"/>
      <c r="K548" s="26"/>
      <c r="L548" s="41"/>
      <c r="M548" s="36"/>
      <c r="N548" s="26"/>
      <c r="O548" s="26"/>
      <c r="P548" s="42"/>
    </row>
    <row r="549" spans="1:16" x14ac:dyDescent="0.25">
      <c r="A549" s="22"/>
      <c r="B549" s="23"/>
      <c r="C549" s="57"/>
      <c r="D549" s="36"/>
      <c r="E549" s="31"/>
      <c r="F549" s="31"/>
      <c r="G549" s="56"/>
      <c r="H549" s="26"/>
      <c r="I549" s="26"/>
      <c r="J549" s="26"/>
      <c r="K549" s="26"/>
      <c r="L549" s="41"/>
      <c r="M549" s="36"/>
      <c r="N549" s="26"/>
      <c r="O549" s="26"/>
      <c r="P549" s="42"/>
    </row>
    <row r="550" spans="1:16" x14ac:dyDescent="0.25">
      <c r="A550" s="22"/>
      <c r="B550" s="23"/>
      <c r="C550" s="57"/>
      <c r="D550" s="36"/>
      <c r="E550" s="31"/>
      <c r="F550" s="31"/>
      <c r="G550" s="56"/>
      <c r="H550" s="26"/>
      <c r="I550" s="26"/>
      <c r="J550" s="26"/>
      <c r="K550" s="26"/>
      <c r="L550" s="41"/>
      <c r="M550" s="36"/>
      <c r="N550" s="26"/>
      <c r="O550" s="26"/>
      <c r="P550" s="42"/>
    </row>
    <row r="551" spans="1:16" x14ac:dyDescent="0.25">
      <c r="A551" s="22"/>
      <c r="B551" s="23"/>
      <c r="C551" s="57"/>
      <c r="D551" s="36"/>
      <c r="E551" s="31"/>
      <c r="F551" s="31"/>
      <c r="G551" s="56"/>
      <c r="H551" s="26"/>
      <c r="I551" s="26"/>
      <c r="J551" s="26"/>
      <c r="K551" s="26"/>
      <c r="L551" s="41"/>
      <c r="M551" s="36"/>
      <c r="N551" s="26"/>
      <c r="O551" s="26"/>
      <c r="P551" s="42"/>
    </row>
    <row r="552" spans="1:16" x14ac:dyDescent="0.25">
      <c r="A552" s="22"/>
      <c r="B552" s="23"/>
      <c r="C552" s="57"/>
      <c r="D552" s="36"/>
      <c r="E552" s="31"/>
      <c r="F552" s="31"/>
      <c r="G552" s="56"/>
      <c r="H552" s="26"/>
      <c r="I552" s="26"/>
      <c r="J552" s="26"/>
      <c r="K552" s="26"/>
      <c r="L552" s="41"/>
      <c r="M552" s="36"/>
      <c r="N552" s="26"/>
      <c r="O552" s="26"/>
      <c r="P552" s="42"/>
    </row>
    <row r="553" spans="1:16" x14ac:dyDescent="0.25">
      <c r="A553" s="22"/>
      <c r="B553" s="23"/>
      <c r="C553" s="57"/>
      <c r="D553" s="36"/>
      <c r="E553" s="31"/>
      <c r="F553" s="31"/>
      <c r="G553" s="56"/>
      <c r="H553" s="26"/>
      <c r="I553" s="26"/>
      <c r="J553" s="26"/>
      <c r="K553" s="26"/>
      <c r="L553" s="41"/>
      <c r="M553" s="36"/>
      <c r="N553" s="26"/>
      <c r="O553" s="26"/>
      <c r="P553" s="42"/>
    </row>
    <row r="554" spans="1:16" x14ac:dyDescent="0.25">
      <c r="A554" s="22"/>
      <c r="B554" s="23"/>
      <c r="C554" s="57"/>
      <c r="D554" s="36"/>
      <c r="E554" s="31"/>
      <c r="F554" s="31"/>
      <c r="G554" s="56"/>
      <c r="H554" s="26"/>
      <c r="I554" s="26"/>
      <c r="J554" s="26"/>
      <c r="K554" s="26"/>
      <c r="L554" s="41"/>
      <c r="M554" s="36"/>
      <c r="N554" s="26"/>
      <c r="O554" s="26"/>
      <c r="P554" s="42"/>
    </row>
    <row r="555" spans="1:16" x14ac:dyDescent="0.25">
      <c r="A555" s="22"/>
      <c r="B555" s="23"/>
      <c r="C555" s="57"/>
      <c r="D555" s="36"/>
      <c r="E555" s="31"/>
      <c r="F555" s="31"/>
      <c r="G555" s="56"/>
      <c r="H555" s="26"/>
      <c r="I555" s="26"/>
      <c r="J555" s="26"/>
      <c r="K555" s="26"/>
      <c r="L555" s="41"/>
      <c r="M555" s="36"/>
      <c r="N555" s="26"/>
      <c r="O555" s="26"/>
      <c r="P555" s="42"/>
    </row>
    <row r="556" spans="1:16" x14ac:dyDescent="0.25">
      <c r="A556" s="22"/>
      <c r="B556" s="23"/>
      <c r="C556" s="57"/>
      <c r="D556" s="36"/>
      <c r="E556" s="31"/>
      <c r="F556" s="31"/>
      <c r="G556" s="56"/>
      <c r="H556" s="26"/>
      <c r="I556" s="26"/>
      <c r="J556" s="26"/>
      <c r="K556" s="26"/>
      <c r="L556" s="41"/>
      <c r="M556" s="36"/>
      <c r="N556" s="26"/>
      <c r="O556" s="26"/>
      <c r="P556" s="42"/>
    </row>
    <row r="557" spans="1:16" x14ac:dyDescent="0.25">
      <c r="A557" s="22"/>
      <c r="B557" s="23"/>
      <c r="C557" s="57"/>
      <c r="D557" s="36"/>
      <c r="E557" s="31"/>
      <c r="F557" s="31"/>
      <c r="G557" s="56"/>
      <c r="H557" s="26"/>
      <c r="I557" s="26"/>
      <c r="J557" s="26"/>
      <c r="K557" s="26"/>
      <c r="L557" s="41"/>
      <c r="M557" s="36"/>
      <c r="N557" s="26"/>
      <c r="O557" s="26"/>
      <c r="P557" s="42"/>
    </row>
    <row r="558" spans="1:16" x14ac:dyDescent="0.25">
      <c r="A558" s="22"/>
      <c r="B558" s="23"/>
      <c r="C558" s="57"/>
      <c r="D558" s="36"/>
      <c r="E558" s="31"/>
      <c r="F558" s="31"/>
      <c r="G558" s="56"/>
      <c r="H558" s="26"/>
      <c r="I558" s="26"/>
      <c r="J558" s="26"/>
      <c r="K558" s="26"/>
      <c r="L558" s="41"/>
      <c r="M558" s="36"/>
      <c r="N558" s="26"/>
      <c r="O558" s="26"/>
      <c r="P558" s="42"/>
    </row>
    <row r="559" spans="1:16" x14ac:dyDescent="0.25">
      <c r="A559" s="22"/>
      <c r="B559" s="23"/>
      <c r="C559" s="57"/>
      <c r="D559" s="36"/>
      <c r="E559" s="31"/>
      <c r="F559" s="31"/>
      <c r="G559" s="56"/>
      <c r="H559" s="26"/>
      <c r="I559" s="26"/>
      <c r="J559" s="26"/>
      <c r="K559" s="26"/>
      <c r="L559" s="41"/>
      <c r="M559" s="36"/>
      <c r="N559" s="26"/>
      <c r="O559" s="26"/>
      <c r="P559" s="42"/>
    </row>
    <row r="560" spans="1:16" x14ac:dyDescent="0.25">
      <c r="A560" s="22"/>
      <c r="B560" s="23"/>
      <c r="C560" s="57"/>
      <c r="D560" s="36"/>
      <c r="E560" s="31"/>
      <c r="F560" s="31"/>
      <c r="G560" s="56"/>
      <c r="H560" s="26"/>
      <c r="I560" s="26"/>
      <c r="J560" s="26"/>
      <c r="K560" s="26"/>
      <c r="L560" s="41"/>
      <c r="M560" s="36"/>
      <c r="N560" s="26"/>
      <c r="O560" s="26"/>
      <c r="P560" s="42"/>
    </row>
    <row r="561" spans="1:16" x14ac:dyDescent="0.25">
      <c r="A561" s="22"/>
      <c r="B561" s="23"/>
      <c r="C561" s="57"/>
      <c r="D561" s="36"/>
      <c r="E561" s="31"/>
      <c r="F561" s="31"/>
      <c r="G561" s="56"/>
      <c r="H561" s="26"/>
      <c r="I561" s="26"/>
      <c r="J561" s="26"/>
      <c r="K561" s="26"/>
      <c r="L561" s="41"/>
      <c r="M561" s="36"/>
      <c r="N561" s="26"/>
      <c r="O561" s="26"/>
      <c r="P561" s="42"/>
    </row>
    <row r="562" spans="1:16" x14ac:dyDescent="0.25">
      <c r="A562" s="22"/>
      <c r="B562" s="23"/>
      <c r="C562" s="57"/>
      <c r="D562" s="36"/>
      <c r="E562" s="31"/>
      <c r="F562" s="31"/>
      <c r="G562" s="56"/>
      <c r="H562" s="26"/>
      <c r="I562" s="26"/>
      <c r="J562" s="26"/>
      <c r="K562" s="26"/>
      <c r="L562" s="41"/>
      <c r="M562" s="36"/>
      <c r="N562" s="26"/>
      <c r="O562" s="26"/>
      <c r="P562" s="42"/>
    </row>
    <row r="563" spans="1:16" x14ac:dyDescent="0.25">
      <c r="A563" s="22"/>
      <c r="B563" s="23"/>
      <c r="C563" s="57"/>
      <c r="D563" s="36"/>
      <c r="E563" s="31"/>
      <c r="F563" s="31"/>
      <c r="G563" s="56"/>
      <c r="H563" s="26"/>
      <c r="I563" s="26"/>
      <c r="J563" s="26"/>
      <c r="K563" s="26"/>
      <c r="L563" s="41"/>
      <c r="M563" s="36"/>
      <c r="N563" s="26"/>
      <c r="O563" s="26"/>
      <c r="P563" s="42"/>
    </row>
    <row r="564" spans="1:16" x14ac:dyDescent="0.25">
      <c r="A564" s="22"/>
      <c r="B564" s="23"/>
      <c r="C564" s="57"/>
      <c r="D564" s="36"/>
      <c r="E564" s="31"/>
      <c r="F564" s="31"/>
      <c r="G564" s="56"/>
      <c r="H564" s="26"/>
      <c r="I564" s="26"/>
      <c r="J564" s="26"/>
      <c r="K564" s="26"/>
      <c r="L564" s="41"/>
      <c r="M564" s="36"/>
      <c r="N564" s="26"/>
      <c r="O564" s="26"/>
      <c r="P564" s="42"/>
    </row>
    <row r="565" spans="1:16" x14ac:dyDescent="0.25">
      <c r="A565" s="22"/>
      <c r="B565" s="23"/>
      <c r="C565" s="57"/>
      <c r="D565" s="36"/>
      <c r="E565" s="31"/>
      <c r="F565" s="31"/>
      <c r="G565" s="56"/>
      <c r="H565" s="26"/>
      <c r="I565" s="26"/>
      <c r="J565" s="26"/>
      <c r="K565" s="26"/>
      <c r="L565" s="41"/>
      <c r="M565" s="36"/>
      <c r="N565" s="26"/>
      <c r="O565" s="26"/>
      <c r="P565" s="42"/>
    </row>
    <row r="566" spans="1:16" x14ac:dyDescent="0.25">
      <c r="A566" s="22"/>
      <c r="B566" s="23"/>
      <c r="C566" s="57"/>
      <c r="D566" s="36"/>
      <c r="E566" s="31"/>
      <c r="F566" s="31"/>
      <c r="G566" s="56"/>
      <c r="H566" s="26"/>
      <c r="I566" s="26"/>
      <c r="J566" s="26"/>
      <c r="K566" s="26"/>
      <c r="L566" s="41"/>
      <c r="M566" s="36"/>
      <c r="N566" s="26"/>
      <c r="O566" s="26"/>
      <c r="P566" s="42"/>
    </row>
    <row r="567" spans="1:16" x14ac:dyDescent="0.25">
      <c r="A567" s="22"/>
      <c r="B567" s="23"/>
      <c r="C567" s="57"/>
      <c r="D567" s="36"/>
      <c r="E567" s="31"/>
      <c r="F567" s="31"/>
      <c r="G567" s="56"/>
      <c r="H567" s="26"/>
      <c r="I567" s="26"/>
      <c r="J567" s="26"/>
      <c r="K567" s="26"/>
      <c r="L567" s="41"/>
      <c r="M567" s="36"/>
      <c r="N567" s="26"/>
      <c r="O567" s="26"/>
      <c r="P567" s="42"/>
    </row>
    <row r="568" spans="1:16" x14ac:dyDescent="0.25">
      <c r="A568" s="22"/>
      <c r="B568" s="23"/>
      <c r="C568" s="57"/>
      <c r="D568" s="36"/>
      <c r="E568" s="31"/>
      <c r="F568" s="31"/>
      <c r="G568" s="56"/>
      <c r="H568" s="26"/>
      <c r="I568" s="26"/>
      <c r="J568" s="26"/>
      <c r="K568" s="26"/>
      <c r="L568" s="41"/>
      <c r="M568" s="36"/>
      <c r="N568" s="26"/>
      <c r="O568" s="26"/>
      <c r="P568" s="42"/>
    </row>
    <row r="569" spans="1:16" x14ac:dyDescent="0.25">
      <c r="A569" s="22"/>
      <c r="B569" s="23"/>
      <c r="C569" s="57"/>
      <c r="D569" s="36"/>
      <c r="E569" s="31"/>
      <c r="F569" s="31"/>
      <c r="G569" s="56"/>
      <c r="H569" s="26"/>
      <c r="I569" s="26"/>
      <c r="J569" s="26"/>
      <c r="K569" s="26"/>
      <c r="L569" s="41"/>
      <c r="M569" s="36"/>
      <c r="N569" s="26"/>
      <c r="O569" s="26"/>
      <c r="P569" s="42"/>
    </row>
    <row r="570" spans="1:16" x14ac:dyDescent="0.25">
      <c r="A570" s="22"/>
      <c r="B570" s="23"/>
      <c r="C570" s="57"/>
      <c r="D570" s="36"/>
      <c r="E570" s="31"/>
      <c r="F570" s="31"/>
      <c r="G570" s="56"/>
      <c r="H570" s="26"/>
      <c r="I570" s="26"/>
      <c r="J570" s="26"/>
      <c r="K570" s="26"/>
      <c r="L570" s="41"/>
      <c r="M570" s="36"/>
      <c r="N570" s="26"/>
      <c r="O570" s="26"/>
      <c r="P570" s="42"/>
    </row>
    <row r="571" spans="1:16" x14ac:dyDescent="0.25">
      <c r="A571" s="22"/>
      <c r="B571" s="23"/>
      <c r="C571" s="57"/>
      <c r="D571" s="36"/>
      <c r="E571" s="31"/>
      <c r="F571" s="31"/>
      <c r="G571" s="56"/>
      <c r="H571" s="26"/>
      <c r="I571" s="26"/>
      <c r="J571" s="26"/>
      <c r="K571" s="26"/>
      <c r="L571" s="41"/>
      <c r="M571" s="36"/>
      <c r="N571" s="26"/>
      <c r="O571" s="26"/>
      <c r="P571" s="42"/>
    </row>
    <row r="572" spans="1:16" x14ac:dyDescent="0.25">
      <c r="A572" s="22"/>
      <c r="B572" s="23"/>
      <c r="C572" s="57"/>
      <c r="D572" s="36"/>
      <c r="E572" s="31"/>
      <c r="F572" s="31"/>
      <c r="G572" s="56"/>
      <c r="H572" s="26"/>
      <c r="I572" s="26"/>
      <c r="J572" s="26"/>
      <c r="K572" s="26"/>
      <c r="L572" s="41"/>
      <c r="M572" s="36"/>
      <c r="N572" s="26"/>
      <c r="O572" s="26"/>
      <c r="P572" s="42"/>
    </row>
    <row r="573" spans="1:16" x14ac:dyDescent="0.25">
      <c r="A573" s="22"/>
      <c r="B573" s="23"/>
      <c r="C573" s="57"/>
      <c r="D573" s="36"/>
      <c r="E573" s="31"/>
      <c r="F573" s="31"/>
      <c r="G573" s="56"/>
      <c r="H573" s="26"/>
      <c r="I573" s="26"/>
      <c r="J573" s="26"/>
      <c r="K573" s="26"/>
      <c r="L573" s="41"/>
      <c r="M573" s="36"/>
      <c r="N573" s="26"/>
      <c r="O573" s="26"/>
      <c r="P573" s="42"/>
    </row>
    <row r="574" spans="1:16" x14ac:dyDescent="0.25">
      <c r="A574" s="22"/>
      <c r="B574" s="23"/>
      <c r="C574" s="57"/>
      <c r="D574" s="36"/>
      <c r="E574" s="31"/>
      <c r="F574" s="31"/>
      <c r="G574" s="56"/>
      <c r="H574" s="26"/>
      <c r="I574" s="26"/>
      <c r="J574" s="26"/>
      <c r="K574" s="26"/>
      <c r="L574" s="41"/>
      <c r="M574" s="36"/>
      <c r="N574" s="26"/>
      <c r="O574" s="26"/>
      <c r="P574" s="42"/>
    </row>
    <row r="575" spans="1:16" x14ac:dyDescent="0.25">
      <c r="A575" s="22"/>
      <c r="B575" s="23"/>
      <c r="C575" s="57"/>
      <c r="D575" s="36"/>
      <c r="E575" s="31"/>
      <c r="F575" s="31"/>
      <c r="G575" s="56"/>
      <c r="H575" s="26"/>
      <c r="I575" s="26"/>
      <c r="J575" s="26"/>
      <c r="K575" s="26"/>
      <c r="L575" s="41"/>
      <c r="M575" s="36"/>
      <c r="N575" s="26"/>
      <c r="O575" s="26"/>
      <c r="P575" s="42"/>
    </row>
    <row r="576" spans="1:16" x14ac:dyDescent="0.25">
      <c r="A576" s="22"/>
      <c r="B576" s="23"/>
      <c r="C576" s="57"/>
      <c r="D576" s="36"/>
      <c r="E576" s="31"/>
      <c r="F576" s="31"/>
      <c r="G576" s="56"/>
      <c r="H576" s="26"/>
      <c r="I576" s="26"/>
      <c r="J576" s="26"/>
      <c r="K576" s="26"/>
      <c r="L576" s="41"/>
      <c r="M576" s="36"/>
      <c r="N576" s="26"/>
      <c r="O576" s="26"/>
      <c r="P576" s="42"/>
    </row>
    <row r="577" spans="1:16" x14ac:dyDescent="0.25">
      <c r="A577" s="22"/>
      <c r="B577" s="23"/>
      <c r="C577" s="57"/>
      <c r="D577" s="36"/>
      <c r="E577" s="31"/>
      <c r="F577" s="31"/>
      <c r="G577" s="56"/>
      <c r="H577" s="26"/>
      <c r="I577" s="26"/>
      <c r="J577" s="26"/>
      <c r="K577" s="26"/>
      <c r="L577" s="41"/>
      <c r="M577" s="36"/>
      <c r="N577" s="26"/>
      <c r="O577" s="26"/>
      <c r="P577" s="42"/>
    </row>
    <row r="578" spans="1:16" x14ac:dyDescent="0.25">
      <c r="A578" s="22"/>
      <c r="B578" s="23"/>
      <c r="C578" s="57"/>
      <c r="D578" s="36"/>
      <c r="E578" s="31"/>
      <c r="F578" s="31"/>
      <c r="G578" s="56"/>
      <c r="H578" s="26"/>
      <c r="I578" s="26"/>
      <c r="J578" s="26"/>
      <c r="K578" s="26"/>
      <c r="L578" s="41"/>
      <c r="M578" s="36"/>
      <c r="N578" s="26"/>
      <c r="O578" s="26"/>
      <c r="P578" s="42"/>
    </row>
    <row r="579" spans="1:16" x14ac:dyDescent="0.25">
      <c r="A579" s="22"/>
      <c r="B579" s="23"/>
      <c r="C579" s="57"/>
      <c r="D579" s="36"/>
      <c r="E579" s="31"/>
      <c r="F579" s="31"/>
      <c r="G579" s="56"/>
      <c r="H579" s="26"/>
      <c r="I579" s="26"/>
      <c r="J579" s="26"/>
      <c r="K579" s="26"/>
      <c r="L579" s="41"/>
      <c r="M579" s="36"/>
      <c r="N579" s="26"/>
      <c r="O579" s="26"/>
      <c r="P579" s="42"/>
    </row>
    <row r="580" spans="1:16" x14ac:dyDescent="0.25">
      <c r="A580" s="22"/>
      <c r="B580" s="23"/>
      <c r="C580" s="57"/>
      <c r="D580" s="36"/>
      <c r="E580" s="31"/>
      <c r="F580" s="31"/>
      <c r="G580" s="56"/>
      <c r="H580" s="26"/>
      <c r="I580" s="26"/>
      <c r="J580" s="26"/>
      <c r="K580" s="26"/>
      <c r="L580" s="41"/>
      <c r="M580" s="36"/>
      <c r="N580" s="26"/>
      <c r="O580" s="26"/>
      <c r="P580" s="42"/>
    </row>
    <row r="581" spans="1:16" x14ac:dyDescent="0.25">
      <c r="A581" s="22"/>
      <c r="B581" s="23"/>
      <c r="C581" s="57"/>
      <c r="D581" s="36"/>
      <c r="E581" s="31"/>
      <c r="F581" s="31"/>
      <c r="G581" s="56"/>
      <c r="H581" s="26"/>
      <c r="I581" s="26"/>
      <c r="J581" s="26"/>
      <c r="K581" s="26"/>
      <c r="L581" s="41"/>
      <c r="M581" s="36"/>
      <c r="N581" s="26"/>
      <c r="O581" s="26"/>
      <c r="P581" s="42"/>
    </row>
    <row r="582" spans="1:16" x14ac:dyDescent="0.25">
      <c r="A582" s="22"/>
      <c r="B582" s="23"/>
      <c r="C582" s="57"/>
      <c r="D582" s="36"/>
      <c r="E582" s="31"/>
      <c r="F582" s="31"/>
      <c r="G582" s="56"/>
      <c r="H582" s="26"/>
      <c r="I582" s="26"/>
      <c r="J582" s="26"/>
      <c r="K582" s="26"/>
      <c r="L582" s="41"/>
      <c r="M582" s="36"/>
      <c r="N582" s="26"/>
      <c r="O582" s="26"/>
      <c r="P582" s="42"/>
    </row>
    <row r="583" spans="1:16" x14ac:dyDescent="0.25">
      <c r="A583" s="22"/>
      <c r="B583" s="23"/>
      <c r="C583" s="57"/>
      <c r="D583" s="36"/>
      <c r="E583" s="31"/>
      <c r="F583" s="31"/>
      <c r="G583" s="56"/>
      <c r="H583" s="26"/>
      <c r="I583" s="26"/>
      <c r="J583" s="26"/>
      <c r="K583" s="26"/>
      <c r="L583" s="41"/>
      <c r="M583" s="36"/>
      <c r="N583" s="26"/>
      <c r="O583" s="26"/>
      <c r="P583" s="42"/>
    </row>
    <row r="584" spans="1:16" x14ac:dyDescent="0.25">
      <c r="A584" s="22"/>
      <c r="B584" s="23"/>
      <c r="C584" s="57"/>
      <c r="D584" s="36"/>
      <c r="E584" s="31"/>
      <c r="F584" s="31"/>
      <c r="G584" s="56"/>
      <c r="H584" s="26"/>
      <c r="I584" s="26"/>
      <c r="J584" s="26"/>
      <c r="K584" s="26"/>
      <c r="L584" s="41"/>
      <c r="M584" s="36"/>
      <c r="N584" s="26"/>
      <c r="O584" s="26"/>
      <c r="P584" s="42"/>
    </row>
    <row r="585" spans="1:16" x14ac:dyDescent="0.25">
      <c r="A585" s="22"/>
      <c r="B585" s="23"/>
      <c r="C585" s="57"/>
      <c r="D585" s="36"/>
      <c r="E585" s="31"/>
      <c r="F585" s="31"/>
      <c r="G585" s="56"/>
      <c r="H585" s="26"/>
      <c r="I585" s="26"/>
      <c r="J585" s="26"/>
      <c r="K585" s="26"/>
      <c r="L585" s="41"/>
      <c r="M585" s="36"/>
      <c r="N585" s="26"/>
      <c r="O585" s="26"/>
      <c r="P585" s="42"/>
    </row>
    <row r="586" spans="1:16" x14ac:dyDescent="0.25">
      <c r="A586" s="22"/>
      <c r="B586" s="23"/>
      <c r="C586" s="57"/>
      <c r="D586" s="36"/>
      <c r="E586" s="31"/>
      <c r="F586" s="31"/>
      <c r="G586" s="56"/>
      <c r="H586" s="26"/>
      <c r="I586" s="26"/>
      <c r="J586" s="26"/>
      <c r="K586" s="26"/>
      <c r="L586" s="41"/>
      <c r="M586" s="36"/>
      <c r="N586" s="26"/>
      <c r="O586" s="26"/>
      <c r="P586" s="42"/>
    </row>
    <row r="587" spans="1:16" x14ac:dyDescent="0.25">
      <c r="A587" s="22"/>
      <c r="B587" s="23"/>
      <c r="C587" s="57"/>
      <c r="D587" s="36"/>
      <c r="E587" s="31"/>
      <c r="F587" s="31"/>
      <c r="G587" s="56"/>
      <c r="H587" s="26"/>
      <c r="I587" s="26"/>
      <c r="J587" s="26"/>
      <c r="K587" s="26"/>
      <c r="L587" s="41"/>
      <c r="M587" s="36"/>
      <c r="N587" s="26"/>
      <c r="O587" s="26"/>
      <c r="P587" s="42"/>
    </row>
    <row r="588" spans="1:16" x14ac:dyDescent="0.25">
      <c r="A588" s="22"/>
      <c r="B588" s="23"/>
      <c r="C588" s="57"/>
      <c r="D588" s="36"/>
      <c r="E588" s="31"/>
      <c r="F588" s="31"/>
      <c r="G588" s="56"/>
      <c r="H588" s="26"/>
      <c r="I588" s="26"/>
      <c r="J588" s="26"/>
      <c r="K588" s="26"/>
      <c r="L588" s="41"/>
      <c r="M588" s="36"/>
      <c r="N588" s="26"/>
      <c r="O588" s="26"/>
      <c r="P588" s="42"/>
    </row>
    <row r="589" spans="1:16" x14ac:dyDescent="0.25">
      <c r="A589" s="22"/>
      <c r="B589" s="23"/>
      <c r="C589" s="57"/>
      <c r="D589" s="36"/>
      <c r="E589" s="31"/>
      <c r="F589" s="31"/>
      <c r="G589" s="56"/>
      <c r="H589" s="26"/>
      <c r="I589" s="26"/>
      <c r="J589" s="26"/>
      <c r="K589" s="26"/>
      <c r="L589" s="41"/>
      <c r="M589" s="36"/>
      <c r="N589" s="26"/>
      <c r="O589" s="26"/>
      <c r="P589" s="42"/>
    </row>
    <row r="590" spans="1:16" x14ac:dyDescent="0.25">
      <c r="A590" s="22"/>
      <c r="B590" s="23"/>
      <c r="C590" s="57"/>
      <c r="D590" s="36"/>
      <c r="E590" s="31"/>
      <c r="F590" s="31"/>
      <c r="G590" s="56"/>
      <c r="H590" s="26"/>
      <c r="I590" s="26"/>
      <c r="J590" s="26"/>
      <c r="K590" s="26"/>
      <c r="L590" s="41"/>
      <c r="M590" s="36"/>
      <c r="N590" s="26"/>
      <c r="O590" s="26"/>
      <c r="P590" s="42"/>
    </row>
    <row r="591" spans="1:16" x14ac:dyDescent="0.25">
      <c r="A591" s="22"/>
      <c r="B591" s="23"/>
      <c r="C591" s="57"/>
      <c r="D591" s="36"/>
      <c r="E591" s="31"/>
      <c r="F591" s="31"/>
      <c r="G591" s="56"/>
      <c r="H591" s="26"/>
      <c r="I591" s="26"/>
      <c r="J591" s="26"/>
      <c r="K591" s="26"/>
      <c r="L591" s="41"/>
      <c r="M591" s="36"/>
      <c r="N591" s="26"/>
      <c r="O591" s="26"/>
      <c r="P591" s="42"/>
    </row>
    <row r="592" spans="1:16" x14ac:dyDescent="0.25">
      <c r="A592" s="22"/>
      <c r="B592" s="23"/>
      <c r="C592" s="57"/>
      <c r="D592" s="36"/>
      <c r="E592" s="31"/>
      <c r="F592" s="31"/>
      <c r="G592" s="56"/>
      <c r="H592" s="26"/>
      <c r="I592" s="26"/>
      <c r="J592" s="26"/>
      <c r="K592" s="26"/>
      <c r="L592" s="41"/>
      <c r="M592" s="36"/>
      <c r="N592" s="26"/>
      <c r="O592" s="26"/>
      <c r="P592" s="42"/>
    </row>
    <row r="593" spans="1:16" x14ac:dyDescent="0.25">
      <c r="A593" s="22"/>
      <c r="B593" s="23"/>
      <c r="C593" s="57"/>
      <c r="D593" s="36"/>
      <c r="E593" s="31"/>
      <c r="F593" s="31"/>
      <c r="G593" s="56"/>
      <c r="H593" s="26"/>
      <c r="I593" s="26"/>
      <c r="J593" s="26"/>
      <c r="K593" s="26"/>
      <c r="L593" s="41"/>
      <c r="M593" s="36"/>
      <c r="N593" s="26"/>
      <c r="O593" s="26"/>
      <c r="P593" s="42"/>
    </row>
    <row r="594" spans="1:16" x14ac:dyDescent="0.25">
      <c r="A594" s="22"/>
      <c r="B594" s="23"/>
      <c r="C594" s="57"/>
      <c r="D594" s="36"/>
      <c r="E594" s="31"/>
      <c r="F594" s="31"/>
      <c r="G594" s="56"/>
      <c r="H594" s="26"/>
      <c r="I594" s="26"/>
      <c r="J594" s="26"/>
      <c r="K594" s="26"/>
      <c r="L594" s="41"/>
      <c r="M594" s="36"/>
      <c r="N594" s="26"/>
      <c r="O594" s="26"/>
      <c r="P594" s="42"/>
    </row>
    <row r="595" spans="1:16" x14ac:dyDescent="0.25">
      <c r="A595" s="22"/>
      <c r="B595" s="23"/>
      <c r="C595" s="57"/>
      <c r="D595" s="36"/>
      <c r="E595" s="31"/>
      <c r="F595" s="31"/>
      <c r="G595" s="56"/>
      <c r="H595" s="26"/>
      <c r="I595" s="26"/>
      <c r="J595" s="26"/>
      <c r="K595" s="26"/>
      <c r="L595" s="41"/>
      <c r="M595" s="36"/>
      <c r="N595" s="26"/>
      <c r="O595" s="26"/>
      <c r="P595" s="42"/>
    </row>
    <row r="596" spans="1:16" x14ac:dyDescent="0.25">
      <c r="A596" s="22"/>
      <c r="B596" s="23"/>
      <c r="C596" s="57"/>
      <c r="D596" s="36"/>
      <c r="E596" s="31"/>
      <c r="F596" s="31"/>
      <c r="G596" s="56"/>
      <c r="H596" s="26"/>
      <c r="I596" s="26"/>
      <c r="J596" s="26"/>
      <c r="K596" s="26"/>
      <c r="L596" s="41"/>
      <c r="M596" s="36"/>
      <c r="N596" s="26"/>
      <c r="O596" s="26"/>
      <c r="P596" s="42"/>
    </row>
    <row r="597" spans="1:16" x14ac:dyDescent="0.25">
      <c r="A597" s="22"/>
      <c r="B597" s="23"/>
      <c r="C597" s="57"/>
      <c r="D597" s="36"/>
      <c r="E597" s="31"/>
      <c r="F597" s="31"/>
      <c r="G597" s="56"/>
      <c r="H597" s="26"/>
      <c r="I597" s="26"/>
      <c r="J597" s="26"/>
      <c r="K597" s="26"/>
      <c r="L597" s="41"/>
      <c r="M597" s="36"/>
      <c r="N597" s="26"/>
      <c r="O597" s="26"/>
      <c r="P597" s="42"/>
    </row>
    <row r="598" spans="1:16" x14ac:dyDescent="0.25">
      <c r="A598" s="22"/>
      <c r="B598" s="23"/>
      <c r="C598" s="57"/>
      <c r="D598" s="36"/>
      <c r="E598" s="31"/>
      <c r="F598" s="31"/>
      <c r="G598" s="56"/>
      <c r="H598" s="26"/>
      <c r="I598" s="26"/>
      <c r="J598" s="26"/>
      <c r="K598" s="26"/>
      <c r="L598" s="41"/>
      <c r="M598" s="36"/>
      <c r="N598" s="26"/>
      <c r="O598" s="26"/>
      <c r="P598" s="42"/>
    </row>
    <row r="599" spans="1:16" x14ac:dyDescent="0.25">
      <c r="A599" s="22"/>
      <c r="B599" s="23"/>
      <c r="C599" s="57"/>
      <c r="D599" s="36"/>
      <c r="E599" s="31"/>
      <c r="F599" s="31"/>
      <c r="G599" s="56"/>
      <c r="H599" s="26"/>
      <c r="I599" s="26"/>
      <c r="J599" s="26"/>
      <c r="K599" s="26"/>
      <c r="L599" s="41"/>
      <c r="M599" s="36"/>
      <c r="N599" s="26"/>
      <c r="O599" s="26"/>
      <c r="P599" s="42"/>
    </row>
    <row r="600" spans="1:16" x14ac:dyDescent="0.25">
      <c r="A600" s="22"/>
      <c r="B600" s="23"/>
      <c r="C600" s="57"/>
      <c r="D600" s="36"/>
      <c r="E600" s="31"/>
      <c r="F600" s="31"/>
      <c r="G600" s="56"/>
      <c r="H600" s="26"/>
      <c r="I600" s="26"/>
      <c r="J600" s="26"/>
      <c r="K600" s="26"/>
      <c r="L600" s="41"/>
      <c r="M600" s="36"/>
      <c r="N600" s="26"/>
      <c r="O600" s="26"/>
      <c r="P600" s="42"/>
    </row>
    <row r="601" spans="1:16" x14ac:dyDescent="0.25">
      <c r="A601" s="22"/>
      <c r="B601" s="23"/>
      <c r="C601" s="57"/>
      <c r="D601" s="36"/>
      <c r="E601" s="31"/>
      <c r="F601" s="31"/>
      <c r="G601" s="56"/>
      <c r="H601" s="26"/>
      <c r="I601" s="26"/>
      <c r="J601" s="26"/>
      <c r="K601" s="26"/>
      <c r="L601" s="41"/>
      <c r="M601" s="36"/>
      <c r="N601" s="26"/>
      <c r="O601" s="26"/>
      <c r="P601" s="42"/>
    </row>
    <row r="602" spans="1:16" x14ac:dyDescent="0.25">
      <c r="A602" s="22"/>
      <c r="B602" s="23"/>
      <c r="C602" s="57"/>
      <c r="D602" s="36"/>
      <c r="E602" s="31"/>
      <c r="F602" s="31"/>
      <c r="G602" s="56"/>
      <c r="H602" s="26"/>
      <c r="I602" s="26"/>
      <c r="J602" s="26"/>
      <c r="K602" s="26"/>
      <c r="L602" s="41"/>
      <c r="M602" s="36"/>
      <c r="N602" s="26"/>
      <c r="O602" s="26"/>
      <c r="P602" s="42"/>
    </row>
    <row r="603" spans="1:16" x14ac:dyDescent="0.25">
      <c r="A603" s="22"/>
      <c r="B603" s="23"/>
      <c r="C603" s="57"/>
      <c r="D603" s="36"/>
      <c r="E603" s="31"/>
      <c r="F603" s="31"/>
      <c r="G603" s="56"/>
      <c r="H603" s="26"/>
      <c r="I603" s="26"/>
      <c r="J603" s="26"/>
      <c r="K603" s="26"/>
      <c r="L603" s="41"/>
      <c r="M603" s="36"/>
      <c r="N603" s="26"/>
      <c r="O603" s="26"/>
      <c r="P603" s="42"/>
    </row>
    <row r="604" spans="1:16" x14ac:dyDescent="0.25">
      <c r="A604" s="22"/>
      <c r="B604" s="23"/>
      <c r="C604" s="57"/>
      <c r="D604" s="36"/>
      <c r="E604" s="31"/>
      <c r="F604" s="31"/>
      <c r="G604" s="56"/>
      <c r="H604" s="26"/>
      <c r="I604" s="26"/>
      <c r="J604" s="26"/>
      <c r="K604" s="26"/>
      <c r="L604" s="41"/>
      <c r="M604" s="36"/>
      <c r="N604" s="26"/>
      <c r="O604" s="26"/>
      <c r="P604" s="42"/>
    </row>
    <row r="605" spans="1:16" x14ac:dyDescent="0.25">
      <c r="A605" s="22"/>
      <c r="B605" s="23"/>
      <c r="C605" s="57"/>
      <c r="D605" s="36"/>
      <c r="E605" s="31"/>
      <c r="F605" s="31"/>
      <c r="G605" s="56"/>
      <c r="H605" s="26"/>
      <c r="I605" s="26"/>
      <c r="J605" s="26"/>
      <c r="K605" s="26"/>
      <c r="L605" s="41"/>
      <c r="M605" s="36"/>
      <c r="N605" s="26"/>
      <c r="O605" s="26"/>
      <c r="P605" s="42"/>
    </row>
    <row r="606" spans="1:16" x14ac:dyDescent="0.25">
      <c r="A606" s="22"/>
      <c r="B606" s="23"/>
      <c r="C606" s="57"/>
      <c r="D606" s="36"/>
      <c r="E606" s="31"/>
      <c r="F606" s="31"/>
      <c r="G606" s="56"/>
      <c r="H606" s="26"/>
      <c r="I606" s="26"/>
      <c r="J606" s="26"/>
      <c r="K606" s="26"/>
      <c r="L606" s="41"/>
      <c r="M606" s="36"/>
      <c r="N606" s="26"/>
      <c r="O606" s="26"/>
      <c r="P606" s="42"/>
    </row>
    <row r="607" spans="1:16" x14ac:dyDescent="0.25">
      <c r="A607" s="22"/>
      <c r="B607" s="23"/>
      <c r="C607" s="57"/>
      <c r="D607" s="36"/>
      <c r="E607" s="31"/>
      <c r="F607" s="31"/>
      <c r="G607" s="56"/>
      <c r="H607" s="26"/>
      <c r="I607" s="26"/>
      <c r="J607" s="26"/>
      <c r="K607" s="26"/>
      <c r="L607" s="41"/>
      <c r="M607" s="36"/>
      <c r="N607" s="26"/>
      <c r="O607" s="26"/>
      <c r="P607" s="42"/>
    </row>
    <row r="608" spans="1:16" x14ac:dyDescent="0.25">
      <c r="A608" s="22"/>
      <c r="B608" s="23"/>
      <c r="C608" s="57"/>
      <c r="D608" s="36"/>
      <c r="E608" s="31"/>
      <c r="F608" s="31"/>
      <c r="G608" s="56"/>
      <c r="H608" s="26"/>
      <c r="I608" s="26"/>
      <c r="J608" s="26"/>
      <c r="K608" s="26"/>
      <c r="L608" s="41"/>
      <c r="M608" s="36"/>
      <c r="N608" s="26"/>
      <c r="O608" s="26"/>
      <c r="P608" s="42"/>
    </row>
    <row r="609" spans="1:16" x14ac:dyDescent="0.25">
      <c r="A609" s="22"/>
      <c r="B609" s="23"/>
      <c r="C609" s="57"/>
      <c r="D609" s="36"/>
      <c r="E609" s="31"/>
      <c r="F609" s="31"/>
      <c r="G609" s="56"/>
      <c r="H609" s="26"/>
      <c r="I609" s="26"/>
      <c r="J609" s="26"/>
      <c r="K609" s="26"/>
      <c r="L609" s="41"/>
      <c r="M609" s="36"/>
      <c r="N609" s="26"/>
      <c r="O609" s="26"/>
      <c r="P609" s="42"/>
    </row>
    <row r="610" spans="1:16" x14ac:dyDescent="0.25">
      <c r="A610" s="22"/>
      <c r="B610" s="23"/>
      <c r="C610" s="57"/>
      <c r="D610" s="36"/>
      <c r="E610" s="31"/>
      <c r="F610" s="31"/>
      <c r="G610" s="56"/>
      <c r="H610" s="26"/>
      <c r="I610" s="26"/>
      <c r="J610" s="26"/>
      <c r="K610" s="26"/>
      <c r="L610" s="41"/>
      <c r="M610" s="36"/>
      <c r="N610" s="26"/>
      <c r="O610" s="26"/>
      <c r="P610" s="42"/>
    </row>
    <row r="611" spans="1:16" x14ac:dyDescent="0.25">
      <c r="A611" s="22"/>
      <c r="B611" s="23"/>
      <c r="C611" s="57"/>
      <c r="D611" s="36"/>
      <c r="E611" s="31"/>
      <c r="F611" s="31"/>
      <c r="G611" s="56"/>
      <c r="H611" s="26"/>
      <c r="I611" s="26"/>
      <c r="J611" s="26"/>
      <c r="K611" s="26"/>
      <c r="L611" s="41"/>
      <c r="M611" s="36"/>
      <c r="N611" s="26"/>
      <c r="O611" s="26"/>
      <c r="P611" s="42"/>
    </row>
    <row r="612" spans="1:16" x14ac:dyDescent="0.25">
      <c r="A612" s="22"/>
      <c r="B612" s="23"/>
      <c r="C612" s="57"/>
      <c r="D612" s="36"/>
      <c r="E612" s="31"/>
      <c r="F612" s="31"/>
      <c r="G612" s="56"/>
      <c r="H612" s="26"/>
      <c r="I612" s="26"/>
      <c r="J612" s="26"/>
      <c r="K612" s="26"/>
      <c r="L612" s="41"/>
      <c r="M612" s="36"/>
      <c r="N612" s="26"/>
      <c r="O612" s="26"/>
      <c r="P612" s="42"/>
    </row>
    <row r="613" spans="1:16" x14ac:dyDescent="0.25">
      <c r="A613" s="22"/>
      <c r="B613" s="23"/>
      <c r="C613" s="57"/>
      <c r="D613" s="36"/>
      <c r="E613" s="31"/>
      <c r="F613" s="31"/>
      <c r="G613" s="56"/>
      <c r="H613" s="26"/>
      <c r="I613" s="26"/>
      <c r="J613" s="26"/>
      <c r="K613" s="26"/>
      <c r="L613" s="41"/>
      <c r="M613" s="36"/>
      <c r="N613" s="26"/>
      <c r="O613" s="26"/>
      <c r="P613" s="42"/>
    </row>
    <row r="614" spans="1:16" x14ac:dyDescent="0.25">
      <c r="A614" s="22"/>
      <c r="B614" s="23"/>
      <c r="C614" s="57"/>
      <c r="D614" s="36"/>
      <c r="E614" s="31"/>
      <c r="F614" s="31"/>
      <c r="G614" s="56"/>
      <c r="H614" s="26"/>
      <c r="I614" s="26"/>
      <c r="J614" s="26"/>
      <c r="K614" s="26"/>
      <c r="L614" s="41"/>
      <c r="M614" s="36"/>
      <c r="N614" s="26"/>
      <c r="O614" s="26"/>
      <c r="P614" s="42"/>
    </row>
    <row r="615" spans="1:16" x14ac:dyDescent="0.25">
      <c r="A615" s="22"/>
      <c r="B615" s="23"/>
      <c r="C615" s="57"/>
      <c r="D615" s="36"/>
      <c r="E615" s="31"/>
      <c r="F615" s="31"/>
      <c r="G615" s="56"/>
      <c r="H615" s="26"/>
      <c r="I615" s="26"/>
      <c r="J615" s="26"/>
      <c r="K615" s="26"/>
      <c r="L615" s="41"/>
      <c r="M615" s="36"/>
      <c r="N615" s="26"/>
      <c r="O615" s="26"/>
      <c r="P615" s="42"/>
    </row>
    <row r="616" spans="1:16" x14ac:dyDescent="0.25">
      <c r="A616" s="22"/>
      <c r="B616" s="23"/>
      <c r="C616" s="57"/>
      <c r="D616" s="36"/>
      <c r="E616" s="31"/>
      <c r="F616" s="31"/>
      <c r="G616" s="56"/>
      <c r="H616" s="26"/>
      <c r="I616" s="26"/>
      <c r="J616" s="26"/>
      <c r="K616" s="26"/>
      <c r="L616" s="41"/>
      <c r="M616" s="36"/>
      <c r="N616" s="26"/>
      <c r="O616" s="26"/>
      <c r="P616" s="42"/>
    </row>
    <row r="617" spans="1:16" x14ac:dyDescent="0.25">
      <c r="A617" s="22"/>
      <c r="B617" s="23"/>
      <c r="C617" s="57"/>
      <c r="D617" s="36"/>
      <c r="E617" s="31"/>
      <c r="F617" s="31"/>
      <c r="G617" s="56"/>
      <c r="H617" s="26"/>
      <c r="I617" s="26"/>
      <c r="J617" s="26"/>
      <c r="K617" s="26"/>
      <c r="L617" s="41"/>
      <c r="M617" s="36"/>
      <c r="N617" s="26"/>
      <c r="O617" s="26"/>
      <c r="P617" s="42"/>
    </row>
    <row r="618" spans="1:16" x14ac:dyDescent="0.25">
      <c r="A618" s="22"/>
      <c r="B618" s="23"/>
      <c r="C618" s="57"/>
      <c r="D618" s="36"/>
      <c r="E618" s="31"/>
      <c r="F618" s="31"/>
      <c r="G618" s="56"/>
      <c r="H618" s="26"/>
      <c r="I618" s="26"/>
      <c r="J618" s="26"/>
      <c r="K618" s="26"/>
      <c r="L618" s="41"/>
      <c r="M618" s="36"/>
      <c r="N618" s="26"/>
      <c r="O618" s="26"/>
      <c r="P618" s="42"/>
    </row>
    <row r="619" spans="1:16" x14ac:dyDescent="0.25">
      <c r="A619" s="22"/>
      <c r="B619" s="23"/>
      <c r="C619" s="57"/>
      <c r="D619" s="36"/>
      <c r="E619" s="31"/>
      <c r="F619" s="31"/>
      <c r="G619" s="56"/>
      <c r="H619" s="26"/>
      <c r="I619" s="26"/>
      <c r="J619" s="26"/>
      <c r="K619" s="26"/>
      <c r="L619" s="41"/>
      <c r="M619" s="36"/>
      <c r="N619" s="26"/>
      <c r="O619" s="26"/>
      <c r="P619" s="42"/>
    </row>
    <row r="620" spans="1:16" x14ac:dyDescent="0.25">
      <c r="A620" s="22"/>
      <c r="B620" s="23"/>
      <c r="C620" s="57"/>
      <c r="D620" s="36"/>
      <c r="E620" s="31"/>
      <c r="F620" s="31"/>
      <c r="G620" s="56"/>
      <c r="H620" s="26"/>
      <c r="I620" s="26"/>
      <c r="J620" s="26"/>
      <c r="K620" s="26"/>
      <c r="L620" s="41"/>
      <c r="M620" s="36"/>
      <c r="N620" s="26"/>
      <c r="O620" s="26"/>
      <c r="P620" s="42"/>
    </row>
    <row r="621" spans="1:16" x14ac:dyDescent="0.25">
      <c r="A621" s="22"/>
      <c r="B621" s="23"/>
      <c r="C621" s="57"/>
      <c r="D621" s="36"/>
      <c r="E621" s="31"/>
      <c r="F621" s="31"/>
      <c r="G621" s="56"/>
      <c r="H621" s="26"/>
      <c r="I621" s="26"/>
      <c r="J621" s="26"/>
      <c r="K621" s="26"/>
      <c r="L621" s="41"/>
      <c r="M621" s="36"/>
      <c r="N621" s="26"/>
      <c r="O621" s="26"/>
      <c r="P621" s="42"/>
    </row>
    <row r="622" spans="1:16" x14ac:dyDescent="0.25">
      <c r="A622" s="22"/>
      <c r="B622" s="23"/>
      <c r="C622" s="57"/>
      <c r="D622" s="36"/>
      <c r="E622" s="31"/>
      <c r="F622" s="31"/>
      <c r="G622" s="56"/>
      <c r="H622" s="26"/>
      <c r="I622" s="26"/>
      <c r="J622" s="26"/>
      <c r="K622" s="26"/>
      <c r="L622" s="41"/>
      <c r="M622" s="36"/>
      <c r="N622" s="26"/>
      <c r="O622" s="26"/>
      <c r="P622" s="42"/>
    </row>
    <row r="623" spans="1:16" x14ac:dyDescent="0.25">
      <c r="A623" s="22"/>
      <c r="B623" s="23"/>
      <c r="C623" s="57"/>
      <c r="D623" s="36"/>
      <c r="E623" s="31"/>
      <c r="F623" s="31"/>
      <c r="G623" s="56"/>
      <c r="H623" s="26"/>
      <c r="I623" s="26"/>
      <c r="J623" s="26"/>
      <c r="K623" s="26"/>
      <c r="L623" s="41"/>
      <c r="M623" s="36"/>
      <c r="N623" s="26"/>
      <c r="O623" s="26"/>
      <c r="P623" s="42"/>
    </row>
    <row r="624" spans="1:16" x14ac:dyDescent="0.25">
      <c r="A624" s="22"/>
      <c r="B624" s="23"/>
      <c r="C624" s="57"/>
      <c r="D624" s="36"/>
      <c r="E624" s="31"/>
      <c r="F624" s="31"/>
      <c r="G624" s="56"/>
      <c r="H624" s="26"/>
      <c r="I624" s="26"/>
      <c r="J624" s="26"/>
      <c r="K624" s="26"/>
      <c r="L624" s="41"/>
      <c r="M624" s="36"/>
      <c r="N624" s="26"/>
      <c r="O624" s="26"/>
      <c r="P624" s="42"/>
    </row>
    <row r="625" spans="1:16" x14ac:dyDescent="0.25">
      <c r="A625" s="22"/>
      <c r="B625" s="23"/>
      <c r="C625" s="57"/>
      <c r="D625" s="36"/>
      <c r="E625" s="31"/>
      <c r="F625" s="31"/>
      <c r="G625" s="56"/>
      <c r="H625" s="26"/>
      <c r="I625" s="26"/>
      <c r="J625" s="26"/>
      <c r="K625" s="26"/>
      <c r="L625" s="41"/>
      <c r="M625" s="36"/>
      <c r="N625" s="26"/>
      <c r="O625" s="26"/>
      <c r="P625" s="42"/>
    </row>
    <row r="626" spans="1:16" x14ac:dyDescent="0.25">
      <c r="A626" s="22"/>
      <c r="B626" s="23"/>
      <c r="C626" s="57"/>
      <c r="D626" s="36"/>
      <c r="E626" s="31"/>
      <c r="F626" s="31"/>
      <c r="G626" s="56"/>
      <c r="H626" s="26"/>
      <c r="I626" s="26"/>
      <c r="J626" s="26"/>
      <c r="K626" s="26"/>
      <c r="L626" s="41"/>
      <c r="M626" s="36"/>
      <c r="N626" s="26"/>
      <c r="O626" s="26"/>
      <c r="P626" s="42"/>
    </row>
    <row r="627" spans="1:16" x14ac:dyDescent="0.25">
      <c r="A627" s="22"/>
      <c r="B627" s="23"/>
      <c r="C627" s="57"/>
      <c r="D627" s="36"/>
      <c r="E627" s="31"/>
      <c r="F627" s="31"/>
      <c r="G627" s="56"/>
      <c r="H627" s="26"/>
      <c r="I627" s="26"/>
      <c r="J627" s="26"/>
      <c r="K627" s="26"/>
      <c r="L627" s="41"/>
      <c r="M627" s="36"/>
      <c r="N627" s="26"/>
      <c r="O627" s="26"/>
      <c r="P627" s="42"/>
    </row>
    <row r="628" spans="1:16" x14ac:dyDescent="0.25">
      <c r="A628" s="22"/>
      <c r="B628" s="23"/>
      <c r="C628" s="57"/>
      <c r="D628" s="36"/>
      <c r="E628" s="31"/>
      <c r="F628" s="31"/>
      <c r="G628" s="56"/>
      <c r="H628" s="26"/>
      <c r="I628" s="26"/>
      <c r="J628" s="26"/>
      <c r="K628" s="26"/>
      <c r="L628" s="41"/>
      <c r="M628" s="36"/>
      <c r="N628" s="26"/>
      <c r="O628" s="26"/>
      <c r="P628" s="42"/>
    </row>
    <row r="629" spans="1:16" x14ac:dyDescent="0.25">
      <c r="A629" s="22"/>
      <c r="B629" s="23"/>
      <c r="C629" s="57"/>
      <c r="D629" s="36"/>
      <c r="E629" s="31"/>
      <c r="F629" s="31"/>
      <c r="G629" s="56"/>
      <c r="H629" s="26"/>
      <c r="I629" s="26"/>
      <c r="J629" s="26"/>
      <c r="K629" s="26"/>
      <c r="L629" s="41"/>
      <c r="M629" s="36"/>
      <c r="N629" s="26"/>
      <c r="O629" s="26"/>
      <c r="P629" s="42"/>
    </row>
    <row r="630" spans="1:16" x14ac:dyDescent="0.25">
      <c r="A630" s="22"/>
      <c r="B630" s="23"/>
      <c r="C630" s="57"/>
      <c r="D630" s="36"/>
      <c r="E630" s="31"/>
      <c r="F630" s="31"/>
      <c r="G630" s="56"/>
      <c r="H630" s="26"/>
      <c r="I630" s="26"/>
      <c r="J630" s="26"/>
      <c r="K630" s="26"/>
      <c r="L630" s="41"/>
      <c r="M630" s="36"/>
      <c r="N630" s="26"/>
      <c r="O630" s="26"/>
      <c r="P630" s="42"/>
    </row>
    <row r="631" spans="1:16" x14ac:dyDescent="0.25">
      <c r="A631" s="22"/>
      <c r="B631" s="23"/>
      <c r="C631" s="57"/>
      <c r="D631" s="36"/>
      <c r="E631" s="31"/>
      <c r="F631" s="31"/>
      <c r="G631" s="56"/>
      <c r="H631" s="26"/>
      <c r="I631" s="26"/>
      <c r="J631" s="26"/>
      <c r="K631" s="26"/>
      <c r="L631" s="41"/>
      <c r="M631" s="36"/>
      <c r="N631" s="26"/>
      <c r="O631" s="26"/>
      <c r="P631" s="42"/>
    </row>
    <row r="632" spans="1:16" x14ac:dyDescent="0.25">
      <c r="A632" s="22"/>
      <c r="B632" s="23"/>
      <c r="C632" s="57"/>
      <c r="D632" s="36"/>
      <c r="E632" s="31"/>
      <c r="F632" s="31"/>
      <c r="G632" s="56"/>
      <c r="H632" s="26"/>
      <c r="I632" s="26"/>
      <c r="J632" s="26"/>
      <c r="K632" s="26"/>
      <c r="L632" s="41"/>
      <c r="M632" s="36"/>
      <c r="N632" s="26"/>
      <c r="O632" s="26"/>
      <c r="P632" s="42"/>
    </row>
    <row r="633" spans="1:16" x14ac:dyDescent="0.25">
      <c r="A633" s="22"/>
      <c r="B633" s="23"/>
      <c r="C633" s="57"/>
      <c r="D633" s="36"/>
      <c r="E633" s="31"/>
      <c r="F633" s="31"/>
      <c r="G633" s="56"/>
      <c r="H633" s="26"/>
      <c r="I633" s="26"/>
      <c r="J633" s="26"/>
      <c r="K633" s="26"/>
      <c r="L633" s="41"/>
      <c r="M633" s="36"/>
      <c r="N633" s="26"/>
      <c r="O633" s="26"/>
      <c r="P633" s="42"/>
    </row>
    <row r="634" spans="1:16" x14ac:dyDescent="0.25">
      <c r="A634" s="22"/>
      <c r="B634" s="23"/>
      <c r="C634" s="57"/>
      <c r="D634" s="36"/>
      <c r="E634" s="31"/>
      <c r="F634" s="31"/>
      <c r="G634" s="56"/>
      <c r="H634" s="26"/>
      <c r="I634" s="26"/>
      <c r="J634" s="26"/>
      <c r="K634" s="26"/>
      <c r="L634" s="41"/>
      <c r="M634" s="36"/>
      <c r="N634" s="26"/>
      <c r="O634" s="26"/>
      <c r="P634" s="42"/>
    </row>
    <row r="635" spans="1:16" x14ac:dyDescent="0.25">
      <c r="A635" s="22"/>
      <c r="B635" s="23"/>
      <c r="C635" s="57"/>
      <c r="D635" s="36"/>
      <c r="E635" s="31"/>
      <c r="F635" s="31"/>
      <c r="G635" s="56"/>
      <c r="H635" s="26"/>
      <c r="I635" s="26"/>
      <c r="J635" s="26"/>
      <c r="K635" s="26"/>
      <c r="L635" s="41"/>
      <c r="M635" s="36"/>
      <c r="N635" s="26"/>
      <c r="O635" s="26"/>
      <c r="P635" s="42"/>
    </row>
    <row r="636" spans="1:16" x14ac:dyDescent="0.25">
      <c r="A636" s="22"/>
      <c r="B636" s="23"/>
      <c r="C636" s="57"/>
      <c r="D636" s="36"/>
      <c r="E636" s="31"/>
      <c r="F636" s="31"/>
      <c r="G636" s="56"/>
      <c r="H636" s="26"/>
      <c r="I636" s="26"/>
      <c r="J636" s="26"/>
      <c r="K636" s="26"/>
      <c r="L636" s="41"/>
      <c r="M636" s="36"/>
      <c r="N636" s="26"/>
      <c r="O636" s="26"/>
      <c r="P636" s="42"/>
    </row>
    <row r="637" spans="1:16" x14ac:dyDescent="0.25">
      <c r="A637" s="22"/>
      <c r="B637" s="23"/>
      <c r="C637" s="57"/>
      <c r="D637" s="36"/>
      <c r="E637" s="31"/>
      <c r="F637" s="31"/>
      <c r="G637" s="56"/>
      <c r="H637" s="26"/>
      <c r="I637" s="26"/>
      <c r="J637" s="26"/>
      <c r="K637" s="26"/>
      <c r="L637" s="41"/>
      <c r="M637" s="36"/>
      <c r="N637" s="26"/>
      <c r="O637" s="26"/>
      <c r="P637" s="42"/>
    </row>
    <row r="638" spans="1:16" x14ac:dyDescent="0.25">
      <c r="A638" s="22"/>
      <c r="B638" s="23"/>
      <c r="C638" s="57"/>
      <c r="D638" s="36"/>
      <c r="E638" s="31"/>
      <c r="F638" s="31"/>
      <c r="G638" s="56"/>
      <c r="H638" s="26"/>
      <c r="I638" s="26"/>
      <c r="J638" s="26"/>
      <c r="K638" s="26"/>
      <c r="L638" s="41"/>
      <c r="M638" s="36"/>
      <c r="N638" s="26"/>
      <c r="O638" s="26"/>
      <c r="P638" s="42"/>
    </row>
    <row r="639" spans="1:16" x14ac:dyDescent="0.25">
      <c r="A639" s="22"/>
      <c r="B639" s="23"/>
      <c r="C639" s="57"/>
      <c r="D639" s="36"/>
      <c r="E639" s="31"/>
      <c r="F639" s="31"/>
      <c r="G639" s="56"/>
      <c r="H639" s="26"/>
      <c r="I639" s="26"/>
      <c r="J639" s="26"/>
      <c r="K639" s="26"/>
      <c r="L639" s="41"/>
      <c r="M639" s="36"/>
      <c r="N639" s="26"/>
      <c r="O639" s="26"/>
      <c r="P639" s="42"/>
    </row>
    <row r="640" spans="1:16" x14ac:dyDescent="0.25">
      <c r="A640" s="22"/>
      <c r="B640" s="23"/>
      <c r="C640" s="57"/>
      <c r="D640" s="36"/>
      <c r="E640" s="31"/>
      <c r="F640" s="31"/>
      <c r="G640" s="56"/>
      <c r="H640" s="26"/>
      <c r="I640" s="26"/>
      <c r="J640" s="26"/>
      <c r="K640" s="26"/>
      <c r="L640" s="41"/>
      <c r="M640" s="36"/>
      <c r="N640" s="26"/>
      <c r="O640" s="26"/>
      <c r="P640" s="42"/>
    </row>
    <row r="641" spans="1:16" x14ac:dyDescent="0.25">
      <c r="A641" s="22"/>
      <c r="B641" s="23"/>
      <c r="C641" s="57"/>
      <c r="D641" s="36"/>
      <c r="E641" s="31"/>
      <c r="F641" s="31"/>
      <c r="G641" s="56"/>
      <c r="H641" s="26"/>
      <c r="I641" s="26"/>
      <c r="J641" s="26"/>
      <c r="K641" s="26"/>
      <c r="L641" s="41"/>
      <c r="M641" s="36"/>
      <c r="N641" s="26"/>
      <c r="O641" s="26"/>
      <c r="P641" s="42"/>
    </row>
    <row r="642" spans="1:16" x14ac:dyDescent="0.25">
      <c r="A642" s="22"/>
      <c r="B642" s="23"/>
      <c r="C642" s="57"/>
      <c r="D642" s="36"/>
      <c r="E642" s="31"/>
      <c r="F642" s="31"/>
      <c r="G642" s="56"/>
      <c r="H642" s="26"/>
      <c r="I642" s="26"/>
      <c r="J642" s="26"/>
      <c r="K642" s="26"/>
      <c r="L642" s="41"/>
      <c r="M642" s="36"/>
      <c r="N642" s="26"/>
      <c r="O642" s="26"/>
      <c r="P642" s="42"/>
    </row>
    <row r="643" spans="1:16" x14ac:dyDescent="0.25">
      <c r="A643" s="22"/>
      <c r="B643" s="23"/>
      <c r="C643" s="57"/>
      <c r="D643" s="36"/>
      <c r="E643" s="31"/>
      <c r="F643" s="31"/>
      <c r="G643" s="56"/>
      <c r="H643" s="26"/>
      <c r="I643" s="26"/>
      <c r="J643" s="26"/>
      <c r="K643" s="26"/>
      <c r="L643" s="41"/>
      <c r="M643" s="36"/>
      <c r="N643" s="26"/>
      <c r="O643" s="26"/>
      <c r="P643" s="42"/>
    </row>
    <row r="644" spans="1:16" x14ac:dyDescent="0.25">
      <c r="A644" s="22"/>
      <c r="B644" s="23"/>
      <c r="C644" s="57"/>
      <c r="D644" s="36"/>
      <c r="E644" s="31"/>
      <c r="F644" s="31"/>
      <c r="G644" s="56"/>
      <c r="H644" s="26"/>
      <c r="I644" s="26"/>
      <c r="J644" s="26"/>
      <c r="K644" s="26"/>
      <c r="L644" s="41"/>
      <c r="M644" s="36"/>
      <c r="N644" s="26"/>
      <c r="O644" s="26"/>
      <c r="P644" s="42"/>
    </row>
    <row r="645" spans="1:16" x14ac:dyDescent="0.25">
      <c r="A645" s="22"/>
      <c r="B645" s="23"/>
      <c r="C645" s="57"/>
      <c r="D645" s="36"/>
      <c r="E645" s="31"/>
      <c r="F645" s="31"/>
      <c r="G645" s="56"/>
      <c r="H645" s="26"/>
      <c r="I645" s="26"/>
      <c r="J645" s="26"/>
      <c r="K645" s="26"/>
      <c r="L645" s="41"/>
      <c r="M645" s="36"/>
      <c r="N645" s="26"/>
      <c r="O645" s="26"/>
      <c r="P645" s="42"/>
    </row>
    <row r="646" spans="1:16" x14ac:dyDescent="0.25">
      <c r="A646" s="22"/>
      <c r="B646" s="23"/>
      <c r="C646" s="57"/>
      <c r="D646" s="36"/>
      <c r="E646" s="31"/>
      <c r="F646" s="31"/>
      <c r="G646" s="56"/>
      <c r="H646" s="26"/>
      <c r="I646" s="26"/>
      <c r="J646" s="26"/>
      <c r="K646" s="26"/>
      <c r="L646" s="41"/>
      <c r="M646" s="36"/>
      <c r="N646" s="26"/>
      <c r="O646" s="26"/>
      <c r="P646" s="42"/>
    </row>
    <row r="647" spans="1:16" x14ac:dyDescent="0.25">
      <c r="A647" s="22"/>
      <c r="B647" s="23"/>
      <c r="C647" s="57"/>
      <c r="D647" s="36"/>
      <c r="E647" s="31"/>
      <c r="F647" s="31"/>
      <c r="G647" s="56"/>
      <c r="H647" s="26"/>
      <c r="I647" s="26"/>
      <c r="J647" s="26"/>
      <c r="K647" s="26"/>
      <c r="L647" s="41"/>
      <c r="M647" s="36"/>
      <c r="N647" s="26"/>
      <c r="O647" s="26"/>
      <c r="P647" s="42"/>
    </row>
    <row r="648" spans="1:16" x14ac:dyDescent="0.25">
      <c r="A648" s="22"/>
      <c r="B648" s="23"/>
      <c r="C648" s="57"/>
      <c r="D648" s="36"/>
      <c r="E648" s="31"/>
      <c r="F648" s="31"/>
      <c r="G648" s="56"/>
      <c r="H648" s="26"/>
      <c r="I648" s="26"/>
      <c r="J648" s="26"/>
      <c r="K648" s="26"/>
      <c r="L648" s="41"/>
      <c r="M648" s="36"/>
      <c r="N648" s="26"/>
      <c r="O648" s="26"/>
      <c r="P648" s="42"/>
    </row>
    <row r="649" spans="1:16" x14ac:dyDescent="0.25">
      <c r="A649" s="22"/>
      <c r="B649" s="23"/>
      <c r="C649" s="57"/>
      <c r="D649" s="36"/>
      <c r="E649" s="31"/>
      <c r="F649" s="31"/>
      <c r="G649" s="56"/>
      <c r="H649" s="26"/>
      <c r="I649" s="26"/>
      <c r="J649" s="26"/>
      <c r="K649" s="26"/>
      <c r="L649" s="41"/>
      <c r="M649" s="36"/>
      <c r="N649" s="26"/>
      <c r="O649" s="26"/>
      <c r="P649" s="42"/>
    </row>
    <row r="650" spans="1:16" x14ac:dyDescent="0.25">
      <c r="A650" s="22"/>
      <c r="B650" s="23"/>
      <c r="C650" s="57"/>
      <c r="D650" s="36"/>
      <c r="E650" s="31"/>
      <c r="F650" s="31"/>
      <c r="G650" s="56"/>
      <c r="H650" s="26"/>
      <c r="I650" s="26"/>
      <c r="J650" s="26"/>
      <c r="K650" s="26"/>
      <c r="L650" s="41"/>
      <c r="M650" s="36"/>
      <c r="N650" s="26"/>
      <c r="O650" s="26"/>
      <c r="P650" s="42"/>
    </row>
    <row r="651" spans="1:16" x14ac:dyDescent="0.25">
      <c r="A651" s="22"/>
      <c r="B651" s="23"/>
      <c r="C651" s="57"/>
      <c r="D651" s="36"/>
      <c r="E651" s="31"/>
      <c r="F651" s="31"/>
      <c r="G651" s="56"/>
      <c r="H651" s="26"/>
      <c r="I651" s="26"/>
      <c r="J651" s="26"/>
      <c r="K651" s="26"/>
      <c r="L651" s="41"/>
      <c r="M651" s="36"/>
      <c r="N651" s="26"/>
      <c r="O651" s="26"/>
      <c r="P651" s="42"/>
    </row>
    <row r="652" spans="1:16" x14ac:dyDescent="0.25">
      <c r="A652" s="22"/>
      <c r="B652" s="23"/>
      <c r="C652" s="57"/>
      <c r="D652" s="36"/>
      <c r="E652" s="31"/>
      <c r="F652" s="31"/>
      <c r="G652" s="56"/>
      <c r="H652" s="26"/>
      <c r="I652" s="26"/>
      <c r="J652" s="26"/>
      <c r="K652" s="26"/>
      <c r="L652" s="41"/>
      <c r="M652" s="36"/>
      <c r="N652" s="26"/>
      <c r="O652" s="26"/>
      <c r="P652" s="42"/>
    </row>
    <row r="653" spans="1:16" x14ac:dyDescent="0.25">
      <c r="A653" s="22"/>
      <c r="B653" s="23"/>
      <c r="C653" s="57"/>
      <c r="D653" s="36"/>
      <c r="E653" s="31"/>
      <c r="F653" s="31"/>
      <c r="G653" s="56"/>
      <c r="H653" s="26"/>
      <c r="I653" s="26"/>
      <c r="J653" s="26"/>
      <c r="K653" s="26"/>
      <c r="L653" s="41"/>
      <c r="M653" s="36"/>
      <c r="N653" s="26"/>
      <c r="O653" s="26"/>
      <c r="P653" s="42"/>
    </row>
    <row r="654" spans="1:16" x14ac:dyDescent="0.25">
      <c r="A654" s="22"/>
      <c r="B654" s="23"/>
      <c r="C654" s="57"/>
      <c r="D654" s="36"/>
      <c r="E654" s="31"/>
      <c r="F654" s="31"/>
      <c r="G654" s="56"/>
      <c r="H654" s="26"/>
      <c r="I654" s="26"/>
      <c r="J654" s="26"/>
      <c r="K654" s="26"/>
      <c r="L654" s="41"/>
      <c r="M654" s="36"/>
      <c r="N654" s="26"/>
      <c r="O654" s="26"/>
      <c r="P654" s="42"/>
    </row>
    <row r="655" spans="1:16" x14ac:dyDescent="0.25">
      <c r="A655" s="22"/>
      <c r="B655" s="23"/>
      <c r="C655" s="57"/>
      <c r="D655" s="36"/>
      <c r="E655" s="31"/>
      <c r="F655" s="31"/>
      <c r="G655" s="56"/>
      <c r="H655" s="26"/>
      <c r="I655" s="26"/>
      <c r="J655" s="26"/>
      <c r="K655" s="26"/>
      <c r="L655" s="41"/>
      <c r="M655" s="36"/>
      <c r="N655" s="26"/>
      <c r="O655" s="26"/>
      <c r="P655" s="42"/>
    </row>
    <row r="656" spans="1:16" x14ac:dyDescent="0.25">
      <c r="A656" s="22"/>
      <c r="B656" s="23"/>
      <c r="C656" s="57"/>
      <c r="D656" s="36"/>
      <c r="E656" s="31"/>
      <c r="F656" s="31"/>
      <c r="G656" s="56"/>
      <c r="H656" s="26"/>
      <c r="I656" s="26"/>
      <c r="J656" s="26"/>
      <c r="K656" s="26"/>
      <c r="L656" s="41"/>
      <c r="M656" s="36"/>
      <c r="N656" s="26"/>
      <c r="O656" s="26"/>
      <c r="P656" s="42"/>
    </row>
    <row r="657" spans="1:16" x14ac:dyDescent="0.25">
      <c r="A657" s="22"/>
      <c r="B657" s="23"/>
      <c r="C657" s="57"/>
      <c r="D657" s="36"/>
      <c r="E657" s="31"/>
      <c r="F657" s="31"/>
      <c r="G657" s="56"/>
      <c r="H657" s="26"/>
      <c r="I657" s="26"/>
      <c r="J657" s="26"/>
      <c r="K657" s="26"/>
      <c r="L657" s="41"/>
      <c r="M657" s="36"/>
      <c r="N657" s="26"/>
      <c r="O657" s="26"/>
      <c r="P657" s="42"/>
    </row>
    <row r="658" spans="1:16" x14ac:dyDescent="0.25">
      <c r="A658" s="22"/>
      <c r="B658" s="23"/>
      <c r="C658" s="57"/>
      <c r="D658" s="36"/>
      <c r="E658" s="31"/>
      <c r="F658" s="31"/>
      <c r="G658" s="56"/>
      <c r="H658" s="26"/>
      <c r="I658" s="26"/>
      <c r="J658" s="26"/>
      <c r="K658" s="26"/>
      <c r="L658" s="41"/>
      <c r="M658" s="36"/>
      <c r="N658" s="26"/>
      <c r="O658" s="26"/>
      <c r="P658" s="42"/>
    </row>
    <row r="659" spans="1:16" x14ac:dyDescent="0.25">
      <c r="A659" s="22"/>
      <c r="B659" s="23"/>
      <c r="C659" s="57"/>
      <c r="D659" s="36"/>
      <c r="E659" s="31"/>
      <c r="F659" s="31"/>
      <c r="G659" s="56"/>
      <c r="H659" s="26"/>
      <c r="I659" s="26"/>
      <c r="J659" s="26"/>
      <c r="K659" s="26"/>
      <c r="L659" s="41"/>
      <c r="M659" s="36"/>
      <c r="N659" s="26"/>
      <c r="O659" s="26"/>
      <c r="P659" s="42"/>
    </row>
    <row r="660" spans="1:16" x14ac:dyDescent="0.25">
      <c r="A660" s="22"/>
      <c r="B660" s="23"/>
      <c r="C660" s="57"/>
      <c r="D660" s="36"/>
      <c r="E660" s="31"/>
      <c r="F660" s="31"/>
      <c r="G660" s="56"/>
      <c r="H660" s="26"/>
      <c r="I660" s="26"/>
      <c r="J660" s="26"/>
      <c r="K660" s="26"/>
      <c r="L660" s="41"/>
      <c r="M660" s="36"/>
      <c r="N660" s="26"/>
      <c r="O660" s="26"/>
      <c r="P660" s="42"/>
    </row>
    <row r="661" spans="1:16" x14ac:dyDescent="0.25">
      <c r="A661" s="22"/>
      <c r="B661" s="23"/>
      <c r="C661" s="57"/>
      <c r="D661" s="36"/>
      <c r="E661" s="31"/>
      <c r="F661" s="31"/>
      <c r="G661" s="56"/>
      <c r="H661" s="26"/>
      <c r="I661" s="26"/>
      <c r="J661" s="26"/>
      <c r="K661" s="26"/>
      <c r="L661" s="41"/>
      <c r="M661" s="36"/>
      <c r="N661" s="26"/>
      <c r="O661" s="26"/>
      <c r="P661" s="42"/>
    </row>
    <row r="662" spans="1:16" x14ac:dyDescent="0.25">
      <c r="A662" s="22"/>
      <c r="B662" s="23"/>
      <c r="C662" s="57"/>
      <c r="D662" s="36"/>
      <c r="E662" s="31"/>
      <c r="F662" s="31"/>
      <c r="G662" s="56"/>
      <c r="H662" s="26"/>
      <c r="I662" s="26"/>
      <c r="J662" s="26"/>
      <c r="K662" s="26"/>
      <c r="L662" s="41"/>
      <c r="M662" s="36"/>
      <c r="N662" s="26"/>
      <c r="O662" s="26"/>
      <c r="P662" s="42"/>
    </row>
    <row r="663" spans="1:16" x14ac:dyDescent="0.25">
      <c r="A663" s="22"/>
      <c r="B663" s="23"/>
      <c r="C663" s="57"/>
      <c r="D663" s="36"/>
      <c r="E663" s="31"/>
      <c r="F663" s="31"/>
      <c r="G663" s="56"/>
      <c r="H663" s="26"/>
      <c r="I663" s="26"/>
      <c r="J663" s="26"/>
      <c r="K663" s="26"/>
      <c r="L663" s="41"/>
      <c r="M663" s="36"/>
      <c r="N663" s="26"/>
      <c r="O663" s="26"/>
      <c r="P663" s="42"/>
    </row>
    <row r="664" spans="1:16" x14ac:dyDescent="0.25">
      <c r="A664" s="22"/>
      <c r="B664" s="23"/>
      <c r="C664" s="57"/>
      <c r="D664" s="36"/>
      <c r="E664" s="31"/>
      <c r="F664" s="31"/>
      <c r="G664" s="56"/>
      <c r="H664" s="26"/>
      <c r="I664" s="26"/>
      <c r="J664" s="26"/>
      <c r="K664" s="26"/>
      <c r="L664" s="41"/>
      <c r="M664" s="36"/>
      <c r="N664" s="26"/>
      <c r="O664" s="26"/>
      <c r="P664" s="42"/>
    </row>
    <row r="665" spans="1:16" x14ac:dyDescent="0.25">
      <c r="A665" s="22"/>
      <c r="B665" s="23"/>
      <c r="C665" s="57"/>
      <c r="D665" s="36"/>
      <c r="E665" s="31"/>
      <c r="F665" s="31"/>
      <c r="G665" s="56"/>
      <c r="H665" s="26"/>
      <c r="I665" s="26"/>
      <c r="J665" s="26"/>
      <c r="K665" s="26"/>
      <c r="L665" s="41"/>
      <c r="M665" s="36"/>
      <c r="N665" s="26"/>
      <c r="O665" s="26"/>
      <c r="P665" s="42"/>
    </row>
    <row r="666" spans="1:16" x14ac:dyDescent="0.25">
      <c r="A666" s="22"/>
      <c r="B666" s="23"/>
      <c r="C666" s="57"/>
      <c r="D666" s="36"/>
      <c r="E666" s="31"/>
      <c r="F666" s="31"/>
      <c r="G666" s="56"/>
      <c r="H666" s="26"/>
      <c r="I666" s="26"/>
      <c r="J666" s="26"/>
      <c r="K666" s="26"/>
      <c r="L666" s="41"/>
      <c r="M666" s="36"/>
      <c r="N666" s="26"/>
      <c r="O666" s="26"/>
      <c r="P666" s="42"/>
    </row>
    <row r="667" spans="1:16" x14ac:dyDescent="0.25">
      <c r="A667" s="22"/>
      <c r="B667" s="23"/>
      <c r="C667" s="57"/>
      <c r="D667" s="36"/>
      <c r="E667" s="31"/>
      <c r="F667" s="31"/>
      <c r="G667" s="56"/>
      <c r="H667" s="26"/>
      <c r="I667" s="26"/>
      <c r="J667" s="26"/>
      <c r="K667" s="26"/>
      <c r="L667" s="41"/>
      <c r="M667" s="36"/>
      <c r="N667" s="26"/>
      <c r="O667" s="26"/>
      <c r="P667" s="42"/>
    </row>
    <row r="668" spans="1:16" x14ac:dyDescent="0.25">
      <c r="A668" s="22"/>
      <c r="B668" s="23"/>
      <c r="C668" s="57"/>
      <c r="D668" s="36"/>
      <c r="E668" s="31"/>
      <c r="F668" s="31"/>
      <c r="G668" s="56"/>
      <c r="H668" s="26"/>
      <c r="I668" s="26"/>
      <c r="J668" s="26"/>
      <c r="K668" s="26"/>
      <c r="L668" s="41"/>
      <c r="M668" s="36"/>
      <c r="N668" s="26"/>
      <c r="O668" s="26"/>
      <c r="P668" s="42"/>
    </row>
    <row r="669" spans="1:16" x14ac:dyDescent="0.25">
      <c r="A669" s="22"/>
      <c r="B669" s="23"/>
      <c r="C669" s="57"/>
      <c r="D669" s="36"/>
      <c r="E669" s="31"/>
      <c r="F669" s="31"/>
      <c r="G669" s="56"/>
      <c r="H669" s="26"/>
      <c r="I669" s="26"/>
      <c r="J669" s="26"/>
      <c r="K669" s="26"/>
      <c r="L669" s="41"/>
      <c r="M669" s="36"/>
      <c r="N669" s="26"/>
      <c r="O669" s="26"/>
      <c r="P669" s="42"/>
    </row>
    <row r="670" spans="1:16" x14ac:dyDescent="0.25">
      <c r="A670" s="22"/>
      <c r="B670" s="23"/>
      <c r="C670" s="57"/>
      <c r="D670" s="36"/>
      <c r="E670" s="31"/>
      <c r="F670" s="31"/>
      <c r="G670" s="56"/>
      <c r="H670" s="26"/>
      <c r="I670" s="26"/>
      <c r="J670" s="26"/>
      <c r="K670" s="26"/>
      <c r="L670" s="41"/>
      <c r="M670" s="36"/>
      <c r="N670" s="26"/>
      <c r="O670" s="26"/>
      <c r="P670" s="42"/>
    </row>
    <row r="671" spans="1:16" x14ac:dyDescent="0.25">
      <c r="A671" s="22"/>
      <c r="B671" s="23"/>
      <c r="C671" s="57"/>
      <c r="D671" s="36"/>
      <c r="E671" s="31"/>
      <c r="F671" s="31"/>
      <c r="G671" s="56"/>
      <c r="H671" s="26"/>
      <c r="I671" s="26"/>
      <c r="J671" s="26"/>
      <c r="K671" s="26"/>
      <c r="L671" s="41"/>
      <c r="M671" s="36"/>
      <c r="N671" s="26"/>
      <c r="O671" s="26"/>
      <c r="P671" s="42"/>
    </row>
    <row r="672" spans="1:16" x14ac:dyDescent="0.25">
      <c r="A672" s="22"/>
      <c r="B672" s="23"/>
      <c r="C672" s="57"/>
      <c r="D672" s="36"/>
      <c r="E672" s="31"/>
      <c r="F672" s="31"/>
      <c r="G672" s="56"/>
      <c r="H672" s="26"/>
      <c r="I672" s="26"/>
      <c r="J672" s="26"/>
      <c r="K672" s="26"/>
      <c r="L672" s="41"/>
      <c r="M672" s="36"/>
      <c r="N672" s="26"/>
      <c r="O672" s="26"/>
      <c r="P672" s="42"/>
    </row>
    <row r="673" spans="1:16" x14ac:dyDescent="0.25">
      <c r="A673" s="22"/>
      <c r="B673" s="23"/>
      <c r="C673" s="57"/>
      <c r="D673" s="36"/>
      <c r="E673" s="31"/>
      <c r="F673" s="31"/>
      <c r="G673" s="56"/>
      <c r="H673" s="26"/>
      <c r="I673" s="26"/>
      <c r="J673" s="26"/>
      <c r="K673" s="26"/>
      <c r="L673" s="41"/>
      <c r="M673" s="36"/>
      <c r="N673" s="26"/>
      <c r="O673" s="26"/>
      <c r="P673" s="42"/>
    </row>
    <row r="674" spans="1:16" x14ac:dyDescent="0.25">
      <c r="A674" s="22"/>
      <c r="B674" s="23"/>
      <c r="C674" s="57"/>
      <c r="D674" s="36"/>
      <c r="E674" s="31"/>
      <c r="F674" s="31"/>
      <c r="G674" s="56"/>
      <c r="H674" s="26"/>
      <c r="I674" s="26"/>
      <c r="J674" s="26"/>
      <c r="K674" s="26"/>
      <c r="L674" s="41"/>
      <c r="M674" s="36"/>
      <c r="N674" s="26"/>
      <c r="O674" s="26"/>
      <c r="P674" s="42"/>
    </row>
    <row r="675" spans="1:16" x14ac:dyDescent="0.25">
      <c r="A675" s="22"/>
      <c r="B675" s="23"/>
      <c r="C675" s="57"/>
      <c r="D675" s="36"/>
      <c r="E675" s="31"/>
      <c r="F675" s="31"/>
      <c r="G675" s="56"/>
      <c r="H675" s="26"/>
      <c r="I675" s="26"/>
      <c r="J675" s="26"/>
      <c r="K675" s="26"/>
      <c r="L675" s="41"/>
      <c r="M675" s="36"/>
      <c r="N675" s="26"/>
      <c r="O675" s="26"/>
      <c r="P675" s="42"/>
    </row>
    <row r="676" spans="1:16" x14ac:dyDescent="0.25">
      <c r="A676" s="22"/>
      <c r="B676" s="23"/>
      <c r="C676" s="57"/>
      <c r="D676" s="36"/>
      <c r="E676" s="31"/>
      <c r="F676" s="31"/>
      <c r="G676" s="56"/>
      <c r="H676" s="26"/>
      <c r="I676" s="26"/>
      <c r="J676" s="26"/>
      <c r="K676" s="26"/>
      <c r="L676" s="41"/>
      <c r="M676" s="36"/>
      <c r="N676" s="26"/>
      <c r="O676" s="26"/>
      <c r="P676" s="42"/>
    </row>
    <row r="677" spans="1:16" x14ac:dyDescent="0.25">
      <c r="A677" s="22"/>
      <c r="B677" s="23"/>
      <c r="C677" s="57"/>
      <c r="D677" s="36"/>
      <c r="E677" s="31"/>
      <c r="F677" s="31"/>
      <c r="G677" s="56"/>
      <c r="H677" s="26"/>
      <c r="I677" s="26"/>
      <c r="J677" s="26"/>
      <c r="K677" s="26"/>
      <c r="L677" s="41"/>
      <c r="M677" s="36"/>
      <c r="N677" s="26"/>
      <c r="O677" s="26"/>
      <c r="P677" s="42"/>
    </row>
    <row r="678" spans="1:16" x14ac:dyDescent="0.25">
      <c r="A678" s="22"/>
      <c r="B678" s="23"/>
      <c r="C678" s="57"/>
      <c r="D678" s="36"/>
      <c r="E678" s="31"/>
      <c r="F678" s="31"/>
      <c r="G678" s="56"/>
      <c r="H678" s="26"/>
      <c r="I678" s="26"/>
      <c r="J678" s="26"/>
      <c r="K678" s="26"/>
      <c r="L678" s="41"/>
      <c r="M678" s="36"/>
      <c r="N678" s="26"/>
      <c r="O678" s="26"/>
      <c r="P678" s="42"/>
    </row>
    <row r="679" spans="1:16" x14ac:dyDescent="0.25">
      <c r="A679" s="22"/>
      <c r="B679" s="23"/>
      <c r="C679" s="57"/>
      <c r="D679" s="36"/>
      <c r="E679" s="31"/>
      <c r="F679" s="31"/>
      <c r="G679" s="56"/>
      <c r="H679" s="26"/>
      <c r="I679" s="26"/>
      <c r="J679" s="26"/>
      <c r="K679" s="26"/>
      <c r="L679" s="41"/>
      <c r="M679" s="36"/>
      <c r="N679" s="26"/>
      <c r="O679" s="26"/>
      <c r="P679" s="42"/>
    </row>
    <row r="680" spans="1:16" x14ac:dyDescent="0.25">
      <c r="A680" s="22"/>
      <c r="B680" s="23"/>
      <c r="C680" s="57"/>
      <c r="D680" s="36"/>
      <c r="E680" s="31"/>
      <c r="F680" s="31"/>
      <c r="G680" s="56"/>
      <c r="H680" s="26"/>
      <c r="I680" s="26"/>
      <c r="J680" s="26"/>
      <c r="K680" s="26"/>
      <c r="L680" s="41"/>
      <c r="M680" s="36"/>
      <c r="N680" s="26"/>
      <c r="O680" s="26"/>
      <c r="P680" s="42"/>
    </row>
    <row r="681" spans="1:16" x14ac:dyDescent="0.25">
      <c r="A681" s="22"/>
      <c r="B681" s="23"/>
      <c r="C681" s="57"/>
      <c r="D681" s="36"/>
      <c r="E681" s="31"/>
      <c r="F681" s="31"/>
      <c r="G681" s="56"/>
      <c r="H681" s="26"/>
      <c r="I681" s="26"/>
      <c r="J681" s="26"/>
      <c r="K681" s="26"/>
      <c r="L681" s="41"/>
      <c r="M681" s="36"/>
      <c r="N681" s="26"/>
      <c r="O681" s="26"/>
      <c r="P681" s="42"/>
    </row>
    <row r="682" spans="1:16" x14ac:dyDescent="0.25">
      <c r="A682" s="22"/>
      <c r="B682" s="23"/>
      <c r="C682" s="57"/>
      <c r="D682" s="36"/>
      <c r="E682" s="31"/>
      <c r="F682" s="31"/>
      <c r="G682" s="56"/>
      <c r="H682" s="26"/>
      <c r="I682" s="26"/>
      <c r="J682" s="26"/>
      <c r="K682" s="26"/>
      <c r="L682" s="41"/>
      <c r="M682" s="36"/>
      <c r="N682" s="26"/>
      <c r="O682" s="26"/>
      <c r="P682" s="42"/>
    </row>
    <row r="683" spans="1:16" x14ac:dyDescent="0.25">
      <c r="A683" s="22"/>
      <c r="B683" s="23"/>
      <c r="C683" s="57"/>
      <c r="D683" s="36"/>
      <c r="E683" s="31"/>
      <c r="F683" s="31"/>
      <c r="G683" s="56"/>
      <c r="H683" s="26"/>
      <c r="I683" s="26"/>
      <c r="J683" s="26"/>
      <c r="K683" s="26"/>
      <c r="L683" s="41"/>
      <c r="M683" s="36"/>
      <c r="N683" s="26"/>
      <c r="O683" s="26"/>
      <c r="P683" s="42"/>
    </row>
    <row r="684" spans="1:16" x14ac:dyDescent="0.25">
      <c r="A684" s="22"/>
      <c r="B684" s="23"/>
      <c r="C684" s="57"/>
      <c r="D684" s="36"/>
      <c r="E684" s="31"/>
      <c r="F684" s="31"/>
      <c r="G684" s="56"/>
      <c r="H684" s="26"/>
      <c r="I684" s="26"/>
      <c r="J684" s="26"/>
      <c r="K684" s="26"/>
      <c r="L684" s="41"/>
      <c r="M684" s="36"/>
      <c r="N684" s="26"/>
      <c r="O684" s="26"/>
      <c r="P684" s="42"/>
    </row>
    <row r="685" spans="1:16" x14ac:dyDescent="0.25">
      <c r="A685" s="22"/>
      <c r="B685" s="23"/>
      <c r="C685" s="57"/>
      <c r="D685" s="36"/>
      <c r="E685" s="31"/>
      <c r="F685" s="31"/>
      <c r="G685" s="56"/>
      <c r="H685" s="26"/>
      <c r="I685" s="26"/>
      <c r="J685" s="26"/>
      <c r="K685" s="26"/>
      <c r="L685" s="41"/>
      <c r="M685" s="36"/>
      <c r="N685" s="26"/>
      <c r="O685" s="26"/>
      <c r="P685" s="42"/>
    </row>
    <row r="686" spans="1:16" x14ac:dyDescent="0.25">
      <c r="A686" s="22"/>
      <c r="B686" s="23"/>
      <c r="C686" s="57"/>
      <c r="D686" s="36"/>
      <c r="E686" s="31"/>
      <c r="F686" s="31"/>
      <c r="G686" s="56"/>
      <c r="H686" s="26"/>
      <c r="I686" s="26"/>
      <c r="J686" s="26"/>
      <c r="K686" s="26"/>
      <c r="L686" s="41"/>
      <c r="M686" s="36"/>
      <c r="N686" s="26"/>
      <c r="O686" s="26"/>
      <c r="P686" s="42"/>
    </row>
    <row r="687" spans="1:16" x14ac:dyDescent="0.25">
      <c r="A687" s="22"/>
      <c r="B687" s="23"/>
      <c r="C687" s="57"/>
      <c r="D687" s="36"/>
      <c r="E687" s="31"/>
      <c r="F687" s="31"/>
      <c r="G687" s="56"/>
      <c r="H687" s="26"/>
      <c r="I687" s="26"/>
      <c r="J687" s="26"/>
      <c r="K687" s="26"/>
      <c r="L687" s="41"/>
      <c r="M687" s="36"/>
      <c r="N687" s="26"/>
      <c r="O687" s="26"/>
      <c r="P687" s="42"/>
    </row>
    <row r="688" spans="1:16" x14ac:dyDescent="0.25">
      <c r="A688" s="22"/>
      <c r="B688" s="23"/>
      <c r="C688" s="57"/>
      <c r="D688" s="36"/>
      <c r="E688" s="31"/>
      <c r="F688" s="31"/>
      <c r="G688" s="56"/>
      <c r="H688" s="26"/>
      <c r="I688" s="26"/>
      <c r="J688" s="26"/>
      <c r="K688" s="26"/>
      <c r="L688" s="41"/>
      <c r="M688" s="36"/>
      <c r="N688" s="26"/>
      <c r="O688" s="26"/>
      <c r="P688" s="42"/>
    </row>
    <row r="689" spans="1:16" x14ac:dyDescent="0.25">
      <c r="A689" s="22"/>
      <c r="B689" s="23"/>
      <c r="C689" s="57"/>
      <c r="D689" s="36"/>
      <c r="E689" s="31"/>
      <c r="F689" s="31"/>
      <c r="G689" s="56"/>
      <c r="H689" s="26"/>
      <c r="I689" s="26"/>
      <c r="J689" s="26"/>
      <c r="K689" s="26"/>
      <c r="L689" s="41"/>
      <c r="M689" s="36"/>
      <c r="N689" s="26"/>
      <c r="O689" s="26"/>
      <c r="P689" s="42"/>
    </row>
    <row r="690" spans="1:16" x14ac:dyDescent="0.25">
      <c r="A690" s="22"/>
      <c r="B690" s="23"/>
      <c r="C690" s="57"/>
      <c r="D690" s="36"/>
      <c r="E690" s="31"/>
      <c r="F690" s="31"/>
      <c r="G690" s="56"/>
      <c r="H690" s="26"/>
      <c r="I690" s="26"/>
      <c r="J690" s="26"/>
      <c r="K690" s="26"/>
      <c r="L690" s="41"/>
      <c r="M690" s="36"/>
      <c r="N690" s="26"/>
      <c r="O690" s="26"/>
      <c r="P690" s="42"/>
    </row>
    <row r="691" spans="1:16" x14ac:dyDescent="0.25">
      <c r="A691" s="22"/>
      <c r="B691" s="23"/>
      <c r="C691" s="57"/>
      <c r="D691" s="36"/>
      <c r="E691" s="31"/>
      <c r="F691" s="31"/>
      <c r="G691" s="56"/>
      <c r="H691" s="26"/>
      <c r="I691" s="26"/>
      <c r="J691" s="26"/>
      <c r="K691" s="26"/>
      <c r="L691" s="41"/>
      <c r="M691" s="36"/>
      <c r="N691" s="26"/>
      <c r="O691" s="26"/>
      <c r="P691" s="42"/>
    </row>
    <row r="692" spans="1:16" x14ac:dyDescent="0.25">
      <c r="A692" s="22"/>
      <c r="B692" s="23"/>
      <c r="C692" s="57"/>
      <c r="D692" s="36"/>
      <c r="E692" s="31"/>
      <c r="F692" s="31"/>
      <c r="G692" s="56"/>
      <c r="H692" s="26"/>
      <c r="I692" s="26"/>
      <c r="J692" s="26"/>
      <c r="K692" s="26"/>
      <c r="L692" s="41"/>
      <c r="M692" s="36"/>
      <c r="N692" s="26"/>
      <c r="O692" s="26"/>
      <c r="P692" s="42"/>
    </row>
    <row r="693" spans="1:16" x14ac:dyDescent="0.25">
      <c r="A693" s="22"/>
      <c r="B693" s="23"/>
      <c r="C693" s="57"/>
      <c r="D693" s="36"/>
      <c r="E693" s="31"/>
      <c r="F693" s="31"/>
      <c r="G693" s="56"/>
      <c r="H693" s="26"/>
      <c r="I693" s="26"/>
      <c r="J693" s="26"/>
      <c r="K693" s="26"/>
      <c r="L693" s="41"/>
      <c r="M693" s="36"/>
      <c r="N693" s="26"/>
      <c r="O693" s="26"/>
      <c r="P693" s="42"/>
    </row>
    <row r="694" spans="1:16" x14ac:dyDescent="0.25">
      <c r="A694" s="22"/>
      <c r="B694" s="23"/>
      <c r="C694" s="57"/>
      <c r="D694" s="36"/>
      <c r="E694" s="31"/>
      <c r="F694" s="31"/>
      <c r="G694" s="56"/>
      <c r="H694" s="26"/>
      <c r="I694" s="26"/>
      <c r="J694" s="26"/>
      <c r="K694" s="26"/>
      <c r="L694" s="41"/>
      <c r="M694" s="36"/>
      <c r="N694" s="26"/>
      <c r="O694" s="26"/>
      <c r="P694" s="42"/>
    </row>
  </sheetData>
  <sheetProtection autoFilter="0"/>
  <autoFilter ref="A3:P694"/>
  <mergeCells count="1">
    <mergeCell ref="A1:P1"/>
  </mergeCells>
  <pageMargins left="0.7" right="0.7" top="0.75" bottom="0.75" header="0.3" footer="0.3"/>
  <pageSetup orientation="portrait" r:id="rId1"/>
  <ignoredErrors>
    <ignoredError sqref="A88:A260 A4:A6 A57:A67 A69:A84 A85:A87 A7 A8:A10 A11:A5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0"/>
  <sheetViews>
    <sheetView showGridLines="0" topLeftCell="E1" workbookViewId="0">
      <pane ySplit="3" topLeftCell="A38" activePane="bottomLeft" state="frozen"/>
      <selection pane="bottomLeft" activeCell="O70" sqref="O70"/>
    </sheetView>
  </sheetViews>
  <sheetFormatPr defaultRowHeight="15" x14ac:dyDescent="0.25"/>
  <cols>
    <col min="1" max="1" width="9.140625" bestFit="1" customWidth="1"/>
    <col min="2" max="2" width="11.28515625" bestFit="1" customWidth="1"/>
    <col min="3" max="3" width="10.42578125" bestFit="1" customWidth="1"/>
    <col min="4" max="4" width="15.5703125" bestFit="1" customWidth="1"/>
    <col min="5" max="5" width="42.42578125" style="12" bestFit="1" customWidth="1"/>
    <col min="6" max="6" width="27.140625" style="38" bestFit="1" customWidth="1"/>
    <col min="7" max="7" width="25.28515625" style="12" bestFit="1" customWidth="1"/>
    <col min="8" max="8" width="55.28515625" style="12" bestFit="1" customWidth="1"/>
    <col min="9" max="9" width="16.28515625" customWidth="1"/>
    <col min="10" max="10" width="8.42578125" customWidth="1"/>
    <col min="11" max="11" width="16.42578125" bestFit="1" customWidth="1"/>
    <col min="12" max="12" width="14.85546875" bestFit="1" customWidth="1"/>
    <col min="13" max="13" width="15" bestFit="1" customWidth="1"/>
    <col min="14" max="14" width="18.7109375" bestFit="1" customWidth="1"/>
    <col min="15" max="15" width="18.28515625" bestFit="1" customWidth="1"/>
    <col min="16" max="16" width="16.140625" customWidth="1"/>
  </cols>
  <sheetData>
    <row r="1" spans="1:16" ht="21" customHeight="1" thickBot="1" x14ac:dyDescent="0.4">
      <c r="A1" s="84" t="s">
        <v>63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14"/>
    </row>
    <row r="2" spans="1:16" ht="21" customHeight="1" x14ac:dyDescent="0.3">
      <c r="A2" s="39"/>
      <c r="B2" s="39"/>
      <c r="C2" s="18"/>
      <c r="D2" s="18"/>
      <c r="E2" s="18"/>
      <c r="F2" s="18"/>
      <c r="G2" s="18"/>
      <c r="H2" s="18"/>
      <c r="I2" s="51">
        <f>SUM(I4:I539)</f>
        <v>4204012.99</v>
      </c>
      <c r="J2" s="51"/>
      <c r="K2" s="51">
        <f>SUM(K4:K539)</f>
        <v>0</v>
      </c>
      <c r="L2" s="51">
        <f>SUM(L4:L539)</f>
        <v>325189.04310000001</v>
      </c>
      <c r="M2" s="51">
        <f>SUM(M4:M539)</f>
        <v>325189.04310000001</v>
      </c>
      <c r="N2" s="51">
        <f>SUM(N4:N539)</f>
        <v>4854391.0761999991</v>
      </c>
      <c r="O2" s="19"/>
      <c r="P2" s="14"/>
    </row>
    <row r="3" spans="1:16" s="16" customFormat="1" ht="32.25" customHeight="1" thickBot="1" x14ac:dyDescent="0.3">
      <c r="A3" s="20" t="s">
        <v>50</v>
      </c>
      <c r="B3" s="21" t="s">
        <v>51</v>
      </c>
      <c r="C3" s="37" t="s">
        <v>52</v>
      </c>
      <c r="D3" s="54" t="s">
        <v>35</v>
      </c>
      <c r="E3" s="54" t="s">
        <v>49</v>
      </c>
      <c r="F3" s="54" t="s">
        <v>3</v>
      </c>
      <c r="G3" s="54" t="s">
        <v>47</v>
      </c>
      <c r="H3" s="54" t="s">
        <v>37</v>
      </c>
      <c r="I3" s="54" t="s">
        <v>39</v>
      </c>
      <c r="J3" s="54" t="s">
        <v>45</v>
      </c>
      <c r="K3" s="54" t="s">
        <v>46</v>
      </c>
      <c r="L3" s="54" t="s">
        <v>41</v>
      </c>
      <c r="M3" s="54" t="s">
        <v>42</v>
      </c>
      <c r="N3" s="54" t="s">
        <v>48</v>
      </c>
      <c r="O3" s="54" t="s">
        <v>36</v>
      </c>
      <c r="P3" s="17"/>
    </row>
    <row r="4" spans="1:16" ht="15.75" x14ac:dyDescent="0.25">
      <c r="A4" s="32">
        <f>IF(C4="","",COUNTA($C4:C$4))</f>
        <v>1</v>
      </c>
      <c r="B4" s="32" t="str">
        <f t="shared" ref="B4" si="0">IF(C4="","",TEXT(C4,"mmmm"))</f>
        <v>April</v>
      </c>
      <c r="C4" s="44">
        <v>45022</v>
      </c>
      <c r="D4" s="26" t="s">
        <v>76</v>
      </c>
      <c r="E4" s="48" t="s">
        <v>77</v>
      </c>
      <c r="F4" s="67">
        <v>1305</v>
      </c>
      <c r="G4" s="34" t="s">
        <v>43</v>
      </c>
      <c r="H4" s="45" t="s">
        <v>78</v>
      </c>
      <c r="I4" s="26">
        <v>5750</v>
      </c>
      <c r="J4" s="52"/>
      <c r="K4" s="27">
        <v>0</v>
      </c>
      <c r="L4" s="27">
        <v>0</v>
      </c>
      <c r="M4" s="26">
        <v>0</v>
      </c>
      <c r="N4" s="46">
        <f>I4+K4+L4+M4</f>
        <v>5750</v>
      </c>
      <c r="O4" s="47"/>
      <c r="P4" s="15"/>
    </row>
    <row r="5" spans="1:16" ht="15" customHeight="1" x14ac:dyDescent="0.25">
      <c r="A5" s="32">
        <f>IF(C5="","",COUNTA($C$4:C5))</f>
        <v>2</v>
      </c>
      <c r="B5" s="32" t="str">
        <f t="shared" ref="B5:B78" si="1">IF(C5="","",TEXT(C5,"mmmm"))</f>
        <v>April</v>
      </c>
      <c r="C5" s="44">
        <v>45022</v>
      </c>
      <c r="D5" s="26" t="s">
        <v>136</v>
      </c>
      <c r="E5" s="61" t="s">
        <v>137</v>
      </c>
      <c r="F5" s="66" t="s">
        <v>138</v>
      </c>
      <c r="G5" s="61" t="s">
        <v>139</v>
      </c>
      <c r="H5" s="49" t="s">
        <v>140</v>
      </c>
      <c r="I5" s="26">
        <v>724.5</v>
      </c>
      <c r="J5" s="52">
        <v>0.18</v>
      </c>
      <c r="K5" s="27"/>
      <c r="L5" s="27">
        <f t="shared" ref="L5:L8" si="2">I5*(J5/2)</f>
        <v>65.204999999999998</v>
      </c>
      <c r="M5" s="26">
        <f t="shared" ref="M5:M8" si="3">I5*(J5/2)</f>
        <v>65.204999999999998</v>
      </c>
      <c r="N5" s="46">
        <f t="shared" ref="N5:N8" si="4">I5+K5+L5+M5</f>
        <v>854.91000000000008</v>
      </c>
      <c r="O5" s="25"/>
      <c r="P5" s="13"/>
    </row>
    <row r="6" spans="1:16" ht="15" customHeight="1" x14ac:dyDescent="0.25">
      <c r="A6" s="32">
        <f>IF(C6="","",COUNTA($C$4:C6))</f>
        <v>3</v>
      </c>
      <c r="B6" s="32" t="str">
        <f t="shared" si="1"/>
        <v>April</v>
      </c>
      <c r="C6" s="44">
        <v>45031</v>
      </c>
      <c r="D6" s="26" t="s">
        <v>141</v>
      </c>
      <c r="E6" s="61" t="s">
        <v>142</v>
      </c>
      <c r="F6" s="66">
        <v>16607</v>
      </c>
      <c r="G6" s="34" t="s">
        <v>143</v>
      </c>
      <c r="H6" s="34" t="s">
        <v>144</v>
      </c>
      <c r="I6" s="26">
        <v>1860</v>
      </c>
      <c r="J6" s="52">
        <v>0.18</v>
      </c>
      <c r="K6" s="27"/>
      <c r="L6" s="27">
        <f t="shared" si="2"/>
        <v>167.4</v>
      </c>
      <c r="M6" s="26">
        <f t="shared" si="3"/>
        <v>167.4</v>
      </c>
      <c r="N6" s="46">
        <f t="shared" si="4"/>
        <v>2194.8000000000002</v>
      </c>
      <c r="O6" s="25"/>
      <c r="P6" s="13"/>
    </row>
    <row r="7" spans="1:16" ht="15" customHeight="1" x14ac:dyDescent="0.25">
      <c r="A7" s="32">
        <f>IF(C7="","",COUNTA($C$4:C7))</f>
        <v>4</v>
      </c>
      <c r="B7" s="32" t="str">
        <f t="shared" si="1"/>
        <v>April</v>
      </c>
      <c r="C7" s="44">
        <v>45037</v>
      </c>
      <c r="D7" s="26" t="s">
        <v>145</v>
      </c>
      <c r="E7" s="61" t="s">
        <v>146</v>
      </c>
      <c r="F7" s="24" t="s">
        <v>147</v>
      </c>
      <c r="G7" s="34" t="s">
        <v>148</v>
      </c>
      <c r="H7" s="34" t="s">
        <v>149</v>
      </c>
      <c r="I7" s="26">
        <v>2600</v>
      </c>
      <c r="J7" s="52">
        <v>0.18</v>
      </c>
      <c r="K7" s="27"/>
      <c r="L7" s="27">
        <f t="shared" si="2"/>
        <v>234</v>
      </c>
      <c r="M7" s="26">
        <f t="shared" si="3"/>
        <v>234</v>
      </c>
      <c r="N7" s="46">
        <f t="shared" si="4"/>
        <v>3068</v>
      </c>
      <c r="O7" s="25"/>
      <c r="P7" s="13"/>
    </row>
    <row r="8" spans="1:16" ht="15" customHeight="1" x14ac:dyDescent="0.25">
      <c r="A8" s="32">
        <f>IF(C8="","",COUNTA($C$4:C8))</f>
        <v>5</v>
      </c>
      <c r="B8" s="32" t="str">
        <f t="shared" si="1"/>
        <v>April</v>
      </c>
      <c r="C8" s="44">
        <v>45043</v>
      </c>
      <c r="D8" s="26" t="s">
        <v>150</v>
      </c>
      <c r="E8" s="61" t="s">
        <v>151</v>
      </c>
      <c r="F8" s="66">
        <v>27</v>
      </c>
      <c r="G8" s="34" t="s">
        <v>152</v>
      </c>
      <c r="H8" s="34" t="s">
        <v>153</v>
      </c>
      <c r="I8" s="26">
        <v>3000</v>
      </c>
      <c r="J8" s="52">
        <v>0.18</v>
      </c>
      <c r="K8" s="27"/>
      <c r="L8" s="27">
        <f t="shared" si="2"/>
        <v>270</v>
      </c>
      <c r="M8" s="26">
        <f t="shared" si="3"/>
        <v>270</v>
      </c>
      <c r="N8" s="46">
        <f t="shared" si="4"/>
        <v>3540</v>
      </c>
      <c r="O8" s="25"/>
      <c r="P8" s="13"/>
    </row>
    <row r="9" spans="1:16" ht="15" customHeight="1" x14ac:dyDescent="0.25">
      <c r="A9" s="32">
        <f>IF(C9="","",COUNTA($C$4:C9))</f>
        <v>6</v>
      </c>
      <c r="B9" s="32" t="str">
        <f t="shared" si="1"/>
        <v>April</v>
      </c>
      <c r="C9" s="44">
        <v>45044</v>
      </c>
      <c r="D9" s="26" t="s">
        <v>182</v>
      </c>
      <c r="E9" s="61" t="s">
        <v>183</v>
      </c>
      <c r="F9" s="66" t="s">
        <v>184</v>
      </c>
      <c r="G9" s="34" t="s">
        <v>152</v>
      </c>
      <c r="H9" s="34" t="s">
        <v>185</v>
      </c>
      <c r="I9" s="26">
        <v>30000</v>
      </c>
      <c r="J9" s="52"/>
      <c r="K9" s="27"/>
      <c r="L9" s="27">
        <v>0</v>
      </c>
      <c r="M9" s="27">
        <v>0</v>
      </c>
      <c r="N9" s="46">
        <f>I9+K9+L9+M9</f>
        <v>30000</v>
      </c>
      <c r="O9" s="25"/>
      <c r="P9" s="13"/>
    </row>
    <row r="10" spans="1:16" ht="15" customHeight="1" x14ac:dyDescent="0.25">
      <c r="A10" s="32">
        <f>IF(C10="","",COUNTA($C$4:C10))</f>
        <v>7</v>
      </c>
      <c r="B10" s="32" t="str">
        <f t="shared" si="1"/>
        <v>April</v>
      </c>
      <c r="C10" s="44">
        <v>45046</v>
      </c>
      <c r="D10" s="26" t="s">
        <v>186</v>
      </c>
      <c r="E10" s="25" t="s">
        <v>187</v>
      </c>
      <c r="F10" s="24" t="s">
        <v>188</v>
      </c>
      <c r="G10" s="34" t="s">
        <v>189</v>
      </c>
      <c r="H10" s="34" t="s">
        <v>190</v>
      </c>
      <c r="I10" s="26">
        <v>83700</v>
      </c>
      <c r="J10" s="52"/>
      <c r="K10" s="27"/>
      <c r="L10" s="27">
        <v>0</v>
      </c>
      <c r="M10" s="27">
        <v>0</v>
      </c>
      <c r="N10" s="46">
        <f>I10+K10+L10+M10</f>
        <v>83700</v>
      </c>
      <c r="O10" s="25"/>
      <c r="P10" s="13"/>
    </row>
    <row r="11" spans="1:16" ht="15" customHeight="1" x14ac:dyDescent="0.25">
      <c r="A11" s="32">
        <f>IF(C11="","",COUNTA($C$4:C11))</f>
        <v>8</v>
      </c>
      <c r="B11" s="32" t="str">
        <f t="shared" si="1"/>
        <v>April</v>
      </c>
      <c r="C11" s="44">
        <v>45046</v>
      </c>
      <c r="D11" s="26" t="s">
        <v>191</v>
      </c>
      <c r="E11" s="61" t="s">
        <v>137</v>
      </c>
      <c r="F11" s="66" t="s">
        <v>192</v>
      </c>
      <c r="G11" s="34" t="s">
        <v>139</v>
      </c>
      <c r="H11" s="34" t="s">
        <v>190</v>
      </c>
      <c r="I11" s="26">
        <f>570+85.5</f>
        <v>655.5</v>
      </c>
      <c r="J11" s="52">
        <v>0.18</v>
      </c>
      <c r="K11" s="27"/>
      <c r="L11" s="27">
        <f t="shared" ref="L11:L46" si="5">I11*(J11/2)</f>
        <v>58.994999999999997</v>
      </c>
      <c r="M11" s="26">
        <f t="shared" ref="M11:M46" si="6">I11*(J11/2)</f>
        <v>58.994999999999997</v>
      </c>
      <c r="N11" s="46">
        <f t="shared" ref="N11:N47" si="7">I11+K11+L11+M11</f>
        <v>773.49</v>
      </c>
      <c r="O11" s="25"/>
      <c r="P11" s="13"/>
    </row>
    <row r="12" spans="1:16" ht="15" customHeight="1" x14ac:dyDescent="0.25">
      <c r="A12" s="32"/>
      <c r="B12" s="32" t="str">
        <f t="shared" si="1"/>
        <v>April</v>
      </c>
      <c r="C12" s="44">
        <v>45046</v>
      </c>
      <c r="D12" s="26" t="s">
        <v>215</v>
      </c>
      <c r="E12" s="61" t="s">
        <v>216</v>
      </c>
      <c r="F12" s="66" t="s">
        <v>217</v>
      </c>
      <c r="G12" s="34" t="s">
        <v>218</v>
      </c>
      <c r="H12" s="34" t="s">
        <v>219</v>
      </c>
      <c r="I12" s="26">
        <v>3805</v>
      </c>
      <c r="J12" s="52"/>
      <c r="K12" s="27"/>
      <c r="L12" s="27">
        <f t="shared" si="5"/>
        <v>0</v>
      </c>
      <c r="M12" s="26">
        <f t="shared" si="6"/>
        <v>0</v>
      </c>
      <c r="N12" s="46">
        <f t="shared" si="7"/>
        <v>3805</v>
      </c>
      <c r="O12" s="25"/>
      <c r="P12" s="13"/>
    </row>
    <row r="13" spans="1:16" ht="15" customHeight="1" x14ac:dyDescent="0.25">
      <c r="A13" s="32">
        <f>IF(C13="","",COUNTA($C$4:C13))</f>
        <v>10</v>
      </c>
      <c r="B13" s="32" t="str">
        <f t="shared" si="1"/>
        <v>May</v>
      </c>
      <c r="C13" s="44">
        <v>45047</v>
      </c>
      <c r="D13" s="27" t="s">
        <v>193</v>
      </c>
      <c r="E13" s="61" t="s">
        <v>194</v>
      </c>
      <c r="F13" s="66" t="s">
        <v>195</v>
      </c>
      <c r="G13" s="34" t="s">
        <v>196</v>
      </c>
      <c r="H13" s="34" t="s">
        <v>190</v>
      </c>
      <c r="I13" s="26">
        <v>60442</v>
      </c>
      <c r="J13" s="52"/>
      <c r="K13" s="27"/>
      <c r="L13" s="27">
        <f t="shared" si="5"/>
        <v>0</v>
      </c>
      <c r="M13" s="26">
        <f t="shared" si="6"/>
        <v>0</v>
      </c>
      <c r="N13" s="46">
        <f t="shared" si="7"/>
        <v>60442</v>
      </c>
      <c r="O13" s="25"/>
      <c r="P13" s="13"/>
    </row>
    <row r="14" spans="1:16" ht="15" customHeight="1" x14ac:dyDescent="0.25">
      <c r="A14" s="32">
        <f>IF(C14="","",COUNTA($C$4:C14))</f>
        <v>11</v>
      </c>
      <c r="B14" s="32" t="str">
        <f t="shared" si="1"/>
        <v>May</v>
      </c>
      <c r="C14" s="44">
        <v>45047</v>
      </c>
      <c r="D14" s="27" t="s">
        <v>197</v>
      </c>
      <c r="E14" s="25" t="s">
        <v>198</v>
      </c>
      <c r="F14" s="66" t="s">
        <v>199</v>
      </c>
      <c r="G14" s="34" t="s">
        <v>152</v>
      </c>
      <c r="H14" s="34" t="s">
        <v>200</v>
      </c>
      <c r="I14" s="26">
        <v>2500</v>
      </c>
      <c r="J14" s="52">
        <v>0.18</v>
      </c>
      <c r="K14" s="27"/>
      <c r="L14" s="27">
        <f t="shared" si="5"/>
        <v>225</v>
      </c>
      <c r="M14" s="26">
        <f t="shared" si="6"/>
        <v>225</v>
      </c>
      <c r="N14" s="46">
        <f t="shared" si="7"/>
        <v>2950</v>
      </c>
      <c r="O14" s="25"/>
      <c r="P14" s="13"/>
    </row>
    <row r="15" spans="1:16" ht="15" customHeight="1" x14ac:dyDescent="0.25">
      <c r="A15" s="32">
        <f>IF(C15="","",COUNTA($C$4:C15))</f>
        <v>12</v>
      </c>
      <c r="B15" s="32" t="str">
        <f t="shared" si="1"/>
        <v>May</v>
      </c>
      <c r="C15" s="44">
        <v>45050</v>
      </c>
      <c r="D15" s="27" t="s">
        <v>201</v>
      </c>
      <c r="E15" s="25" t="s">
        <v>202</v>
      </c>
      <c r="F15" s="66" t="s">
        <v>203</v>
      </c>
      <c r="G15" s="34" t="s">
        <v>204</v>
      </c>
      <c r="H15" s="34" t="s">
        <v>190</v>
      </c>
      <c r="I15" s="26">
        <v>187240</v>
      </c>
      <c r="J15" s="52">
        <v>0.18</v>
      </c>
      <c r="K15" s="27"/>
      <c r="L15" s="27">
        <f t="shared" si="5"/>
        <v>16851.599999999999</v>
      </c>
      <c r="M15" s="26">
        <f t="shared" si="6"/>
        <v>16851.599999999999</v>
      </c>
      <c r="N15" s="46">
        <f t="shared" si="7"/>
        <v>220943.2</v>
      </c>
      <c r="O15" s="25"/>
      <c r="P15" s="13"/>
    </row>
    <row r="16" spans="1:16" ht="15" customHeight="1" x14ac:dyDescent="0.25">
      <c r="A16" s="32">
        <f>IF(C16="","",COUNTA($C$4:C16))</f>
        <v>13</v>
      </c>
      <c r="B16" s="32" t="str">
        <f t="shared" si="1"/>
        <v>May</v>
      </c>
      <c r="C16" s="44">
        <v>45051</v>
      </c>
      <c r="D16" s="27" t="s">
        <v>205</v>
      </c>
      <c r="E16" s="25" t="s">
        <v>206</v>
      </c>
      <c r="F16" s="66">
        <v>983</v>
      </c>
      <c r="G16" s="34" t="s">
        <v>209</v>
      </c>
      <c r="H16" s="34" t="s">
        <v>207</v>
      </c>
      <c r="I16" s="26">
        <v>48256.67</v>
      </c>
      <c r="J16" s="52">
        <v>0.18</v>
      </c>
      <c r="K16" s="27"/>
      <c r="L16" s="27">
        <f t="shared" si="5"/>
        <v>4343.1003000000001</v>
      </c>
      <c r="M16" s="27">
        <f t="shared" si="6"/>
        <v>4343.1003000000001</v>
      </c>
      <c r="N16" s="46">
        <f t="shared" si="7"/>
        <v>56942.870599999995</v>
      </c>
      <c r="O16" s="25"/>
      <c r="P16" s="13"/>
    </row>
    <row r="17" spans="1:16" ht="15" customHeight="1" x14ac:dyDescent="0.25">
      <c r="A17" s="32">
        <f>IF(C17="","",COUNTA($C$4:C17))</f>
        <v>14</v>
      </c>
      <c r="B17" s="32" t="str">
        <f t="shared" si="1"/>
        <v>May</v>
      </c>
      <c r="C17" s="44">
        <v>45051</v>
      </c>
      <c r="D17" s="27" t="s">
        <v>208</v>
      </c>
      <c r="E17" s="25" t="s">
        <v>206</v>
      </c>
      <c r="F17" s="66">
        <v>984</v>
      </c>
      <c r="G17" s="34" t="s">
        <v>209</v>
      </c>
      <c r="H17" s="34" t="s">
        <v>210</v>
      </c>
      <c r="I17" s="26">
        <v>80276.73</v>
      </c>
      <c r="J17" s="52">
        <v>0.18</v>
      </c>
      <c r="K17" s="27"/>
      <c r="L17" s="27">
        <f t="shared" si="5"/>
        <v>7224.9056999999993</v>
      </c>
      <c r="M17" s="26">
        <f t="shared" si="6"/>
        <v>7224.9056999999993</v>
      </c>
      <c r="N17" s="46">
        <f t="shared" si="7"/>
        <v>94726.541400000002</v>
      </c>
      <c r="O17" s="25"/>
      <c r="P17" s="13"/>
    </row>
    <row r="18" spans="1:16" ht="15" customHeight="1" x14ac:dyDescent="0.25">
      <c r="A18" s="32">
        <f>IF(C18="","",COUNTA($C$4:C18))</f>
        <v>15</v>
      </c>
      <c r="B18" s="32" t="str">
        <f t="shared" ref="B18" si="8">IF(C18="","",TEXT(C18,"mmmm"))</f>
        <v>May</v>
      </c>
      <c r="C18" s="44">
        <v>45051</v>
      </c>
      <c r="D18" s="27" t="s">
        <v>211</v>
      </c>
      <c r="E18" s="25" t="s">
        <v>206</v>
      </c>
      <c r="F18" s="66">
        <v>985</v>
      </c>
      <c r="G18" s="34" t="s">
        <v>209</v>
      </c>
      <c r="H18" s="34" t="s">
        <v>212</v>
      </c>
      <c r="I18" s="26">
        <v>14500.27</v>
      </c>
      <c r="J18" s="52">
        <v>0.18</v>
      </c>
      <c r="K18" s="27"/>
      <c r="L18" s="27">
        <f t="shared" si="5"/>
        <v>1305.0243</v>
      </c>
      <c r="M18" s="26">
        <f t="shared" si="6"/>
        <v>1305.0243</v>
      </c>
      <c r="N18" s="46">
        <f t="shared" si="7"/>
        <v>17110.318600000002</v>
      </c>
      <c r="O18" s="25"/>
      <c r="P18" s="13"/>
    </row>
    <row r="19" spans="1:16" ht="15" customHeight="1" x14ac:dyDescent="0.25">
      <c r="A19" s="32">
        <f>IF(C19="","",COUNTA($C$4:C19))</f>
        <v>16</v>
      </c>
      <c r="B19" s="32" t="str">
        <f t="shared" si="1"/>
        <v>May</v>
      </c>
      <c r="C19" s="44">
        <v>45051</v>
      </c>
      <c r="D19" s="27" t="s">
        <v>213</v>
      </c>
      <c r="E19" s="25" t="s">
        <v>206</v>
      </c>
      <c r="F19" s="66">
        <v>986</v>
      </c>
      <c r="G19" s="34" t="s">
        <v>209</v>
      </c>
      <c r="H19" s="49" t="s">
        <v>214</v>
      </c>
      <c r="I19" s="26">
        <v>158364.60999999999</v>
      </c>
      <c r="J19" s="52">
        <v>0.18</v>
      </c>
      <c r="K19" s="27"/>
      <c r="L19" s="27">
        <f t="shared" si="5"/>
        <v>14252.814899999998</v>
      </c>
      <c r="M19" s="26">
        <f t="shared" si="6"/>
        <v>14252.814899999998</v>
      </c>
      <c r="N19" s="46">
        <f t="shared" si="7"/>
        <v>186870.23979999998</v>
      </c>
      <c r="O19" s="25"/>
      <c r="P19" s="13"/>
    </row>
    <row r="20" spans="1:16" ht="15" customHeight="1" x14ac:dyDescent="0.25">
      <c r="A20" s="32">
        <f>IF(C20="","",COUNTA($C$4:C20))</f>
        <v>17</v>
      </c>
      <c r="B20" s="32" t="str">
        <f t="shared" si="1"/>
        <v>May</v>
      </c>
      <c r="C20" s="44">
        <v>45051</v>
      </c>
      <c r="D20" s="27" t="s">
        <v>220</v>
      </c>
      <c r="E20" s="25" t="s">
        <v>206</v>
      </c>
      <c r="F20" s="66">
        <v>987</v>
      </c>
      <c r="G20" s="34" t="s">
        <v>209</v>
      </c>
      <c r="H20" s="49" t="s">
        <v>221</v>
      </c>
      <c r="I20" s="26">
        <v>177518.53</v>
      </c>
      <c r="J20" s="52">
        <v>0.18</v>
      </c>
      <c r="K20" s="27"/>
      <c r="L20" s="27">
        <f t="shared" si="5"/>
        <v>15976.6677</v>
      </c>
      <c r="M20" s="26">
        <f t="shared" si="6"/>
        <v>15976.6677</v>
      </c>
      <c r="N20" s="46">
        <f t="shared" si="7"/>
        <v>209471.86539999998</v>
      </c>
      <c r="O20" s="25"/>
      <c r="P20" s="13"/>
    </row>
    <row r="21" spans="1:16" ht="15" customHeight="1" x14ac:dyDescent="0.25">
      <c r="A21" s="32">
        <f>IF(C21="","",COUNTA($C$4:C21))</f>
        <v>18</v>
      </c>
      <c r="B21" s="32" t="str">
        <f t="shared" si="1"/>
        <v>May</v>
      </c>
      <c r="C21" s="44">
        <v>45051</v>
      </c>
      <c r="D21" s="27" t="s">
        <v>222</v>
      </c>
      <c r="E21" s="25" t="s">
        <v>206</v>
      </c>
      <c r="F21" s="66">
        <v>988</v>
      </c>
      <c r="G21" s="34" t="s">
        <v>209</v>
      </c>
      <c r="H21" s="49" t="s">
        <v>223</v>
      </c>
      <c r="I21" s="26">
        <v>178464.92</v>
      </c>
      <c r="J21" s="52">
        <v>0.18</v>
      </c>
      <c r="K21" s="27"/>
      <c r="L21" s="27">
        <f t="shared" si="5"/>
        <v>16061.8428</v>
      </c>
      <c r="M21" s="26">
        <f t="shared" si="6"/>
        <v>16061.8428</v>
      </c>
      <c r="N21" s="46">
        <f t="shared" si="7"/>
        <v>210588.60560000004</v>
      </c>
      <c r="O21" s="25"/>
      <c r="P21" s="13"/>
    </row>
    <row r="22" spans="1:16" ht="15" customHeight="1" x14ac:dyDescent="0.25">
      <c r="A22" s="32">
        <f>IF(C22="","",COUNTA($C$4:C22))</f>
        <v>19</v>
      </c>
      <c r="B22" s="32" t="str">
        <f t="shared" si="1"/>
        <v>May</v>
      </c>
      <c r="C22" s="44">
        <v>45055</v>
      </c>
      <c r="D22" s="27" t="s">
        <v>224</v>
      </c>
      <c r="E22" s="61" t="s">
        <v>225</v>
      </c>
      <c r="F22" s="66" t="s">
        <v>226</v>
      </c>
      <c r="G22" s="61" t="s">
        <v>204</v>
      </c>
      <c r="H22" s="34" t="s">
        <v>190</v>
      </c>
      <c r="I22" s="26">
        <v>392169.81</v>
      </c>
      <c r="J22" s="52">
        <v>0.18</v>
      </c>
      <c r="K22" s="27"/>
      <c r="L22" s="27">
        <f t="shared" si="5"/>
        <v>35295.282899999998</v>
      </c>
      <c r="M22" s="26">
        <f t="shared" si="6"/>
        <v>35295.282899999998</v>
      </c>
      <c r="N22" s="46">
        <f t="shared" si="7"/>
        <v>462760.37579999998</v>
      </c>
      <c r="O22" s="25"/>
      <c r="P22" s="13"/>
    </row>
    <row r="23" spans="1:16" ht="15" customHeight="1" x14ac:dyDescent="0.25">
      <c r="A23" s="32">
        <f>IF(C23="","",COUNTA($C$4:C23))</f>
        <v>20</v>
      </c>
      <c r="B23" s="32" t="str">
        <f t="shared" si="1"/>
        <v>May</v>
      </c>
      <c r="C23" s="44">
        <v>45057</v>
      </c>
      <c r="D23" s="27" t="s">
        <v>227</v>
      </c>
      <c r="E23" s="61" t="s">
        <v>228</v>
      </c>
      <c r="F23" s="66">
        <v>893</v>
      </c>
      <c r="G23" s="61" t="s">
        <v>229</v>
      </c>
      <c r="H23" s="49" t="s">
        <v>230</v>
      </c>
      <c r="I23" s="26">
        <v>8780</v>
      </c>
      <c r="J23" s="52"/>
      <c r="K23" s="27"/>
      <c r="L23" s="27">
        <f t="shared" si="5"/>
        <v>0</v>
      </c>
      <c r="M23" s="26">
        <f t="shared" si="6"/>
        <v>0</v>
      </c>
      <c r="N23" s="46">
        <f t="shared" si="7"/>
        <v>8780</v>
      </c>
      <c r="O23" s="25"/>
      <c r="P23" s="13"/>
    </row>
    <row r="24" spans="1:16" ht="15" customHeight="1" x14ac:dyDescent="0.25">
      <c r="A24" s="32">
        <f>IF(C24="","",COUNTA($C$4:C24))</f>
        <v>21</v>
      </c>
      <c r="B24" s="32" t="str">
        <f t="shared" si="1"/>
        <v>May</v>
      </c>
      <c r="C24" s="44">
        <v>45061</v>
      </c>
      <c r="D24" s="27" t="s">
        <v>238</v>
      </c>
      <c r="E24" s="61" t="s">
        <v>239</v>
      </c>
      <c r="F24" s="66">
        <v>235</v>
      </c>
      <c r="G24" s="61" t="s">
        <v>240</v>
      </c>
      <c r="H24" s="49" t="s">
        <v>241</v>
      </c>
      <c r="I24" s="26">
        <v>10100</v>
      </c>
      <c r="J24" s="52"/>
      <c r="K24" s="27"/>
      <c r="L24" s="27">
        <f t="shared" si="5"/>
        <v>0</v>
      </c>
      <c r="M24" s="26">
        <f t="shared" si="6"/>
        <v>0</v>
      </c>
      <c r="N24" s="46">
        <f t="shared" si="7"/>
        <v>10100</v>
      </c>
      <c r="O24" s="25"/>
      <c r="P24" s="13"/>
    </row>
    <row r="25" spans="1:16" ht="15" customHeight="1" x14ac:dyDescent="0.25">
      <c r="A25" s="32">
        <f>IF(C25="","",COUNTA($C$4:C25))</f>
        <v>22</v>
      </c>
      <c r="B25" s="32" t="str">
        <f t="shared" si="1"/>
        <v>May</v>
      </c>
      <c r="C25" s="44">
        <v>45070</v>
      </c>
      <c r="D25" s="27" t="s">
        <v>304</v>
      </c>
      <c r="E25" s="61" t="s">
        <v>305</v>
      </c>
      <c r="F25" s="66" t="s">
        <v>306</v>
      </c>
      <c r="G25" s="61" t="s">
        <v>307</v>
      </c>
      <c r="H25" s="49" t="s">
        <v>308</v>
      </c>
      <c r="I25" s="26">
        <v>10500</v>
      </c>
      <c r="J25" s="52">
        <v>0.18</v>
      </c>
      <c r="K25" s="27"/>
      <c r="L25" s="27">
        <f t="shared" si="5"/>
        <v>945</v>
      </c>
      <c r="M25" s="26">
        <f t="shared" si="6"/>
        <v>945</v>
      </c>
      <c r="N25" s="46">
        <f t="shared" si="7"/>
        <v>12390</v>
      </c>
      <c r="O25" s="25"/>
      <c r="P25" s="13"/>
    </row>
    <row r="26" spans="1:16" ht="15" customHeight="1" x14ac:dyDescent="0.25">
      <c r="A26" s="32">
        <f>IF(C26="","",COUNTA($C$4:C26))</f>
        <v>23</v>
      </c>
      <c r="B26" s="32" t="str">
        <f t="shared" si="1"/>
        <v>May</v>
      </c>
      <c r="C26" s="44">
        <v>45077</v>
      </c>
      <c r="D26" s="27" t="s">
        <v>309</v>
      </c>
      <c r="E26" s="61" t="s">
        <v>310</v>
      </c>
      <c r="F26" s="68" t="s">
        <v>311</v>
      </c>
      <c r="G26" s="61" t="s">
        <v>312</v>
      </c>
      <c r="H26" s="49" t="s">
        <v>313</v>
      </c>
      <c r="I26" s="26">
        <v>1016.4</v>
      </c>
      <c r="J26" s="52"/>
      <c r="K26" s="27"/>
      <c r="L26" s="27">
        <f t="shared" si="5"/>
        <v>0</v>
      </c>
      <c r="M26" s="26">
        <f t="shared" si="6"/>
        <v>0</v>
      </c>
      <c r="N26" s="46">
        <f t="shared" si="7"/>
        <v>1016.4</v>
      </c>
      <c r="O26" s="25"/>
      <c r="P26" s="13"/>
    </row>
    <row r="27" spans="1:16" ht="15" customHeight="1" x14ac:dyDescent="0.25">
      <c r="A27" s="32">
        <f>IF(C27="","",COUNTA($C$4:C27))</f>
        <v>24</v>
      </c>
      <c r="B27" s="32" t="str">
        <f t="shared" si="1"/>
        <v>May</v>
      </c>
      <c r="C27" s="44">
        <v>45077</v>
      </c>
      <c r="D27" s="27" t="s">
        <v>314</v>
      </c>
      <c r="E27" s="61" t="s">
        <v>315</v>
      </c>
      <c r="F27" s="66" t="s">
        <v>316</v>
      </c>
      <c r="G27" s="34" t="s">
        <v>152</v>
      </c>
      <c r="H27" s="49" t="s">
        <v>317</v>
      </c>
      <c r="I27" s="26">
        <v>1500</v>
      </c>
      <c r="J27" s="52">
        <v>0.18</v>
      </c>
      <c r="K27" s="27"/>
      <c r="L27" s="27">
        <f t="shared" si="5"/>
        <v>135</v>
      </c>
      <c r="M27" s="26">
        <f t="shared" si="6"/>
        <v>135</v>
      </c>
      <c r="N27" s="46">
        <f t="shared" si="7"/>
        <v>1770</v>
      </c>
      <c r="O27" s="25"/>
      <c r="P27" s="13"/>
    </row>
    <row r="28" spans="1:16" ht="15" customHeight="1" x14ac:dyDescent="0.25">
      <c r="A28" s="32">
        <f>IF(C28="","",COUNTA($C$4:C28))</f>
        <v>25</v>
      </c>
      <c r="B28" s="32" t="str">
        <f t="shared" si="1"/>
        <v>May</v>
      </c>
      <c r="C28" s="44">
        <v>45077</v>
      </c>
      <c r="D28" s="27" t="s">
        <v>318</v>
      </c>
      <c r="E28" s="61" t="s">
        <v>187</v>
      </c>
      <c r="F28" s="68" t="s">
        <v>319</v>
      </c>
      <c r="G28" s="34" t="s">
        <v>189</v>
      </c>
      <c r="H28" s="34" t="s">
        <v>320</v>
      </c>
      <c r="I28" s="26">
        <v>78850</v>
      </c>
      <c r="J28" s="52"/>
      <c r="K28" s="27"/>
      <c r="L28" s="27">
        <f t="shared" si="5"/>
        <v>0</v>
      </c>
      <c r="M28" s="26">
        <f t="shared" si="6"/>
        <v>0</v>
      </c>
      <c r="N28" s="46">
        <f t="shared" si="7"/>
        <v>78850</v>
      </c>
      <c r="O28" s="25"/>
      <c r="P28" s="13"/>
    </row>
    <row r="29" spans="1:16" ht="15" customHeight="1" x14ac:dyDescent="0.25">
      <c r="A29" s="32">
        <f>IF(C29="","",COUNTA($C$4:C29))</f>
        <v>26</v>
      </c>
      <c r="B29" s="32" t="str">
        <f t="shared" si="1"/>
        <v>May</v>
      </c>
      <c r="C29" s="44">
        <v>45077</v>
      </c>
      <c r="D29" s="27" t="s">
        <v>321</v>
      </c>
      <c r="E29" s="61" t="s">
        <v>239</v>
      </c>
      <c r="F29" s="66">
        <v>244</v>
      </c>
      <c r="G29" s="61" t="s">
        <v>240</v>
      </c>
      <c r="H29" s="49" t="s">
        <v>322</v>
      </c>
      <c r="I29" s="26">
        <v>6600</v>
      </c>
      <c r="J29" s="52"/>
      <c r="K29" s="27"/>
      <c r="L29" s="27">
        <f t="shared" si="5"/>
        <v>0</v>
      </c>
      <c r="M29" s="26">
        <f t="shared" si="6"/>
        <v>0</v>
      </c>
      <c r="N29" s="46">
        <f t="shared" si="7"/>
        <v>6600</v>
      </c>
      <c r="O29" s="25"/>
      <c r="P29" s="13"/>
    </row>
    <row r="30" spans="1:16" ht="15" customHeight="1" x14ac:dyDescent="0.25">
      <c r="A30" s="32">
        <f>IF(C30="","",COUNTA($C$4:C30))</f>
        <v>27</v>
      </c>
      <c r="B30" s="32" t="str">
        <f t="shared" si="1"/>
        <v>May</v>
      </c>
      <c r="C30" s="44">
        <v>45077</v>
      </c>
      <c r="D30" s="27" t="s">
        <v>323</v>
      </c>
      <c r="E30" s="61" t="s">
        <v>137</v>
      </c>
      <c r="F30" s="66" t="s">
        <v>324</v>
      </c>
      <c r="G30" s="34" t="s">
        <v>139</v>
      </c>
      <c r="H30" s="34" t="s">
        <v>320</v>
      </c>
      <c r="I30" s="26">
        <v>655.5</v>
      </c>
      <c r="J30" s="52">
        <v>0.18</v>
      </c>
      <c r="K30" s="27"/>
      <c r="L30" s="27">
        <f t="shared" si="5"/>
        <v>58.994999999999997</v>
      </c>
      <c r="M30" s="26">
        <f t="shared" si="6"/>
        <v>58.994999999999997</v>
      </c>
      <c r="N30" s="46">
        <f t="shared" si="7"/>
        <v>773.49</v>
      </c>
      <c r="O30" s="25"/>
      <c r="P30" s="13"/>
    </row>
    <row r="31" spans="1:16" ht="15" customHeight="1" x14ac:dyDescent="0.25">
      <c r="A31" s="32">
        <f>IF(C31="","",COUNTA($C$4:C31))</f>
        <v>28</v>
      </c>
      <c r="B31" s="32" t="str">
        <f t="shared" si="1"/>
        <v>June</v>
      </c>
      <c r="C31" s="44">
        <v>45078</v>
      </c>
      <c r="D31" s="27" t="s">
        <v>326</v>
      </c>
      <c r="E31" s="61" t="s">
        <v>194</v>
      </c>
      <c r="F31" s="66" t="s">
        <v>325</v>
      </c>
      <c r="G31" s="61" t="s">
        <v>196</v>
      </c>
      <c r="H31" s="34" t="s">
        <v>320</v>
      </c>
      <c r="I31" s="26">
        <v>60401</v>
      </c>
      <c r="J31" s="52"/>
      <c r="K31" s="27"/>
      <c r="L31" s="27">
        <f t="shared" si="5"/>
        <v>0</v>
      </c>
      <c r="M31" s="26">
        <f t="shared" si="6"/>
        <v>0</v>
      </c>
      <c r="N31" s="46">
        <f t="shared" si="7"/>
        <v>60401</v>
      </c>
      <c r="O31" s="25"/>
      <c r="P31" s="13"/>
    </row>
    <row r="32" spans="1:16" ht="15" customHeight="1" x14ac:dyDescent="0.25">
      <c r="A32" s="32">
        <f>IF(C32="","",COUNTA($C$4:C32))</f>
        <v>29</v>
      </c>
      <c r="B32" s="32" t="str">
        <f t="shared" ref="B32" si="9">IF(C32="","",TEXT(C32,"mmmm"))</f>
        <v>June</v>
      </c>
      <c r="C32" s="44">
        <v>45078</v>
      </c>
      <c r="D32" s="27" t="s">
        <v>327</v>
      </c>
      <c r="E32" s="61" t="s">
        <v>206</v>
      </c>
      <c r="F32" s="66">
        <v>991</v>
      </c>
      <c r="G32" s="34" t="s">
        <v>209</v>
      </c>
      <c r="H32" s="49" t="s">
        <v>328</v>
      </c>
      <c r="I32" s="26">
        <v>322480.45</v>
      </c>
      <c r="J32" s="52">
        <v>0.18</v>
      </c>
      <c r="K32" s="27"/>
      <c r="L32" s="27">
        <f t="shared" si="5"/>
        <v>29023.2405</v>
      </c>
      <c r="M32" s="26">
        <f t="shared" si="6"/>
        <v>29023.2405</v>
      </c>
      <c r="N32" s="46">
        <f t="shared" si="7"/>
        <v>380526.93100000004</v>
      </c>
      <c r="O32" s="25"/>
      <c r="P32" s="13"/>
    </row>
    <row r="33" spans="1:16" ht="15" customHeight="1" x14ac:dyDescent="0.25">
      <c r="A33" s="32">
        <f>IF(C33="","",COUNTA($C$4:C33))</f>
        <v>30</v>
      </c>
      <c r="B33" s="32" t="str">
        <f t="shared" ref="B33" si="10">IF(C33="","",TEXT(C33,"mmmm"))</f>
        <v>June</v>
      </c>
      <c r="C33" s="44">
        <v>45078</v>
      </c>
      <c r="D33" s="27" t="s">
        <v>329</v>
      </c>
      <c r="E33" s="61" t="s">
        <v>206</v>
      </c>
      <c r="F33" s="66">
        <v>992</v>
      </c>
      <c r="G33" s="34" t="s">
        <v>209</v>
      </c>
      <c r="H33" s="49" t="s">
        <v>330</v>
      </c>
      <c r="I33" s="26">
        <v>86535.06</v>
      </c>
      <c r="J33" s="52">
        <v>0.18</v>
      </c>
      <c r="K33" s="27"/>
      <c r="L33" s="27">
        <f t="shared" si="5"/>
        <v>7788.1553999999996</v>
      </c>
      <c r="M33" s="26">
        <f t="shared" si="6"/>
        <v>7788.1553999999996</v>
      </c>
      <c r="N33" s="46">
        <f t="shared" si="7"/>
        <v>102111.3708</v>
      </c>
      <c r="O33" s="25"/>
      <c r="P33" s="13"/>
    </row>
    <row r="34" spans="1:16" ht="15" customHeight="1" x14ac:dyDescent="0.25">
      <c r="A34" s="32">
        <f>IF(C34="","",COUNTA($C$4:C34))</f>
        <v>31</v>
      </c>
      <c r="B34" s="32" t="str">
        <f t="shared" ref="B34" si="11">IF(C34="","",TEXT(C34,"mmmm"))</f>
        <v>June</v>
      </c>
      <c r="C34" s="44">
        <v>45078</v>
      </c>
      <c r="D34" s="27" t="s">
        <v>331</v>
      </c>
      <c r="E34" s="61" t="s">
        <v>206</v>
      </c>
      <c r="F34" s="66">
        <v>993</v>
      </c>
      <c r="G34" s="34" t="s">
        <v>209</v>
      </c>
      <c r="H34" s="49" t="s">
        <v>332</v>
      </c>
      <c r="I34" s="26">
        <v>58114.18</v>
      </c>
      <c r="J34" s="52">
        <v>0.18</v>
      </c>
      <c r="K34" s="27"/>
      <c r="L34" s="27">
        <f t="shared" si="5"/>
        <v>5230.2762000000002</v>
      </c>
      <c r="M34" s="26">
        <f t="shared" si="6"/>
        <v>5230.2762000000002</v>
      </c>
      <c r="N34" s="46">
        <f t="shared" si="7"/>
        <v>68574.732400000008</v>
      </c>
      <c r="O34" s="25"/>
      <c r="P34" s="13"/>
    </row>
    <row r="35" spans="1:16" ht="15" customHeight="1" x14ac:dyDescent="0.25">
      <c r="A35" s="32">
        <f>IF(C35="","",COUNTA($C$4:C35))</f>
        <v>32</v>
      </c>
      <c r="B35" s="32" t="str">
        <f t="shared" si="1"/>
        <v>June</v>
      </c>
      <c r="C35" s="44">
        <v>45078</v>
      </c>
      <c r="D35" s="27" t="s">
        <v>333</v>
      </c>
      <c r="E35" s="61" t="s">
        <v>206</v>
      </c>
      <c r="F35" s="66">
        <v>994</v>
      </c>
      <c r="G35" s="34" t="s">
        <v>209</v>
      </c>
      <c r="H35" s="49" t="s">
        <v>334</v>
      </c>
      <c r="I35" s="26">
        <v>90573.33</v>
      </c>
      <c r="J35" s="52">
        <v>0.18</v>
      </c>
      <c r="K35" s="27"/>
      <c r="L35" s="27">
        <f t="shared" si="5"/>
        <v>8151.5996999999998</v>
      </c>
      <c r="M35" s="26">
        <f t="shared" si="6"/>
        <v>8151.5996999999998</v>
      </c>
      <c r="N35" s="46">
        <f t="shared" si="7"/>
        <v>106876.52940000001</v>
      </c>
      <c r="O35" s="25"/>
      <c r="P35" s="13"/>
    </row>
    <row r="36" spans="1:16" ht="15" customHeight="1" x14ac:dyDescent="0.25">
      <c r="A36" s="32">
        <f>IF(C36="","",COUNTA($C$4:C36))</f>
        <v>33</v>
      </c>
      <c r="B36" s="32" t="str">
        <f t="shared" si="1"/>
        <v>June</v>
      </c>
      <c r="C36" s="44">
        <v>45083</v>
      </c>
      <c r="D36" s="27" t="s">
        <v>335</v>
      </c>
      <c r="E36" s="61" t="s">
        <v>336</v>
      </c>
      <c r="F36" s="66">
        <v>232430523</v>
      </c>
      <c r="G36" s="61" t="s">
        <v>337</v>
      </c>
      <c r="H36" s="49" t="s">
        <v>338</v>
      </c>
      <c r="I36" s="26">
        <v>17902.5</v>
      </c>
      <c r="J36" s="52">
        <v>0.18</v>
      </c>
      <c r="K36" s="27"/>
      <c r="L36" s="27">
        <f t="shared" si="5"/>
        <v>1611.2249999999999</v>
      </c>
      <c r="M36" s="26">
        <f t="shared" si="6"/>
        <v>1611.2249999999999</v>
      </c>
      <c r="N36" s="46">
        <f t="shared" si="7"/>
        <v>21124.949999999997</v>
      </c>
      <c r="O36" s="25"/>
      <c r="P36" s="13"/>
    </row>
    <row r="37" spans="1:16" ht="15" customHeight="1" x14ac:dyDescent="0.25">
      <c r="A37" s="32">
        <f>IF(C37="","",COUNTA($C$4:C37))</f>
        <v>34</v>
      </c>
      <c r="B37" s="32" t="str">
        <f t="shared" si="1"/>
        <v>June</v>
      </c>
      <c r="C37" s="44">
        <v>45084</v>
      </c>
      <c r="D37" s="27" t="s">
        <v>339</v>
      </c>
      <c r="E37" s="61" t="s">
        <v>202</v>
      </c>
      <c r="F37" s="68" t="s">
        <v>340</v>
      </c>
      <c r="G37" s="61" t="s">
        <v>204</v>
      </c>
      <c r="H37" s="34" t="s">
        <v>320</v>
      </c>
      <c r="I37" s="26">
        <v>182868</v>
      </c>
      <c r="J37" s="52">
        <v>0.18</v>
      </c>
      <c r="K37" s="27"/>
      <c r="L37" s="27">
        <f t="shared" si="5"/>
        <v>16458.12</v>
      </c>
      <c r="M37" s="26">
        <f t="shared" si="6"/>
        <v>16458.12</v>
      </c>
      <c r="N37" s="46">
        <f t="shared" si="7"/>
        <v>215784.24</v>
      </c>
      <c r="O37" s="25"/>
      <c r="P37" s="13"/>
    </row>
    <row r="38" spans="1:16" ht="15" customHeight="1" x14ac:dyDescent="0.25">
      <c r="A38" s="32">
        <f>IF(C38="","",COUNTA($C$4:C38))</f>
        <v>35</v>
      </c>
      <c r="B38" s="32" t="str">
        <f t="shared" si="1"/>
        <v>June</v>
      </c>
      <c r="C38" s="44">
        <v>45086</v>
      </c>
      <c r="D38" s="27" t="s">
        <v>341</v>
      </c>
      <c r="E38" s="61" t="s">
        <v>72</v>
      </c>
      <c r="F38" s="66">
        <v>1139</v>
      </c>
      <c r="G38" s="61" t="s">
        <v>229</v>
      </c>
      <c r="H38" s="49" t="s">
        <v>342</v>
      </c>
      <c r="I38" s="26">
        <v>7203</v>
      </c>
      <c r="J38" s="52">
        <v>0.12</v>
      </c>
      <c r="K38" s="27"/>
      <c r="L38" s="27">
        <f t="shared" si="5"/>
        <v>432.18</v>
      </c>
      <c r="M38" s="26">
        <f t="shared" si="6"/>
        <v>432.18</v>
      </c>
      <c r="N38" s="46">
        <f t="shared" si="7"/>
        <v>8067.3600000000006</v>
      </c>
      <c r="O38" s="25"/>
      <c r="P38" s="13"/>
    </row>
    <row r="39" spans="1:16" ht="15" customHeight="1" x14ac:dyDescent="0.25">
      <c r="A39" s="32">
        <f>IF(C39="","",COUNTA($C$4:C39))</f>
        <v>36</v>
      </c>
      <c r="B39" s="32" t="str">
        <f t="shared" si="1"/>
        <v>June</v>
      </c>
      <c r="C39" s="44">
        <v>45083</v>
      </c>
      <c r="D39" s="27" t="s">
        <v>343</v>
      </c>
      <c r="E39" s="61" t="s">
        <v>225</v>
      </c>
      <c r="F39" s="66" t="s">
        <v>344</v>
      </c>
      <c r="G39" s="61" t="s">
        <v>204</v>
      </c>
      <c r="H39" s="34" t="s">
        <v>320</v>
      </c>
      <c r="I39" s="26">
        <v>377652.27</v>
      </c>
      <c r="J39" s="52">
        <v>0.18</v>
      </c>
      <c r="K39" s="27"/>
      <c r="L39" s="27">
        <f t="shared" si="5"/>
        <v>33988.704299999998</v>
      </c>
      <c r="M39" s="26">
        <f t="shared" si="6"/>
        <v>33988.704299999998</v>
      </c>
      <c r="N39" s="46">
        <f t="shared" si="7"/>
        <v>445629.67859999998</v>
      </c>
      <c r="O39" s="25"/>
      <c r="P39" s="13"/>
    </row>
    <row r="40" spans="1:16" ht="15" customHeight="1" x14ac:dyDescent="0.25">
      <c r="A40" s="32">
        <f>IF(C40="","",COUNTA($C$4:C40))</f>
        <v>37</v>
      </c>
      <c r="B40" s="32" t="str">
        <f t="shared" si="1"/>
        <v>June</v>
      </c>
      <c r="C40" s="44">
        <v>45098</v>
      </c>
      <c r="D40" s="27" t="s">
        <v>345</v>
      </c>
      <c r="E40" s="61" t="s">
        <v>142</v>
      </c>
      <c r="F40" s="66">
        <v>17509</v>
      </c>
      <c r="G40" s="61" t="s">
        <v>143</v>
      </c>
      <c r="H40" s="49" t="s">
        <v>346</v>
      </c>
      <c r="I40" s="26">
        <v>930</v>
      </c>
      <c r="J40" s="52">
        <v>0.18</v>
      </c>
      <c r="K40" s="27"/>
      <c r="L40" s="27">
        <f t="shared" si="5"/>
        <v>83.7</v>
      </c>
      <c r="M40" s="26">
        <f t="shared" si="6"/>
        <v>83.7</v>
      </c>
      <c r="N40" s="46">
        <f t="shared" si="7"/>
        <v>1097.4000000000001</v>
      </c>
      <c r="O40" s="25"/>
      <c r="P40" s="13"/>
    </row>
    <row r="41" spans="1:16" ht="15" customHeight="1" x14ac:dyDescent="0.25">
      <c r="A41" s="32">
        <f>IF(C41="","",COUNTA($C$4:C41))</f>
        <v>38</v>
      </c>
      <c r="B41" s="32" t="str">
        <f t="shared" si="1"/>
        <v>June</v>
      </c>
      <c r="C41" s="44">
        <v>45100</v>
      </c>
      <c r="D41" s="27" t="s">
        <v>347</v>
      </c>
      <c r="E41" s="61" t="s">
        <v>142</v>
      </c>
      <c r="F41" s="66">
        <v>17546</v>
      </c>
      <c r="G41" s="61" t="s">
        <v>143</v>
      </c>
      <c r="H41" s="49" t="s">
        <v>346</v>
      </c>
      <c r="I41" s="26">
        <v>930</v>
      </c>
      <c r="J41" s="52">
        <v>0.18</v>
      </c>
      <c r="K41" s="27"/>
      <c r="L41" s="27">
        <f t="shared" si="5"/>
        <v>83.7</v>
      </c>
      <c r="M41" s="26">
        <f t="shared" si="6"/>
        <v>83.7</v>
      </c>
      <c r="N41" s="46">
        <f t="shared" si="7"/>
        <v>1097.4000000000001</v>
      </c>
      <c r="O41" s="25"/>
      <c r="P41" s="13"/>
    </row>
    <row r="42" spans="1:16" ht="15" customHeight="1" x14ac:dyDescent="0.25">
      <c r="A42" s="32">
        <f>IF(C42="","",COUNTA($C$4:C42))</f>
        <v>39</v>
      </c>
      <c r="B42" s="32" t="str">
        <f t="shared" si="1"/>
        <v>June</v>
      </c>
      <c r="C42" s="44">
        <v>45099</v>
      </c>
      <c r="D42" s="27" t="s">
        <v>348</v>
      </c>
      <c r="E42" s="61" t="s">
        <v>146</v>
      </c>
      <c r="F42" s="66">
        <v>307</v>
      </c>
      <c r="G42" s="61" t="s">
        <v>148</v>
      </c>
      <c r="H42" s="49" t="s">
        <v>349</v>
      </c>
      <c r="I42" s="26">
        <v>4000</v>
      </c>
      <c r="J42" s="52">
        <v>0.18</v>
      </c>
      <c r="K42" s="27"/>
      <c r="L42" s="27">
        <f t="shared" si="5"/>
        <v>360</v>
      </c>
      <c r="M42" s="26">
        <f t="shared" si="6"/>
        <v>360</v>
      </c>
      <c r="N42" s="46">
        <f t="shared" si="7"/>
        <v>4720</v>
      </c>
      <c r="O42" s="25"/>
      <c r="P42" s="13"/>
    </row>
    <row r="43" spans="1:16" ht="15" customHeight="1" x14ac:dyDescent="0.25">
      <c r="A43" s="32">
        <f>IF(C43="","",COUNTA($C$4:C43))</f>
        <v>40</v>
      </c>
      <c r="B43" s="32" t="str">
        <f t="shared" si="1"/>
        <v>June</v>
      </c>
      <c r="C43" s="44">
        <v>45103</v>
      </c>
      <c r="D43" s="27" t="s">
        <v>350</v>
      </c>
      <c r="E43" s="61" t="s">
        <v>351</v>
      </c>
      <c r="F43" s="66" t="s">
        <v>352</v>
      </c>
      <c r="G43" s="61" t="s">
        <v>229</v>
      </c>
      <c r="H43" s="49" t="s">
        <v>353</v>
      </c>
      <c r="I43" s="26">
        <v>9000</v>
      </c>
      <c r="J43" s="52">
        <v>0.18</v>
      </c>
      <c r="K43" s="27"/>
      <c r="L43" s="27">
        <f t="shared" si="5"/>
        <v>810</v>
      </c>
      <c r="M43" s="26">
        <f t="shared" si="6"/>
        <v>810</v>
      </c>
      <c r="N43" s="46">
        <f t="shared" si="7"/>
        <v>10620</v>
      </c>
      <c r="O43" s="25"/>
      <c r="P43" s="13"/>
    </row>
    <row r="44" spans="1:16" ht="15" customHeight="1" x14ac:dyDescent="0.25">
      <c r="A44" s="32">
        <f>IF(C44="","",COUNTA($C$4:C44))</f>
        <v>41</v>
      </c>
      <c r="B44" s="32" t="str">
        <f t="shared" si="1"/>
        <v>June</v>
      </c>
      <c r="C44" s="44">
        <v>45103</v>
      </c>
      <c r="D44" s="27" t="s">
        <v>354</v>
      </c>
      <c r="E44" s="61" t="s">
        <v>355</v>
      </c>
      <c r="F44" s="66" t="s">
        <v>356</v>
      </c>
      <c r="G44" s="61" t="s">
        <v>357</v>
      </c>
      <c r="H44" s="49" t="s">
        <v>346</v>
      </c>
      <c r="I44" s="26">
        <v>10800</v>
      </c>
      <c r="J44" s="52">
        <v>0.18</v>
      </c>
      <c r="K44" s="27"/>
      <c r="L44" s="27">
        <f t="shared" si="5"/>
        <v>972</v>
      </c>
      <c r="M44" s="26">
        <f t="shared" si="6"/>
        <v>972</v>
      </c>
      <c r="N44" s="46">
        <f t="shared" si="7"/>
        <v>12744</v>
      </c>
      <c r="O44" s="25"/>
      <c r="P44" s="13"/>
    </row>
    <row r="45" spans="1:16" ht="15" customHeight="1" x14ac:dyDescent="0.25">
      <c r="A45" s="32">
        <f>IF(C45="","",COUNTA($C$4:C45))</f>
        <v>42</v>
      </c>
      <c r="B45" s="32" t="str">
        <f t="shared" si="1"/>
        <v>June</v>
      </c>
      <c r="C45" s="44">
        <v>45105</v>
      </c>
      <c r="D45" s="27" t="s">
        <v>358</v>
      </c>
      <c r="E45" s="61" t="s">
        <v>228</v>
      </c>
      <c r="F45" s="66">
        <v>665</v>
      </c>
      <c r="G45" s="61" t="s">
        <v>229</v>
      </c>
      <c r="H45" s="49" t="s">
        <v>230</v>
      </c>
      <c r="I45" s="26">
        <v>9400</v>
      </c>
      <c r="J45" s="52"/>
      <c r="K45" s="27"/>
      <c r="L45" s="27">
        <f t="shared" si="5"/>
        <v>0</v>
      </c>
      <c r="M45" s="26">
        <f t="shared" si="6"/>
        <v>0</v>
      </c>
      <c r="N45" s="46">
        <f t="shared" si="7"/>
        <v>9400</v>
      </c>
      <c r="O45" s="25"/>
      <c r="P45" s="13"/>
    </row>
    <row r="46" spans="1:16" ht="15" customHeight="1" x14ac:dyDescent="0.25">
      <c r="A46" s="32">
        <f>IF(C46="","",COUNTA($C$4:C46))</f>
        <v>43</v>
      </c>
      <c r="B46" s="32" t="str">
        <f t="shared" si="1"/>
        <v>June</v>
      </c>
      <c r="C46" s="44">
        <v>45105</v>
      </c>
      <c r="D46" s="27" t="s">
        <v>359</v>
      </c>
      <c r="E46" s="61" t="s">
        <v>228</v>
      </c>
      <c r="F46" s="66">
        <v>667</v>
      </c>
      <c r="G46" s="61" t="s">
        <v>229</v>
      </c>
      <c r="H46" s="49" t="s">
        <v>230</v>
      </c>
      <c r="I46" s="26">
        <v>10000</v>
      </c>
      <c r="J46" s="52"/>
      <c r="K46" s="27"/>
      <c r="L46" s="27">
        <f t="shared" si="5"/>
        <v>0</v>
      </c>
      <c r="M46" s="26">
        <f t="shared" si="6"/>
        <v>0</v>
      </c>
      <c r="N46" s="46">
        <f t="shared" si="7"/>
        <v>10000</v>
      </c>
      <c r="O46" s="25"/>
      <c r="P46" s="13"/>
    </row>
    <row r="47" spans="1:16" ht="15" customHeight="1" x14ac:dyDescent="0.25">
      <c r="A47" s="32">
        <f>IF(C47="","",COUNTA($C$4:C47))</f>
        <v>44</v>
      </c>
      <c r="B47" s="32" t="str">
        <f t="shared" si="1"/>
        <v>June</v>
      </c>
      <c r="C47" s="44">
        <v>45105</v>
      </c>
      <c r="D47" s="27" t="s">
        <v>437</v>
      </c>
      <c r="E47" s="61" t="s">
        <v>438</v>
      </c>
      <c r="F47" s="66" t="s">
        <v>439</v>
      </c>
      <c r="G47" s="61" t="s">
        <v>152</v>
      </c>
      <c r="H47" s="49" t="s">
        <v>440</v>
      </c>
      <c r="I47" s="26">
        <f>1200+1250+300+300+850+150</f>
        <v>4050</v>
      </c>
      <c r="J47" s="52"/>
      <c r="K47" s="27"/>
      <c r="L47" s="27">
        <v>351</v>
      </c>
      <c r="M47" s="26">
        <v>351</v>
      </c>
      <c r="N47" s="46">
        <f t="shared" si="7"/>
        <v>4752</v>
      </c>
      <c r="O47" s="25"/>
      <c r="P47" s="13"/>
    </row>
    <row r="48" spans="1:16" ht="15" customHeight="1" x14ac:dyDescent="0.25">
      <c r="A48" s="32">
        <f>IF(C48="","",COUNTA($C$4:C48))</f>
        <v>45</v>
      </c>
      <c r="B48" s="32" t="str">
        <f t="shared" si="1"/>
        <v>June</v>
      </c>
      <c r="C48" s="44">
        <v>45107</v>
      </c>
      <c r="D48" s="27" t="s">
        <v>441</v>
      </c>
      <c r="E48" s="61" t="s">
        <v>137</v>
      </c>
      <c r="F48" s="66" t="s">
        <v>442</v>
      </c>
      <c r="G48" s="61" t="s">
        <v>139</v>
      </c>
      <c r="H48" s="49" t="s">
        <v>443</v>
      </c>
      <c r="I48" s="26">
        <f>450+67.5</f>
        <v>517.5</v>
      </c>
      <c r="J48" s="52">
        <v>0.18</v>
      </c>
      <c r="K48" s="27"/>
      <c r="L48" s="27">
        <f t="shared" ref="L48:L70" si="12">I48*(J48/2)</f>
        <v>46.574999999999996</v>
      </c>
      <c r="M48" s="26">
        <f t="shared" ref="M48:M70" si="13">I48*(J48/2)</f>
        <v>46.574999999999996</v>
      </c>
      <c r="N48" s="46">
        <f t="shared" ref="N48:N70" si="14">I48+K48+L48+M48</f>
        <v>610.65000000000009</v>
      </c>
      <c r="O48" s="25"/>
      <c r="P48" s="13"/>
    </row>
    <row r="49" spans="1:16" ht="15" customHeight="1" x14ac:dyDescent="0.25">
      <c r="A49" s="32">
        <f>IF(C49="","",COUNTA($C$4:C49))</f>
        <v>46</v>
      </c>
      <c r="B49" s="32" t="str">
        <f t="shared" ref="B49" si="15">IF(C49="","",TEXT(C49,"mmmm"))</f>
        <v>June</v>
      </c>
      <c r="C49" s="44">
        <v>45107</v>
      </c>
      <c r="D49" s="27" t="s">
        <v>444</v>
      </c>
      <c r="E49" s="61" t="s">
        <v>187</v>
      </c>
      <c r="F49" s="66" t="s">
        <v>445</v>
      </c>
      <c r="G49" s="61" t="s">
        <v>189</v>
      </c>
      <c r="H49" s="49" t="s">
        <v>443</v>
      </c>
      <c r="I49" s="26">
        <v>73450</v>
      </c>
      <c r="J49" s="52"/>
      <c r="K49" s="27"/>
      <c r="L49" s="27">
        <f t="shared" si="12"/>
        <v>0</v>
      </c>
      <c r="M49" s="26">
        <f t="shared" si="13"/>
        <v>0</v>
      </c>
      <c r="N49" s="46">
        <f t="shared" si="14"/>
        <v>73450</v>
      </c>
      <c r="O49" s="25"/>
      <c r="P49" s="13"/>
    </row>
    <row r="50" spans="1:16" ht="15" customHeight="1" x14ac:dyDescent="0.25">
      <c r="A50" s="32">
        <f>IF(C50="","",COUNTA($C$4:C50))</f>
        <v>47</v>
      </c>
      <c r="B50" s="32" t="str">
        <f t="shared" ref="B50" si="16">IF(C50="","",TEXT(C50,"mmmm"))</f>
        <v>June</v>
      </c>
      <c r="C50" s="44">
        <v>45107</v>
      </c>
      <c r="D50" s="27" t="s">
        <v>446</v>
      </c>
      <c r="E50" s="61" t="s">
        <v>187</v>
      </c>
      <c r="F50" s="66" t="s">
        <v>447</v>
      </c>
      <c r="G50" s="61" t="s">
        <v>189</v>
      </c>
      <c r="H50" s="49" t="s">
        <v>443</v>
      </c>
      <c r="I50" s="26">
        <v>39800</v>
      </c>
      <c r="J50" s="52"/>
      <c r="K50" s="27"/>
      <c r="L50" s="27">
        <f t="shared" si="12"/>
        <v>0</v>
      </c>
      <c r="M50" s="26">
        <f t="shared" si="13"/>
        <v>0</v>
      </c>
      <c r="N50" s="46">
        <f t="shared" si="14"/>
        <v>39800</v>
      </c>
      <c r="O50" s="25"/>
      <c r="P50" s="13"/>
    </row>
    <row r="51" spans="1:16" ht="15" customHeight="1" x14ac:dyDescent="0.25">
      <c r="A51" s="32">
        <f>IF(C51="","",COUNTA($C$4:C51))</f>
        <v>48</v>
      </c>
      <c r="B51" s="32" t="str">
        <f t="shared" si="1"/>
        <v>June</v>
      </c>
      <c r="C51" s="44">
        <v>45107</v>
      </c>
      <c r="D51" s="27" t="s">
        <v>448</v>
      </c>
      <c r="E51" s="61" t="s">
        <v>187</v>
      </c>
      <c r="F51" s="66" t="s">
        <v>449</v>
      </c>
      <c r="G51" s="61" t="s">
        <v>450</v>
      </c>
      <c r="H51" s="49" t="s">
        <v>443</v>
      </c>
      <c r="I51" s="26">
        <v>23100</v>
      </c>
      <c r="J51" s="52"/>
      <c r="K51" s="27"/>
      <c r="L51" s="27">
        <f t="shared" si="12"/>
        <v>0</v>
      </c>
      <c r="M51" s="26">
        <f t="shared" si="13"/>
        <v>0</v>
      </c>
      <c r="N51" s="46">
        <f t="shared" si="14"/>
        <v>23100</v>
      </c>
      <c r="O51" s="25"/>
      <c r="P51" s="13"/>
    </row>
    <row r="52" spans="1:16" ht="15" customHeight="1" x14ac:dyDescent="0.25">
      <c r="A52" s="32">
        <f>IF(C52="","",COUNTA($C$4:C52))</f>
        <v>49</v>
      </c>
      <c r="B52" s="32" t="str">
        <f t="shared" si="1"/>
        <v>June</v>
      </c>
      <c r="C52" s="44">
        <v>45107</v>
      </c>
      <c r="D52" s="27" t="s">
        <v>451</v>
      </c>
      <c r="E52" s="61" t="s">
        <v>239</v>
      </c>
      <c r="F52" s="66">
        <v>266</v>
      </c>
      <c r="G52" s="61" t="s">
        <v>240</v>
      </c>
      <c r="H52" s="49" t="s">
        <v>452</v>
      </c>
      <c r="I52" s="26">
        <v>7550</v>
      </c>
      <c r="J52" s="52"/>
      <c r="K52" s="27"/>
      <c r="L52" s="27">
        <f t="shared" si="12"/>
        <v>0</v>
      </c>
      <c r="M52" s="26">
        <f t="shared" si="13"/>
        <v>0</v>
      </c>
      <c r="N52" s="46">
        <f t="shared" si="14"/>
        <v>7550</v>
      </c>
      <c r="O52" s="25"/>
      <c r="P52" s="13"/>
    </row>
    <row r="53" spans="1:16" ht="15" customHeight="1" x14ac:dyDescent="0.25">
      <c r="A53" s="32">
        <f>IF(C53="","",COUNTA($C$4:C53))</f>
        <v>50</v>
      </c>
      <c r="B53" s="32" t="str">
        <f t="shared" si="1"/>
        <v>June</v>
      </c>
      <c r="C53" s="44">
        <v>45107</v>
      </c>
      <c r="D53" s="27" t="s">
        <v>453</v>
      </c>
      <c r="E53" s="61" t="s">
        <v>216</v>
      </c>
      <c r="F53" s="66" t="s">
        <v>454</v>
      </c>
      <c r="G53" s="61" t="s">
        <v>218</v>
      </c>
      <c r="H53" s="49" t="s">
        <v>455</v>
      </c>
      <c r="I53" s="26">
        <v>4550</v>
      </c>
      <c r="J53" s="52"/>
      <c r="K53" s="27"/>
      <c r="L53" s="27">
        <f t="shared" si="12"/>
        <v>0</v>
      </c>
      <c r="M53" s="26">
        <f t="shared" si="13"/>
        <v>0</v>
      </c>
      <c r="N53" s="46">
        <f t="shared" si="14"/>
        <v>4550</v>
      </c>
      <c r="O53" s="25"/>
      <c r="P53" s="13"/>
    </row>
    <row r="54" spans="1:16" ht="15" customHeight="1" x14ac:dyDescent="0.25">
      <c r="A54" s="32">
        <f>IF(C54="","",COUNTA($C$4:C54))</f>
        <v>51</v>
      </c>
      <c r="B54" s="32" t="str">
        <f t="shared" si="1"/>
        <v>June</v>
      </c>
      <c r="C54" s="44">
        <v>45107</v>
      </c>
      <c r="D54" s="27" t="s">
        <v>456</v>
      </c>
      <c r="E54" s="61" t="s">
        <v>457</v>
      </c>
      <c r="F54" s="66" t="s">
        <v>458</v>
      </c>
      <c r="G54" s="61" t="s">
        <v>152</v>
      </c>
      <c r="H54" s="49" t="s">
        <v>459</v>
      </c>
      <c r="I54" s="26">
        <v>500</v>
      </c>
      <c r="J54" s="52">
        <v>0.18</v>
      </c>
      <c r="K54" s="27"/>
      <c r="L54" s="27">
        <f t="shared" si="12"/>
        <v>45</v>
      </c>
      <c r="M54" s="26">
        <f t="shared" si="13"/>
        <v>45</v>
      </c>
      <c r="N54" s="46">
        <f t="shared" si="14"/>
        <v>590</v>
      </c>
      <c r="O54" s="25"/>
      <c r="P54" s="13"/>
    </row>
    <row r="55" spans="1:16" ht="15" customHeight="1" x14ac:dyDescent="0.25">
      <c r="A55" s="32">
        <f>IF(C55="","",COUNTA($C$4:C55))</f>
        <v>52</v>
      </c>
      <c r="B55" s="32" t="str">
        <f t="shared" si="1"/>
        <v>July</v>
      </c>
      <c r="C55" s="44">
        <v>45108</v>
      </c>
      <c r="D55" s="27" t="s">
        <v>460</v>
      </c>
      <c r="E55" s="61" t="s">
        <v>194</v>
      </c>
      <c r="F55" s="66" t="s">
        <v>461</v>
      </c>
      <c r="G55" s="61" t="s">
        <v>196</v>
      </c>
      <c r="H55" s="49" t="s">
        <v>443</v>
      </c>
      <c r="I55" s="26">
        <v>60442</v>
      </c>
      <c r="J55" s="52"/>
      <c r="K55" s="27"/>
      <c r="L55" s="27">
        <f t="shared" si="12"/>
        <v>0</v>
      </c>
      <c r="M55" s="26">
        <f t="shared" si="13"/>
        <v>0</v>
      </c>
      <c r="N55" s="46">
        <f t="shared" si="14"/>
        <v>60442</v>
      </c>
      <c r="O55" s="25"/>
      <c r="P55" s="13"/>
    </row>
    <row r="56" spans="1:16" ht="15" customHeight="1" x14ac:dyDescent="0.25">
      <c r="A56" s="32">
        <f>IF(C56="","",COUNTA($C$4:C56))</f>
        <v>53</v>
      </c>
      <c r="B56" s="32" t="str">
        <f t="shared" si="1"/>
        <v>July</v>
      </c>
      <c r="C56" s="44">
        <v>45111</v>
      </c>
      <c r="D56" s="27" t="s">
        <v>462</v>
      </c>
      <c r="E56" s="61" t="s">
        <v>206</v>
      </c>
      <c r="F56" s="66">
        <v>996</v>
      </c>
      <c r="G56" s="61" t="s">
        <v>209</v>
      </c>
      <c r="H56" s="49" t="s">
        <v>463</v>
      </c>
      <c r="I56" s="26">
        <v>195928.91</v>
      </c>
      <c r="J56" s="52">
        <v>0.18</v>
      </c>
      <c r="K56" s="27"/>
      <c r="L56" s="27">
        <f t="shared" si="12"/>
        <v>17633.601900000001</v>
      </c>
      <c r="M56" s="26">
        <f t="shared" si="13"/>
        <v>17633.601900000001</v>
      </c>
      <c r="N56" s="46">
        <f t="shared" si="14"/>
        <v>231196.11380000002</v>
      </c>
      <c r="O56" s="25"/>
      <c r="P56" s="13"/>
    </row>
    <row r="57" spans="1:16" ht="15.75" x14ac:dyDescent="0.25">
      <c r="A57" s="32">
        <f>IF(C57="","",COUNTA($C$4:C57))</f>
        <v>54</v>
      </c>
      <c r="B57" s="32" t="str">
        <f t="shared" si="1"/>
        <v>July</v>
      </c>
      <c r="C57" s="44">
        <v>45111</v>
      </c>
      <c r="D57" s="27" t="s">
        <v>464</v>
      </c>
      <c r="E57" s="61" t="s">
        <v>206</v>
      </c>
      <c r="F57" s="24">
        <v>997</v>
      </c>
      <c r="G57" s="61" t="s">
        <v>209</v>
      </c>
      <c r="H57" s="49" t="s">
        <v>465</v>
      </c>
      <c r="I57" s="26">
        <v>55848.26</v>
      </c>
      <c r="J57" s="59">
        <v>0.18</v>
      </c>
      <c r="K57" s="24"/>
      <c r="L57" s="27">
        <f t="shared" si="12"/>
        <v>5026.3433999999997</v>
      </c>
      <c r="M57" s="26">
        <f t="shared" si="13"/>
        <v>5026.3433999999997</v>
      </c>
      <c r="N57" s="46">
        <f t="shared" si="14"/>
        <v>65900.946800000005</v>
      </c>
      <c r="O57" s="25"/>
    </row>
    <row r="58" spans="1:16" ht="15.75" x14ac:dyDescent="0.25">
      <c r="A58" s="32">
        <f>IF(C58="","",COUNTA($C$4:C58))</f>
        <v>55</v>
      </c>
      <c r="B58" s="32" t="str">
        <f t="shared" si="1"/>
        <v>July</v>
      </c>
      <c r="C58" s="44">
        <v>45111</v>
      </c>
      <c r="D58" s="27" t="s">
        <v>466</v>
      </c>
      <c r="E58" s="61" t="s">
        <v>206</v>
      </c>
      <c r="F58" s="24">
        <v>998</v>
      </c>
      <c r="G58" s="61" t="s">
        <v>209</v>
      </c>
      <c r="H58" s="34" t="s">
        <v>467</v>
      </c>
      <c r="I58" s="26">
        <v>54258.31</v>
      </c>
      <c r="J58" s="60">
        <v>0.18</v>
      </c>
      <c r="K58" s="24"/>
      <c r="L58" s="27">
        <f t="shared" si="12"/>
        <v>4883.2478999999994</v>
      </c>
      <c r="M58" s="26">
        <f t="shared" si="13"/>
        <v>4883.2478999999994</v>
      </c>
      <c r="N58" s="46">
        <f t="shared" si="14"/>
        <v>64024.805800000002</v>
      </c>
      <c r="O58" s="25"/>
    </row>
    <row r="59" spans="1:16" ht="15.75" x14ac:dyDescent="0.25">
      <c r="A59" s="32">
        <f>IF(C59="","",COUNTA($C$4:C59))</f>
        <v>56</v>
      </c>
      <c r="B59" s="32" t="str">
        <f t="shared" si="1"/>
        <v>July</v>
      </c>
      <c r="C59" s="44">
        <v>45111</v>
      </c>
      <c r="D59" s="27" t="s">
        <v>468</v>
      </c>
      <c r="E59" s="61" t="s">
        <v>206</v>
      </c>
      <c r="F59" s="24">
        <v>999</v>
      </c>
      <c r="G59" s="61" t="s">
        <v>209</v>
      </c>
      <c r="H59" s="34" t="s">
        <v>469</v>
      </c>
      <c r="I59" s="26">
        <v>65809.850000000006</v>
      </c>
      <c r="J59" s="60">
        <v>0.18</v>
      </c>
      <c r="K59" s="24"/>
      <c r="L59" s="27">
        <f t="shared" si="12"/>
        <v>5922.8865000000005</v>
      </c>
      <c r="M59" s="26">
        <f t="shared" si="13"/>
        <v>5922.8865000000005</v>
      </c>
      <c r="N59" s="46">
        <f t="shared" si="14"/>
        <v>77655.622999999992</v>
      </c>
      <c r="O59" s="25"/>
    </row>
    <row r="60" spans="1:16" ht="15.75" x14ac:dyDescent="0.25">
      <c r="A60" s="32">
        <f>IF(C60="","",COUNTA($C$4:C60))</f>
        <v>57</v>
      </c>
      <c r="B60" s="32" t="str">
        <f t="shared" si="1"/>
        <v>July</v>
      </c>
      <c r="C60" s="44">
        <v>45111</v>
      </c>
      <c r="D60" s="27" t="s">
        <v>470</v>
      </c>
      <c r="E60" s="61" t="s">
        <v>206</v>
      </c>
      <c r="F60" s="24">
        <v>1000</v>
      </c>
      <c r="G60" s="61" t="s">
        <v>209</v>
      </c>
      <c r="H60" s="49" t="s">
        <v>471</v>
      </c>
      <c r="I60" s="26">
        <v>29650</v>
      </c>
      <c r="J60" s="60">
        <v>0.18</v>
      </c>
      <c r="K60" s="24"/>
      <c r="L60" s="27">
        <f t="shared" si="12"/>
        <v>2668.5</v>
      </c>
      <c r="M60" s="26">
        <f t="shared" si="13"/>
        <v>2668.5</v>
      </c>
      <c r="N60" s="46">
        <f t="shared" si="14"/>
        <v>34987</v>
      </c>
      <c r="O60" s="25"/>
    </row>
    <row r="61" spans="1:16" ht="15.75" x14ac:dyDescent="0.25">
      <c r="A61" s="32">
        <f>IF(C61="","",COUNTA($C$4:C61))</f>
        <v>58</v>
      </c>
      <c r="B61" s="32" t="str">
        <f t="shared" si="1"/>
        <v>July</v>
      </c>
      <c r="C61" s="44">
        <v>45112</v>
      </c>
      <c r="D61" s="27" t="s">
        <v>472</v>
      </c>
      <c r="E61" s="61" t="s">
        <v>206</v>
      </c>
      <c r="F61" s="69" t="s">
        <v>473</v>
      </c>
      <c r="G61" s="34" t="s">
        <v>229</v>
      </c>
      <c r="H61" s="34" t="s">
        <v>474</v>
      </c>
      <c r="I61" s="26">
        <v>64800</v>
      </c>
      <c r="J61" s="60">
        <v>0.18</v>
      </c>
      <c r="K61" s="24"/>
      <c r="L61" s="27">
        <f t="shared" si="12"/>
        <v>5832</v>
      </c>
      <c r="M61" s="26">
        <f t="shared" si="13"/>
        <v>5832</v>
      </c>
      <c r="N61" s="46">
        <f t="shared" si="14"/>
        <v>76464</v>
      </c>
      <c r="O61" s="25"/>
    </row>
    <row r="62" spans="1:16" ht="15.75" x14ac:dyDescent="0.25">
      <c r="A62" s="32">
        <f>IF(C62="","",COUNTA($C$4:C62))</f>
        <v>59</v>
      </c>
      <c r="B62" s="32" t="str">
        <f t="shared" si="1"/>
        <v>July</v>
      </c>
      <c r="C62" s="44">
        <v>45117</v>
      </c>
      <c r="D62" s="27" t="s">
        <v>475</v>
      </c>
      <c r="E62" s="58" t="s">
        <v>476</v>
      </c>
      <c r="F62" s="24" t="s">
        <v>477</v>
      </c>
      <c r="G62" s="61" t="s">
        <v>478</v>
      </c>
      <c r="H62" s="61" t="s">
        <v>478</v>
      </c>
      <c r="I62" s="26">
        <v>25200</v>
      </c>
      <c r="J62" s="60">
        <v>0.18</v>
      </c>
      <c r="K62" s="24"/>
      <c r="L62" s="27">
        <f t="shared" si="12"/>
        <v>2268</v>
      </c>
      <c r="M62" s="26">
        <f t="shared" si="13"/>
        <v>2268</v>
      </c>
      <c r="N62" s="46">
        <f t="shared" si="14"/>
        <v>29736</v>
      </c>
      <c r="O62" s="25"/>
    </row>
    <row r="63" spans="1:16" ht="15.75" x14ac:dyDescent="0.25">
      <c r="A63" s="32">
        <f>IF(C63="","",COUNTA($C$4:C63))</f>
        <v>60</v>
      </c>
      <c r="B63" s="32" t="str">
        <f t="shared" si="1"/>
        <v>July</v>
      </c>
      <c r="C63" s="62">
        <v>45119</v>
      </c>
      <c r="D63" s="27" t="s">
        <v>479</v>
      </c>
      <c r="E63" s="58" t="s">
        <v>476</v>
      </c>
      <c r="F63" s="24" t="s">
        <v>480</v>
      </c>
      <c r="G63" s="58" t="s">
        <v>481</v>
      </c>
      <c r="H63" s="58" t="s">
        <v>482</v>
      </c>
      <c r="I63" s="26">
        <v>6500</v>
      </c>
      <c r="J63" s="60">
        <v>0.18</v>
      </c>
      <c r="K63" s="24"/>
      <c r="L63" s="27">
        <f t="shared" si="12"/>
        <v>585</v>
      </c>
      <c r="M63" s="26">
        <f t="shared" si="13"/>
        <v>585</v>
      </c>
      <c r="N63" s="46">
        <f t="shared" si="14"/>
        <v>7670</v>
      </c>
      <c r="O63" s="25"/>
    </row>
    <row r="64" spans="1:16" ht="15.75" x14ac:dyDescent="0.25">
      <c r="A64" s="32">
        <f>IF(C64="","",COUNTA($C$4:C64))</f>
        <v>61</v>
      </c>
      <c r="B64" s="32" t="str">
        <f t="shared" si="1"/>
        <v>July</v>
      </c>
      <c r="C64" s="62">
        <v>45122</v>
      </c>
      <c r="D64" s="27" t="s">
        <v>483</v>
      </c>
      <c r="E64" s="58" t="s">
        <v>310</v>
      </c>
      <c r="F64" s="69" t="s">
        <v>484</v>
      </c>
      <c r="G64" s="61" t="s">
        <v>485</v>
      </c>
      <c r="H64" s="49" t="s">
        <v>486</v>
      </c>
      <c r="I64" s="26">
        <v>10514</v>
      </c>
      <c r="J64" s="60"/>
      <c r="K64" s="24"/>
      <c r="L64" s="27">
        <f t="shared" si="12"/>
        <v>0</v>
      </c>
      <c r="M64" s="26">
        <f t="shared" si="13"/>
        <v>0</v>
      </c>
      <c r="N64" s="46">
        <f t="shared" si="14"/>
        <v>10514</v>
      </c>
      <c r="O64" s="25"/>
    </row>
    <row r="65" spans="1:15" ht="15.75" x14ac:dyDescent="0.25">
      <c r="A65" s="32">
        <f>IF(C65="","",COUNTA($C$4:C65))</f>
        <v>62</v>
      </c>
      <c r="B65" s="32" t="str">
        <f t="shared" si="1"/>
        <v>July</v>
      </c>
      <c r="C65" s="62">
        <v>45118</v>
      </c>
      <c r="D65" s="27" t="s">
        <v>487</v>
      </c>
      <c r="E65" s="58" t="s">
        <v>225</v>
      </c>
      <c r="F65" s="24" t="s">
        <v>488</v>
      </c>
      <c r="G65" s="61" t="s">
        <v>204</v>
      </c>
      <c r="H65" s="49" t="s">
        <v>443</v>
      </c>
      <c r="I65" s="26">
        <v>407102.93</v>
      </c>
      <c r="J65" s="60">
        <v>0.18</v>
      </c>
      <c r="K65" s="27"/>
      <c r="L65" s="27">
        <f t="shared" si="12"/>
        <v>36639.263699999996</v>
      </c>
      <c r="M65" s="26">
        <f t="shared" si="13"/>
        <v>36639.263699999996</v>
      </c>
      <c r="N65" s="46">
        <f t="shared" si="14"/>
        <v>480381.45740000001</v>
      </c>
      <c r="O65" s="25"/>
    </row>
    <row r="66" spans="1:15" ht="15.75" x14ac:dyDescent="0.25">
      <c r="A66" s="32">
        <f>IF(C66="","",COUNTA($C$4:C66))</f>
        <v>63</v>
      </c>
      <c r="B66" s="32" t="str">
        <f t="shared" si="1"/>
        <v>July</v>
      </c>
      <c r="C66" s="62">
        <v>45118</v>
      </c>
      <c r="D66" s="27" t="s">
        <v>489</v>
      </c>
      <c r="E66" s="58" t="s">
        <v>225</v>
      </c>
      <c r="F66" s="24" t="s">
        <v>490</v>
      </c>
      <c r="G66" s="61" t="s">
        <v>204</v>
      </c>
      <c r="H66" s="34" t="s">
        <v>491</v>
      </c>
      <c r="I66" s="26">
        <v>58789</v>
      </c>
      <c r="J66" s="60">
        <v>0.18</v>
      </c>
      <c r="K66" s="27"/>
      <c r="L66" s="27">
        <f t="shared" si="12"/>
        <v>5291.01</v>
      </c>
      <c r="M66" s="26">
        <f t="shared" si="13"/>
        <v>5291.01</v>
      </c>
      <c r="N66" s="46">
        <f t="shared" si="14"/>
        <v>69371.02</v>
      </c>
      <c r="O66" s="25"/>
    </row>
    <row r="67" spans="1:15" ht="15.75" x14ac:dyDescent="0.25">
      <c r="A67" s="32">
        <f>IF(C67="","",COUNTA($C$4:C67))</f>
        <v>64</v>
      </c>
      <c r="B67" s="32" t="str">
        <f t="shared" si="1"/>
        <v>July</v>
      </c>
      <c r="C67" s="62">
        <v>45125</v>
      </c>
      <c r="D67" s="27" t="s">
        <v>492</v>
      </c>
      <c r="E67" s="58" t="s">
        <v>146</v>
      </c>
      <c r="F67" s="24">
        <v>425</v>
      </c>
      <c r="G67" s="58" t="s">
        <v>148</v>
      </c>
      <c r="H67" s="49" t="s">
        <v>493</v>
      </c>
      <c r="I67" s="26">
        <v>4500</v>
      </c>
      <c r="J67" s="60">
        <v>0.18</v>
      </c>
      <c r="K67" s="24"/>
      <c r="L67" s="27">
        <f t="shared" si="12"/>
        <v>405</v>
      </c>
      <c r="M67" s="26">
        <f t="shared" si="13"/>
        <v>405</v>
      </c>
      <c r="N67" s="46">
        <f t="shared" si="14"/>
        <v>5310</v>
      </c>
      <c r="O67" s="25"/>
    </row>
    <row r="68" spans="1:15" ht="15.75" x14ac:dyDescent="0.25">
      <c r="A68" s="32">
        <f>IF(C68="","",COUNTA($C$4:C68))</f>
        <v>65</v>
      </c>
      <c r="B68" s="32" t="str">
        <f t="shared" ref="B68" si="17">IF(C68="","",TEXT(C68,"mmmm"))</f>
        <v>July</v>
      </c>
      <c r="C68" s="62">
        <v>45128</v>
      </c>
      <c r="D68" s="27" t="s">
        <v>494</v>
      </c>
      <c r="E68" s="58" t="s">
        <v>202</v>
      </c>
      <c r="F68" s="24" t="s">
        <v>495</v>
      </c>
      <c r="G68" s="58" t="s">
        <v>204</v>
      </c>
      <c r="H68" s="49" t="s">
        <v>443</v>
      </c>
      <c r="I68" s="26">
        <v>201672</v>
      </c>
      <c r="J68" s="60">
        <v>0.18</v>
      </c>
      <c r="K68" s="24"/>
      <c r="L68" s="27">
        <f t="shared" si="12"/>
        <v>18150.48</v>
      </c>
      <c r="M68" s="26">
        <f t="shared" si="13"/>
        <v>18150.48</v>
      </c>
      <c r="N68" s="46">
        <f t="shared" si="14"/>
        <v>237972.96000000002</v>
      </c>
      <c r="O68" s="25"/>
    </row>
    <row r="69" spans="1:15" ht="15.75" x14ac:dyDescent="0.25">
      <c r="A69" s="32">
        <f>IF(C69="","",COUNTA($C$4:C69))</f>
        <v>66</v>
      </c>
      <c r="B69" s="32" t="str">
        <f t="shared" ref="B69" si="18">IF(C69="","",TEXT(C69,"mmmm"))</f>
        <v>July</v>
      </c>
      <c r="C69" s="62">
        <v>45132</v>
      </c>
      <c r="D69" s="27" t="s">
        <v>496</v>
      </c>
      <c r="E69" s="58" t="s">
        <v>142</v>
      </c>
      <c r="F69" s="24">
        <v>17984</v>
      </c>
      <c r="G69" s="58" t="s">
        <v>143</v>
      </c>
      <c r="H69" s="58" t="s">
        <v>497</v>
      </c>
      <c r="I69" s="26">
        <v>1860</v>
      </c>
      <c r="J69" s="60">
        <v>0.18</v>
      </c>
      <c r="K69" s="24"/>
      <c r="L69" s="27">
        <f t="shared" si="12"/>
        <v>167.4</v>
      </c>
      <c r="M69" s="26">
        <f t="shared" si="13"/>
        <v>167.4</v>
      </c>
      <c r="N69" s="46">
        <f t="shared" si="14"/>
        <v>2194.8000000000002</v>
      </c>
      <c r="O69" s="25"/>
    </row>
    <row r="70" spans="1:15" ht="15.75" x14ac:dyDescent="0.25">
      <c r="A70" s="32">
        <f>IF(C70="","",COUNTA($C$4:C70))</f>
        <v>67</v>
      </c>
      <c r="B70" s="32" t="str">
        <f t="shared" ref="B70" si="19">IF(C70="","",TEXT(C70,"mmmm"))</f>
        <v>July</v>
      </c>
      <c r="C70" s="62">
        <v>45134</v>
      </c>
      <c r="D70" s="27" t="s">
        <v>498</v>
      </c>
      <c r="E70" s="58" t="s">
        <v>499</v>
      </c>
      <c r="F70" s="24" t="s">
        <v>500</v>
      </c>
      <c r="G70" s="58" t="s">
        <v>501</v>
      </c>
      <c r="H70" s="58" t="s">
        <v>502</v>
      </c>
      <c r="I70" s="26">
        <v>9000</v>
      </c>
      <c r="J70" s="60">
        <v>0.18</v>
      </c>
      <c r="K70" s="24"/>
      <c r="L70" s="27">
        <f t="shared" si="12"/>
        <v>810</v>
      </c>
      <c r="M70" s="26">
        <f t="shared" si="13"/>
        <v>810</v>
      </c>
      <c r="N70" s="46">
        <f t="shared" si="14"/>
        <v>10620</v>
      </c>
      <c r="O70" s="25"/>
    </row>
    <row r="71" spans="1:15" ht="15.75" x14ac:dyDescent="0.25">
      <c r="A71" s="32" t="str">
        <f>IF(C71="","",COUNTA($C$4:C71))</f>
        <v/>
      </c>
      <c r="B71" s="32" t="str">
        <f t="shared" si="1"/>
        <v/>
      </c>
      <c r="C71" s="62"/>
      <c r="D71" s="24"/>
      <c r="E71" s="58"/>
      <c r="F71" s="24"/>
      <c r="G71" s="58"/>
      <c r="H71" s="49"/>
      <c r="I71" s="26"/>
      <c r="J71" s="60"/>
      <c r="K71" s="24"/>
      <c r="L71" s="27"/>
      <c r="M71" s="26"/>
      <c r="N71" s="46"/>
      <c r="O71" s="25"/>
    </row>
    <row r="72" spans="1:15" ht="15.75" x14ac:dyDescent="0.25">
      <c r="A72" s="32" t="str">
        <f>IF(C72="","",COUNTA($C$4:C72))</f>
        <v/>
      </c>
      <c r="B72" s="32" t="str">
        <f t="shared" si="1"/>
        <v/>
      </c>
      <c r="C72" s="62"/>
      <c r="D72" s="24"/>
      <c r="E72" s="58"/>
      <c r="F72" s="24"/>
      <c r="G72" s="61"/>
      <c r="H72" s="49"/>
      <c r="I72" s="26"/>
      <c r="J72" s="60"/>
      <c r="K72" s="24"/>
      <c r="L72" s="27"/>
      <c r="M72" s="26"/>
      <c r="N72" s="46"/>
      <c r="O72" s="25"/>
    </row>
    <row r="73" spans="1:15" ht="15.75" x14ac:dyDescent="0.25">
      <c r="A73" s="32" t="str">
        <f>IF(C73="","",COUNTA($C$4:C73))</f>
        <v/>
      </c>
      <c r="B73" s="32" t="str">
        <f t="shared" si="1"/>
        <v/>
      </c>
      <c r="C73" s="62"/>
      <c r="D73" s="24"/>
      <c r="E73" s="58"/>
      <c r="F73" s="24"/>
      <c r="G73" s="61"/>
      <c r="H73" s="34"/>
      <c r="I73" s="26"/>
      <c r="J73" s="60"/>
      <c r="K73" s="24"/>
      <c r="L73" s="27"/>
      <c r="M73" s="26"/>
      <c r="N73" s="46"/>
      <c r="O73" s="25"/>
    </row>
    <row r="74" spans="1:15" ht="15.75" x14ac:dyDescent="0.25">
      <c r="A74" s="32" t="str">
        <f>IF(C74="","",COUNTA($C$4:C74))</f>
        <v/>
      </c>
      <c r="B74" s="32" t="str">
        <f t="shared" si="1"/>
        <v/>
      </c>
      <c r="C74" s="62"/>
      <c r="D74" s="24"/>
      <c r="E74" s="58"/>
      <c r="F74" s="24"/>
      <c r="G74" s="58"/>
      <c r="H74" s="49"/>
      <c r="I74" s="26"/>
      <c r="J74" s="60"/>
      <c r="K74" s="24"/>
      <c r="L74" s="27"/>
      <c r="M74" s="26"/>
      <c r="N74" s="46"/>
      <c r="O74" s="25"/>
    </row>
    <row r="75" spans="1:15" ht="15.75" x14ac:dyDescent="0.25">
      <c r="A75" s="32" t="str">
        <f>IF(C75="","",COUNTA($C$4:C75))</f>
        <v/>
      </c>
      <c r="B75" s="32" t="str">
        <f t="shared" si="1"/>
        <v/>
      </c>
      <c r="C75" s="62"/>
      <c r="D75" s="24"/>
      <c r="E75" s="58"/>
      <c r="F75" s="24"/>
      <c r="G75" s="58"/>
      <c r="H75" s="49"/>
      <c r="I75" s="26"/>
      <c r="J75" s="60"/>
      <c r="K75" s="24"/>
      <c r="L75" s="27"/>
      <c r="M75" s="26"/>
      <c r="N75" s="46"/>
      <c r="O75" s="25"/>
    </row>
    <row r="76" spans="1:15" ht="15.75" x14ac:dyDescent="0.25">
      <c r="A76" s="32" t="str">
        <f>IF(C76="","",COUNTA($C$4:C76))</f>
        <v/>
      </c>
      <c r="B76" s="32" t="str">
        <f t="shared" si="1"/>
        <v/>
      </c>
      <c r="C76" s="62"/>
      <c r="D76" s="24"/>
      <c r="E76" s="58"/>
      <c r="F76" s="24"/>
      <c r="G76" s="61"/>
      <c r="H76" s="34"/>
      <c r="I76" s="26"/>
      <c r="J76" s="60"/>
      <c r="K76" s="24"/>
      <c r="L76" s="27"/>
      <c r="M76" s="26"/>
      <c r="N76" s="46"/>
      <c r="O76" s="25"/>
    </row>
    <row r="77" spans="1:15" ht="15.75" x14ac:dyDescent="0.25">
      <c r="A77" s="32" t="str">
        <f>IF(C77="","",COUNTA($C$4:C77))</f>
        <v/>
      </c>
      <c r="B77" s="32" t="str">
        <f t="shared" si="1"/>
        <v/>
      </c>
      <c r="C77" s="62"/>
      <c r="D77" s="24"/>
      <c r="E77" s="58"/>
      <c r="F77" s="36"/>
      <c r="G77" s="61"/>
      <c r="H77" s="31"/>
      <c r="I77" s="70"/>
      <c r="J77" s="60"/>
      <c r="K77" s="24"/>
      <c r="L77" s="27"/>
      <c r="M77" s="26"/>
      <c r="N77" s="46"/>
      <c r="O77" s="25"/>
    </row>
    <row r="78" spans="1:15" ht="15.75" x14ac:dyDescent="0.25">
      <c r="A78" s="32" t="str">
        <f>IF(C78="","",COUNTA($C$4:C78))</f>
        <v/>
      </c>
      <c r="B78" s="32" t="str">
        <f t="shared" si="1"/>
        <v/>
      </c>
      <c r="C78" s="62"/>
      <c r="D78" s="24"/>
      <c r="E78" s="58"/>
      <c r="F78" s="24"/>
      <c r="G78" s="61"/>
      <c r="H78" s="34"/>
      <c r="I78" s="26"/>
      <c r="J78" s="60"/>
      <c r="K78" s="24"/>
      <c r="L78" s="27"/>
      <c r="M78" s="26"/>
      <c r="N78" s="46"/>
      <c r="O78" s="25"/>
    </row>
    <row r="79" spans="1:15" ht="15.75" x14ac:dyDescent="0.25">
      <c r="A79" s="32" t="str">
        <f>IF(C79="","",COUNTA($C$4:C79))</f>
        <v/>
      </c>
      <c r="B79" s="32" t="str">
        <f t="shared" ref="B79:B185" si="20">IF(C79="","",TEXT(C79,"mmmm"))</f>
        <v/>
      </c>
      <c r="C79" s="62"/>
      <c r="D79" s="24"/>
      <c r="E79" s="58"/>
      <c r="F79" s="24"/>
      <c r="G79" s="61"/>
      <c r="H79" s="34"/>
      <c r="I79" s="26"/>
      <c r="J79" s="60"/>
      <c r="K79" s="27"/>
      <c r="L79" s="27"/>
      <c r="M79" s="26"/>
      <c r="N79" s="46"/>
      <c r="O79" s="25"/>
    </row>
    <row r="80" spans="1:15" ht="15.75" x14ac:dyDescent="0.25">
      <c r="A80" s="32" t="str">
        <f>IF(C80="","",COUNTA($C$4:C80))</f>
        <v/>
      </c>
      <c r="B80" s="32" t="str">
        <f t="shared" si="20"/>
        <v/>
      </c>
      <c r="C80" s="62"/>
      <c r="D80" s="24"/>
      <c r="E80" s="58"/>
      <c r="F80" s="24"/>
      <c r="G80" s="61"/>
      <c r="H80" s="34"/>
      <c r="I80" s="26"/>
      <c r="J80" s="60"/>
      <c r="K80" s="24"/>
      <c r="L80" s="27"/>
      <c r="M80" s="26"/>
      <c r="N80" s="46"/>
      <c r="O80" s="25"/>
    </row>
    <row r="81" spans="1:15" ht="15.75" x14ac:dyDescent="0.25">
      <c r="A81" s="32" t="str">
        <f>IF(C81="","",COUNTA($C$4:C81))</f>
        <v/>
      </c>
      <c r="B81" s="32" t="str">
        <f t="shared" si="20"/>
        <v/>
      </c>
      <c r="C81" s="62"/>
      <c r="D81" s="24"/>
      <c r="E81" s="58"/>
      <c r="F81" s="24"/>
      <c r="G81" s="58"/>
      <c r="H81" s="34"/>
      <c r="I81" s="26"/>
      <c r="J81" s="60"/>
      <c r="K81" s="24"/>
      <c r="L81" s="27"/>
      <c r="M81" s="26"/>
      <c r="N81" s="46"/>
      <c r="O81" s="25"/>
    </row>
    <row r="82" spans="1:15" ht="15.75" x14ac:dyDescent="0.25">
      <c r="A82" s="32" t="str">
        <f>IF(C82="","",COUNTA($C$4:C82))</f>
        <v/>
      </c>
      <c r="B82" s="32" t="str">
        <f t="shared" si="20"/>
        <v/>
      </c>
      <c r="C82" s="62"/>
      <c r="D82" s="24"/>
      <c r="E82" s="58"/>
      <c r="F82" s="24"/>
      <c r="G82" s="58"/>
      <c r="H82" s="34"/>
      <c r="I82" s="26"/>
      <c r="J82" s="60"/>
      <c r="K82" s="24"/>
      <c r="L82" s="27"/>
      <c r="M82" s="26"/>
      <c r="N82" s="46"/>
      <c r="O82" s="25"/>
    </row>
    <row r="83" spans="1:15" ht="15.75" x14ac:dyDescent="0.25">
      <c r="A83" s="32" t="str">
        <f>IF(C83="","",COUNTA($C$4:C83))</f>
        <v/>
      </c>
      <c r="B83" s="32" t="str">
        <f t="shared" si="20"/>
        <v/>
      </c>
      <c r="C83" s="62"/>
      <c r="D83" s="24"/>
      <c r="E83" s="58"/>
      <c r="F83" s="24"/>
      <c r="G83" s="61"/>
      <c r="H83" s="34"/>
      <c r="I83" s="26"/>
      <c r="J83" s="60"/>
      <c r="K83" s="24"/>
      <c r="L83" s="27"/>
      <c r="M83" s="26"/>
      <c r="N83" s="46"/>
      <c r="O83" s="25"/>
    </row>
    <row r="84" spans="1:15" ht="15.75" x14ac:dyDescent="0.25">
      <c r="A84" s="32" t="str">
        <f>IF(C84="","",COUNTA($C$4:C84))</f>
        <v/>
      </c>
      <c r="B84" s="32" t="str">
        <f t="shared" si="20"/>
        <v/>
      </c>
      <c r="C84" s="62"/>
      <c r="D84" s="24"/>
      <c r="E84" s="58"/>
      <c r="F84" s="24"/>
      <c r="G84" s="61"/>
      <c r="H84" s="34"/>
      <c r="I84" s="26"/>
      <c r="J84" s="60"/>
      <c r="K84" s="24"/>
      <c r="L84" s="27"/>
      <c r="M84" s="26"/>
      <c r="N84" s="46"/>
      <c r="O84" s="25"/>
    </row>
    <row r="85" spans="1:15" ht="15.75" x14ac:dyDescent="0.25">
      <c r="A85" s="32" t="str">
        <f>IF(C85="","",COUNTA($C$4:C85))</f>
        <v/>
      </c>
      <c r="B85" s="32" t="str">
        <f t="shared" si="20"/>
        <v/>
      </c>
      <c r="C85" s="62"/>
      <c r="D85" s="24"/>
      <c r="E85" s="58"/>
      <c r="F85" s="24"/>
      <c r="G85" s="58"/>
      <c r="H85" s="34"/>
      <c r="I85" s="26"/>
      <c r="J85" s="60"/>
      <c r="K85" s="24"/>
      <c r="L85" s="27"/>
      <c r="M85" s="26"/>
      <c r="N85" s="46"/>
      <c r="O85" s="25"/>
    </row>
    <row r="86" spans="1:15" ht="15.75" x14ac:dyDescent="0.25">
      <c r="A86" s="32" t="str">
        <f>IF(C86="","",COUNTA($C$4:C86))</f>
        <v/>
      </c>
      <c r="B86" s="32" t="str">
        <f t="shared" ref="B86" si="21">IF(C86="","",TEXT(C86,"mmmm"))</f>
        <v/>
      </c>
      <c r="C86" s="62"/>
      <c r="D86" s="24"/>
      <c r="E86" s="58"/>
      <c r="F86" s="24"/>
      <c r="G86" s="61"/>
      <c r="H86" s="34"/>
      <c r="I86" s="26"/>
      <c r="J86" s="60"/>
      <c r="K86" s="24"/>
      <c r="L86" s="27"/>
      <c r="M86" s="26"/>
      <c r="N86" s="46"/>
      <c r="O86" s="25"/>
    </row>
    <row r="87" spans="1:15" ht="15.75" x14ac:dyDescent="0.25">
      <c r="A87" s="32" t="str">
        <f>IF(C87="","",COUNTA($C$4:C87))</f>
        <v/>
      </c>
      <c r="B87" s="32" t="str">
        <f t="shared" ref="B87" si="22">IF(C87="","",TEXT(C87,"mmmm"))</f>
        <v/>
      </c>
      <c r="C87" s="62"/>
      <c r="D87" s="24"/>
      <c r="E87" s="58"/>
      <c r="F87" s="24"/>
      <c r="G87" s="61"/>
      <c r="H87" s="34"/>
      <c r="I87" s="26"/>
      <c r="J87" s="60"/>
      <c r="K87" s="24"/>
      <c r="L87" s="27"/>
      <c r="M87" s="26"/>
      <c r="N87" s="46"/>
      <c r="O87" s="25"/>
    </row>
    <row r="88" spans="1:15" ht="15.75" x14ac:dyDescent="0.25">
      <c r="A88" s="32" t="str">
        <f>IF(C88="","",COUNTA($C$4:C88))</f>
        <v/>
      </c>
      <c r="B88" s="32" t="str">
        <f t="shared" ref="B88" si="23">IF(C88="","",TEXT(C88,"mmmm"))</f>
        <v/>
      </c>
      <c r="C88" s="62"/>
      <c r="D88" s="24"/>
      <c r="E88" s="58"/>
      <c r="F88" s="24"/>
      <c r="G88" s="61"/>
      <c r="H88" s="34"/>
      <c r="I88" s="26"/>
      <c r="J88" s="60"/>
      <c r="K88" s="24"/>
      <c r="L88" s="27"/>
      <c r="M88" s="26"/>
      <c r="N88" s="46"/>
      <c r="O88" s="25"/>
    </row>
    <row r="89" spans="1:15" ht="15.75" x14ac:dyDescent="0.25">
      <c r="A89" s="32" t="str">
        <f>IF(C89="","",COUNTA($C$4:C89))</f>
        <v/>
      </c>
      <c r="B89" s="32" t="str">
        <f t="shared" ref="B89" si="24">IF(C89="","",TEXT(C89,"mmmm"))</f>
        <v/>
      </c>
      <c r="C89" s="62"/>
      <c r="D89" s="24"/>
      <c r="E89" s="58"/>
      <c r="F89" s="24"/>
      <c r="G89" s="61"/>
      <c r="H89" s="34"/>
      <c r="I89" s="26"/>
      <c r="J89" s="60"/>
      <c r="K89" s="24"/>
      <c r="L89" s="27"/>
      <c r="M89" s="26"/>
      <c r="N89" s="46"/>
      <c r="O89" s="25"/>
    </row>
    <row r="90" spans="1:15" ht="15.75" x14ac:dyDescent="0.25">
      <c r="A90" s="32" t="str">
        <f>IF(C90="","",COUNTA($C$4:C90))</f>
        <v/>
      </c>
      <c r="B90" s="32" t="str">
        <f t="shared" si="20"/>
        <v/>
      </c>
      <c r="C90" s="62"/>
      <c r="D90" s="24"/>
      <c r="E90" s="58"/>
      <c r="F90" s="24"/>
      <c r="G90" s="58"/>
      <c r="H90" s="34"/>
      <c r="I90" s="26"/>
      <c r="J90" s="60"/>
      <c r="K90" s="24"/>
      <c r="L90" s="27"/>
      <c r="M90" s="26"/>
      <c r="N90" s="46"/>
      <c r="O90" s="25"/>
    </row>
    <row r="91" spans="1:15" ht="15.75" x14ac:dyDescent="0.25">
      <c r="A91" s="32" t="str">
        <f>IF(C91="","",COUNTA($C$4:C91))</f>
        <v/>
      </c>
      <c r="B91" s="32" t="str">
        <f t="shared" si="20"/>
        <v/>
      </c>
      <c r="C91" s="62"/>
      <c r="D91" s="24"/>
      <c r="E91" s="58"/>
      <c r="F91" s="24"/>
      <c r="G91" s="58"/>
      <c r="H91" s="34"/>
      <c r="I91" s="26"/>
      <c r="J91" s="60"/>
      <c r="K91" s="24"/>
      <c r="L91" s="27"/>
      <c r="M91" s="26"/>
      <c r="N91" s="46"/>
      <c r="O91" s="25"/>
    </row>
    <row r="92" spans="1:15" ht="15.75" x14ac:dyDescent="0.25">
      <c r="A92" s="32" t="str">
        <f>IF(C92="","",COUNTA($C$4:C92))</f>
        <v/>
      </c>
      <c r="B92" s="32" t="str">
        <f t="shared" si="20"/>
        <v/>
      </c>
      <c r="C92" s="62"/>
      <c r="D92" s="24"/>
      <c r="E92" s="58"/>
      <c r="F92" s="24"/>
      <c r="G92" s="58"/>
      <c r="H92" s="34"/>
      <c r="I92" s="26"/>
      <c r="J92" s="60"/>
      <c r="K92" s="24"/>
      <c r="L92" s="27"/>
      <c r="M92" s="26"/>
      <c r="N92" s="46"/>
      <c r="O92" s="25"/>
    </row>
    <row r="93" spans="1:15" ht="15.75" x14ac:dyDescent="0.25">
      <c r="A93" s="32" t="str">
        <f>IF(C93="","",COUNTA($C$4:C93))</f>
        <v/>
      </c>
      <c r="B93" s="32" t="str">
        <f t="shared" si="20"/>
        <v/>
      </c>
      <c r="C93" s="62"/>
      <c r="D93" s="24"/>
      <c r="E93" s="58"/>
      <c r="F93" s="24"/>
      <c r="G93" s="61"/>
      <c r="H93" s="34"/>
      <c r="I93" s="26"/>
      <c r="J93" s="60"/>
      <c r="K93" s="24"/>
      <c r="L93" s="27"/>
      <c r="M93" s="26"/>
      <c r="N93" s="46"/>
      <c r="O93" s="25"/>
    </row>
    <row r="94" spans="1:15" ht="15.75" x14ac:dyDescent="0.25">
      <c r="A94" s="32" t="str">
        <f>IF(C94="","",COUNTA($C$4:C94))</f>
        <v/>
      </c>
      <c r="B94" s="32" t="str">
        <f t="shared" ref="B94" si="25">IF(C94="","",TEXT(C94,"mmmm"))</f>
        <v/>
      </c>
      <c r="C94" s="62"/>
      <c r="D94" s="24"/>
      <c r="E94" s="58"/>
      <c r="F94" s="24"/>
      <c r="G94" s="61"/>
      <c r="H94" s="34"/>
      <c r="I94" s="26"/>
      <c r="J94" s="60"/>
      <c r="K94" s="24"/>
      <c r="L94" s="27"/>
      <c r="M94" s="26"/>
      <c r="N94" s="46"/>
      <c r="O94" s="25"/>
    </row>
    <row r="95" spans="1:15" ht="15.75" x14ac:dyDescent="0.25">
      <c r="A95" s="32" t="str">
        <f>IF(C95="","",COUNTA($C$4:C95))</f>
        <v/>
      </c>
      <c r="B95" s="32" t="str">
        <f t="shared" si="20"/>
        <v/>
      </c>
      <c r="C95" s="62"/>
      <c r="D95" s="24"/>
      <c r="E95" s="58"/>
      <c r="F95" s="24"/>
      <c r="G95" s="61"/>
      <c r="H95" s="34"/>
      <c r="I95" s="26"/>
      <c r="J95" s="60"/>
      <c r="K95" s="24"/>
      <c r="L95" s="27"/>
      <c r="M95" s="26"/>
      <c r="N95" s="46"/>
      <c r="O95" s="25"/>
    </row>
    <row r="96" spans="1:15" ht="15.75" x14ac:dyDescent="0.25">
      <c r="A96" s="32" t="str">
        <f>IF(C96="","",COUNTA($C$4:C96))</f>
        <v/>
      </c>
      <c r="B96" s="32" t="str">
        <f t="shared" si="20"/>
        <v/>
      </c>
      <c r="C96" s="62"/>
      <c r="D96" s="24"/>
      <c r="E96" s="58"/>
      <c r="F96" s="24"/>
      <c r="G96" s="61"/>
      <c r="H96" s="34"/>
      <c r="I96" s="26"/>
      <c r="J96" s="60"/>
      <c r="K96" s="24"/>
      <c r="L96" s="27"/>
      <c r="M96" s="26"/>
      <c r="N96" s="46"/>
      <c r="O96" s="25"/>
    </row>
    <row r="97" spans="1:15" ht="15.75" x14ac:dyDescent="0.25">
      <c r="A97" s="32" t="str">
        <f>IF(C97="","",COUNTA($C$4:C97))</f>
        <v/>
      </c>
      <c r="B97" s="32" t="str">
        <f t="shared" si="20"/>
        <v/>
      </c>
      <c r="C97" s="62"/>
      <c r="D97" s="24"/>
      <c r="E97" s="58"/>
      <c r="F97" s="24"/>
      <c r="G97" s="61"/>
      <c r="H97" s="34"/>
      <c r="I97" s="26"/>
      <c r="J97" s="60"/>
      <c r="K97" s="24"/>
      <c r="L97" s="27"/>
      <c r="M97" s="26"/>
      <c r="N97" s="46"/>
      <c r="O97" s="25"/>
    </row>
    <row r="98" spans="1:15" ht="15.75" x14ac:dyDescent="0.25">
      <c r="A98" s="32" t="str">
        <f>IF(C98="","",COUNTA($C$4:C98))</f>
        <v/>
      </c>
      <c r="B98" s="32" t="str">
        <f t="shared" si="20"/>
        <v/>
      </c>
      <c r="C98" s="62"/>
      <c r="D98" s="24"/>
      <c r="E98" s="58"/>
      <c r="F98" s="24"/>
      <c r="G98" s="61"/>
      <c r="H98" s="34"/>
      <c r="I98" s="26"/>
      <c r="J98" s="60"/>
      <c r="K98" s="24"/>
      <c r="L98" s="27"/>
      <c r="M98" s="26"/>
      <c r="N98" s="46"/>
      <c r="O98" s="25"/>
    </row>
    <row r="99" spans="1:15" ht="15.75" x14ac:dyDescent="0.25">
      <c r="A99" s="32" t="str">
        <f>IF(C99="","",COUNTA($C$4:C99))</f>
        <v/>
      </c>
      <c r="B99" s="32" t="str">
        <f t="shared" si="20"/>
        <v/>
      </c>
      <c r="C99" s="62"/>
      <c r="D99" s="24"/>
      <c r="E99" s="58"/>
      <c r="F99" s="24"/>
      <c r="G99" s="58"/>
      <c r="H99" s="34"/>
      <c r="I99" s="26"/>
      <c r="J99" s="60"/>
      <c r="K99" s="24"/>
      <c r="L99" s="27"/>
      <c r="M99" s="26"/>
      <c r="N99" s="46"/>
      <c r="O99" s="25"/>
    </row>
    <row r="100" spans="1:15" ht="15.75" x14ac:dyDescent="0.25">
      <c r="A100" s="32" t="str">
        <f>IF(C100="","",COUNTA($C$4:C100))</f>
        <v/>
      </c>
      <c r="B100" s="32" t="str">
        <f t="shared" si="20"/>
        <v/>
      </c>
      <c r="C100" s="62"/>
      <c r="D100" s="24"/>
      <c r="E100" s="58"/>
      <c r="F100" s="24"/>
      <c r="G100" s="58"/>
      <c r="H100" s="34"/>
      <c r="I100" s="26"/>
      <c r="J100" s="60"/>
      <c r="K100" s="24"/>
      <c r="L100" s="27"/>
      <c r="M100" s="26"/>
      <c r="N100" s="46"/>
      <c r="O100" s="25"/>
    </row>
    <row r="101" spans="1:15" ht="15.75" x14ac:dyDescent="0.25">
      <c r="A101" s="32" t="str">
        <f>IF(C101="","",COUNTA($C$4:C101))</f>
        <v/>
      </c>
      <c r="B101" s="32" t="str">
        <f t="shared" si="20"/>
        <v/>
      </c>
      <c r="C101" s="62"/>
      <c r="D101" s="24"/>
      <c r="E101" s="58"/>
      <c r="F101" s="24"/>
      <c r="G101" s="58"/>
      <c r="H101" s="34"/>
      <c r="I101" s="26"/>
      <c r="J101" s="60"/>
      <c r="K101" s="24"/>
      <c r="L101" s="27"/>
      <c r="M101" s="26"/>
      <c r="N101" s="46"/>
      <c r="O101" s="25"/>
    </row>
    <row r="102" spans="1:15" ht="15.75" x14ac:dyDescent="0.25">
      <c r="A102" s="32" t="str">
        <f>IF(C102="","",COUNTA($C$4:C102))</f>
        <v/>
      </c>
      <c r="B102" s="32" t="str">
        <f t="shared" si="20"/>
        <v/>
      </c>
      <c r="C102" s="62"/>
      <c r="D102" s="24"/>
      <c r="E102" s="58"/>
      <c r="F102" s="24"/>
      <c r="G102" s="58"/>
      <c r="H102" s="34"/>
      <c r="I102" s="26"/>
      <c r="J102" s="60"/>
      <c r="K102" s="24"/>
      <c r="L102" s="27"/>
      <c r="M102" s="26"/>
      <c r="N102" s="46"/>
      <c r="O102" s="25"/>
    </row>
    <row r="103" spans="1:15" ht="15.75" x14ac:dyDescent="0.25">
      <c r="A103" s="32" t="str">
        <f>IF(C103="","",COUNTA($C$4:C103))</f>
        <v/>
      </c>
      <c r="B103" s="32" t="str">
        <f t="shared" si="20"/>
        <v/>
      </c>
      <c r="C103" s="62"/>
      <c r="D103" s="24"/>
      <c r="E103" s="58"/>
      <c r="F103" s="24"/>
      <c r="G103" s="58"/>
      <c r="H103" s="34"/>
      <c r="I103" s="26"/>
      <c r="J103" s="60"/>
      <c r="K103" s="24"/>
      <c r="L103" s="27"/>
      <c r="M103" s="26"/>
      <c r="N103" s="46"/>
      <c r="O103" s="25"/>
    </row>
    <row r="104" spans="1:15" ht="15.75" x14ac:dyDescent="0.25">
      <c r="A104" s="32" t="str">
        <f>IF(C104="","",COUNTA($C$4:C104))</f>
        <v/>
      </c>
      <c r="B104" s="32" t="str">
        <f t="shared" si="20"/>
        <v/>
      </c>
      <c r="C104" s="62"/>
      <c r="D104" s="24"/>
      <c r="E104" s="58"/>
      <c r="F104" s="24"/>
      <c r="G104" s="61"/>
      <c r="H104" s="34"/>
      <c r="I104" s="26"/>
      <c r="J104" s="60"/>
      <c r="K104" s="24"/>
      <c r="L104" s="27"/>
      <c r="M104" s="26"/>
      <c r="N104" s="46"/>
      <c r="O104" s="25"/>
    </row>
    <row r="105" spans="1:15" ht="15.75" x14ac:dyDescent="0.25">
      <c r="A105" s="32" t="str">
        <f>IF(C105="","",COUNTA($C$4:C105))</f>
        <v/>
      </c>
      <c r="B105" s="32" t="str">
        <f t="shared" si="20"/>
        <v/>
      </c>
      <c r="C105" s="62"/>
      <c r="D105" s="24"/>
      <c r="E105" s="58"/>
      <c r="F105" s="24"/>
      <c r="G105" s="61"/>
      <c r="H105" s="34"/>
      <c r="I105" s="26"/>
      <c r="J105" s="60"/>
      <c r="K105" s="24"/>
      <c r="L105" s="27"/>
      <c r="M105" s="26"/>
      <c r="N105" s="46"/>
      <c r="O105" s="25"/>
    </row>
    <row r="106" spans="1:15" ht="15.75" x14ac:dyDescent="0.25">
      <c r="A106" s="32" t="str">
        <f>IF(C106="","",COUNTA($C$4:C106))</f>
        <v/>
      </c>
      <c r="B106" s="32" t="str">
        <f t="shared" ref="B106:B107" si="26">IF(C106="","",TEXT(C106,"mmmm"))</f>
        <v/>
      </c>
      <c r="C106" s="62"/>
      <c r="D106" s="24"/>
      <c r="E106" s="58"/>
      <c r="F106" s="24"/>
      <c r="G106" s="61"/>
      <c r="H106" s="34"/>
      <c r="I106" s="26"/>
      <c r="J106" s="60"/>
      <c r="K106" s="24"/>
      <c r="L106" s="27"/>
      <c r="M106" s="26"/>
      <c r="N106" s="46"/>
      <c r="O106" s="25"/>
    </row>
    <row r="107" spans="1:15" ht="15.75" x14ac:dyDescent="0.25">
      <c r="A107" s="32" t="str">
        <f>IF(C107="","",COUNTA($C$4:C107))</f>
        <v/>
      </c>
      <c r="B107" s="32" t="str">
        <f t="shared" si="26"/>
        <v/>
      </c>
      <c r="C107" s="62"/>
      <c r="D107" s="24"/>
      <c r="E107" s="58"/>
      <c r="F107" s="24"/>
      <c r="G107" s="34"/>
      <c r="H107" s="34"/>
      <c r="I107" s="26"/>
      <c r="J107" s="60"/>
      <c r="K107" s="24"/>
      <c r="L107" s="27"/>
      <c r="M107" s="26"/>
      <c r="N107" s="46"/>
      <c r="O107" s="25"/>
    </row>
    <row r="108" spans="1:15" ht="15.75" x14ac:dyDescent="0.25">
      <c r="A108" s="32" t="str">
        <f>IF(C108="","",COUNTA($C$4:C108))</f>
        <v/>
      </c>
      <c r="B108" s="32" t="str">
        <f t="shared" si="20"/>
        <v/>
      </c>
      <c r="C108" s="62"/>
      <c r="D108" s="24"/>
      <c r="E108" s="58"/>
      <c r="F108" s="24"/>
      <c r="G108" s="58"/>
      <c r="H108" s="34"/>
      <c r="I108" s="26"/>
      <c r="J108" s="60"/>
      <c r="K108" s="24"/>
      <c r="L108" s="27"/>
      <c r="M108" s="26"/>
      <c r="N108" s="46"/>
      <c r="O108" s="25"/>
    </row>
    <row r="109" spans="1:15" ht="15.75" x14ac:dyDescent="0.25">
      <c r="A109" s="32" t="str">
        <f>IF(C109="","",COUNTA($C$4:C109))</f>
        <v/>
      </c>
      <c r="B109" s="32" t="str">
        <f t="shared" si="20"/>
        <v/>
      </c>
      <c r="C109" s="62"/>
      <c r="D109" s="24"/>
      <c r="E109" s="58"/>
      <c r="F109" s="24"/>
      <c r="G109" s="58"/>
      <c r="H109" s="34"/>
      <c r="I109" s="26"/>
      <c r="J109" s="60"/>
      <c r="K109" s="24"/>
      <c r="L109" s="27"/>
      <c r="M109" s="26"/>
      <c r="N109" s="46"/>
      <c r="O109" s="25"/>
    </row>
    <row r="110" spans="1:15" ht="15.75" x14ac:dyDescent="0.25">
      <c r="A110" s="32" t="str">
        <f>IF(C110="","",COUNTA($C$4:C110))</f>
        <v/>
      </c>
      <c r="B110" s="32" t="str">
        <f t="shared" si="20"/>
        <v/>
      </c>
      <c r="C110" s="62"/>
      <c r="D110" s="24"/>
      <c r="E110" s="58"/>
      <c r="F110" s="24"/>
      <c r="G110" s="58"/>
      <c r="H110" s="34"/>
      <c r="I110" s="26"/>
      <c r="J110" s="60"/>
      <c r="K110" s="24"/>
      <c r="L110" s="27"/>
      <c r="M110" s="26"/>
      <c r="N110" s="46"/>
      <c r="O110" s="25"/>
    </row>
    <row r="111" spans="1:15" ht="15.75" x14ac:dyDescent="0.25">
      <c r="A111" s="32" t="str">
        <f>IF(C111="","",COUNTA($C$4:C111))</f>
        <v/>
      </c>
      <c r="B111" s="32" t="str">
        <f t="shared" si="20"/>
        <v/>
      </c>
      <c r="C111" s="62"/>
      <c r="D111" s="24"/>
      <c r="E111" s="58"/>
      <c r="F111" s="24"/>
      <c r="G111" s="58"/>
      <c r="H111" s="34"/>
      <c r="I111" s="26"/>
      <c r="J111" s="60"/>
      <c r="K111" s="24"/>
      <c r="L111" s="27"/>
      <c r="M111" s="26"/>
      <c r="N111" s="46"/>
      <c r="O111" s="25"/>
    </row>
    <row r="112" spans="1:15" ht="15.75" x14ac:dyDescent="0.25">
      <c r="A112" s="32" t="str">
        <f>IF(C112="","",COUNTA($C$4:C112))</f>
        <v/>
      </c>
      <c r="B112" s="32" t="str">
        <f t="shared" si="20"/>
        <v/>
      </c>
      <c r="C112" s="62"/>
      <c r="D112" s="24"/>
      <c r="E112" s="58"/>
      <c r="F112" s="24"/>
      <c r="G112" s="58"/>
      <c r="H112" s="34"/>
      <c r="I112" s="26"/>
      <c r="J112" s="60"/>
      <c r="K112" s="24"/>
      <c r="L112" s="27"/>
      <c r="M112" s="26"/>
      <c r="N112" s="46"/>
      <c r="O112" s="25"/>
    </row>
    <row r="113" spans="1:15" ht="15.75" x14ac:dyDescent="0.25">
      <c r="A113" s="32" t="str">
        <f>IF(C113="","",COUNTA($C$4:C113))</f>
        <v/>
      </c>
      <c r="B113" s="32" t="str">
        <f t="shared" si="20"/>
        <v/>
      </c>
      <c r="C113" s="62"/>
      <c r="D113" s="24"/>
      <c r="E113" s="58"/>
      <c r="F113" s="24"/>
      <c r="G113" s="58"/>
      <c r="H113" s="34"/>
      <c r="I113" s="26"/>
      <c r="J113" s="60"/>
      <c r="K113" s="24"/>
      <c r="L113" s="27"/>
      <c r="M113" s="26"/>
      <c r="N113" s="46"/>
      <c r="O113" s="25"/>
    </row>
    <row r="114" spans="1:15" ht="15.75" x14ac:dyDescent="0.25">
      <c r="A114" s="32" t="str">
        <f>IF(C114="","",COUNTA($C$4:C114))</f>
        <v/>
      </c>
      <c r="B114" s="32" t="str">
        <f t="shared" si="20"/>
        <v/>
      </c>
      <c r="C114" s="62"/>
      <c r="D114" s="24"/>
      <c r="E114" s="58"/>
      <c r="F114" s="24"/>
      <c r="G114" s="58"/>
      <c r="H114" s="34"/>
      <c r="I114" s="26"/>
      <c r="J114" s="60"/>
      <c r="K114" s="24"/>
      <c r="L114" s="27"/>
      <c r="M114" s="26"/>
      <c r="N114" s="46"/>
      <c r="O114" s="25"/>
    </row>
    <row r="115" spans="1:15" ht="15.75" x14ac:dyDescent="0.25">
      <c r="A115" s="32" t="str">
        <f>IF(C115="","",COUNTA($C$4:C115))</f>
        <v/>
      </c>
      <c r="B115" s="32" t="str">
        <f t="shared" si="20"/>
        <v/>
      </c>
      <c r="C115" s="62"/>
      <c r="D115" s="24"/>
      <c r="E115" s="58"/>
      <c r="F115" s="24"/>
      <c r="G115" s="58"/>
      <c r="H115" s="34"/>
      <c r="I115" s="26"/>
      <c r="J115" s="60"/>
      <c r="K115" s="24"/>
      <c r="L115" s="27"/>
      <c r="M115" s="26"/>
      <c r="N115" s="46"/>
      <c r="O115" s="25"/>
    </row>
    <row r="116" spans="1:15" ht="15.75" x14ac:dyDescent="0.25">
      <c r="A116" s="32" t="str">
        <f>IF(C116="","",COUNTA($C$4:C116))</f>
        <v/>
      </c>
      <c r="B116" s="32" t="str">
        <f t="shared" si="20"/>
        <v/>
      </c>
      <c r="C116" s="62"/>
      <c r="D116" s="24"/>
      <c r="E116" s="58"/>
      <c r="F116" s="24"/>
      <c r="G116" s="58"/>
      <c r="H116" s="34"/>
      <c r="I116" s="26"/>
      <c r="J116" s="60"/>
      <c r="K116" s="24"/>
      <c r="L116" s="27"/>
      <c r="M116" s="26"/>
      <c r="N116" s="46"/>
      <c r="O116" s="25"/>
    </row>
    <row r="117" spans="1:15" ht="15.75" x14ac:dyDescent="0.25">
      <c r="A117" s="32" t="str">
        <f>IF(C117="","",COUNTA($C$4:C117))</f>
        <v/>
      </c>
      <c r="B117" s="32" t="str">
        <f t="shared" si="20"/>
        <v/>
      </c>
      <c r="C117" s="62"/>
      <c r="D117" s="24"/>
      <c r="E117" s="58"/>
      <c r="F117" s="24"/>
      <c r="G117" s="58"/>
      <c r="H117" s="34"/>
      <c r="I117" s="26"/>
      <c r="J117" s="60"/>
      <c r="K117" s="24"/>
      <c r="L117" s="27"/>
      <c r="M117" s="26"/>
      <c r="N117" s="46"/>
      <c r="O117" s="25"/>
    </row>
    <row r="118" spans="1:15" ht="15.75" x14ac:dyDescent="0.25">
      <c r="A118" s="32" t="str">
        <f>IF(C118="","",COUNTA($C$4:C118))</f>
        <v/>
      </c>
      <c r="B118" s="32" t="str">
        <f t="shared" si="20"/>
        <v/>
      </c>
      <c r="C118" s="62"/>
      <c r="D118" s="24"/>
      <c r="E118" s="58"/>
      <c r="F118" s="24"/>
      <c r="G118" s="58"/>
      <c r="H118" s="34"/>
      <c r="I118" s="26"/>
      <c r="J118" s="60"/>
      <c r="K118" s="24"/>
      <c r="L118" s="27"/>
      <c r="M118" s="26"/>
      <c r="N118" s="46"/>
      <c r="O118" s="25"/>
    </row>
    <row r="119" spans="1:15" ht="15.75" x14ac:dyDescent="0.25">
      <c r="A119" s="32" t="str">
        <f>IF(C119="","",COUNTA($C$4:C119))</f>
        <v/>
      </c>
      <c r="B119" s="32" t="str">
        <f t="shared" si="20"/>
        <v/>
      </c>
      <c r="C119" s="62"/>
      <c r="D119" s="24"/>
      <c r="E119" s="58"/>
      <c r="F119" s="24"/>
      <c r="G119" s="58"/>
      <c r="H119" s="34"/>
      <c r="I119" s="26"/>
      <c r="J119" s="60"/>
      <c r="K119" s="24"/>
      <c r="L119" s="27"/>
      <c r="M119" s="26"/>
      <c r="N119" s="46"/>
      <c r="O119" s="25"/>
    </row>
    <row r="120" spans="1:15" ht="15.75" x14ac:dyDescent="0.25">
      <c r="A120" s="32" t="str">
        <f>IF(C120="","",COUNTA($C$4:C120))</f>
        <v/>
      </c>
      <c r="B120" s="32" t="str">
        <f t="shared" si="20"/>
        <v/>
      </c>
      <c r="C120" s="62"/>
      <c r="D120" s="24"/>
      <c r="E120" s="58"/>
      <c r="F120" s="24"/>
      <c r="G120" s="58"/>
      <c r="H120" s="34"/>
      <c r="I120" s="26"/>
      <c r="J120" s="60"/>
      <c r="K120" s="24"/>
      <c r="L120" s="27"/>
      <c r="M120" s="26"/>
      <c r="N120" s="46"/>
      <c r="O120" s="25"/>
    </row>
    <row r="121" spans="1:15" ht="15.75" x14ac:dyDescent="0.25">
      <c r="A121" s="32" t="str">
        <f>IF(C121="","",COUNTA($C$4:C121))</f>
        <v/>
      </c>
      <c r="B121" s="32" t="str">
        <f t="shared" si="20"/>
        <v/>
      </c>
      <c r="C121" s="62"/>
      <c r="D121" s="24"/>
      <c r="E121" s="58"/>
      <c r="F121" s="24"/>
      <c r="G121" s="61"/>
      <c r="H121" s="34"/>
      <c r="I121" s="26"/>
      <c r="J121" s="60"/>
      <c r="K121" s="24"/>
      <c r="L121" s="27"/>
      <c r="M121" s="26"/>
      <c r="N121" s="46"/>
      <c r="O121" s="25"/>
    </row>
    <row r="122" spans="1:15" ht="15.75" x14ac:dyDescent="0.25">
      <c r="A122" s="32" t="str">
        <f>IF(C122="","",COUNTA($C$4:C122))</f>
        <v/>
      </c>
      <c r="B122" s="32" t="str">
        <f t="shared" si="20"/>
        <v/>
      </c>
      <c r="C122" s="62"/>
      <c r="D122" s="24"/>
      <c r="E122" s="58"/>
      <c r="F122" s="24"/>
      <c r="G122" s="61"/>
      <c r="H122" s="34"/>
      <c r="I122" s="26"/>
      <c r="J122" s="60"/>
      <c r="K122" s="24"/>
      <c r="L122" s="27"/>
      <c r="M122" s="26"/>
      <c r="N122" s="46"/>
      <c r="O122" s="25"/>
    </row>
    <row r="123" spans="1:15" ht="15.75" x14ac:dyDescent="0.25">
      <c r="A123" s="32" t="str">
        <f>IF(C123="","",COUNTA($C$4:C123))</f>
        <v/>
      </c>
      <c r="B123" s="32" t="str">
        <f t="shared" si="20"/>
        <v/>
      </c>
      <c r="C123" s="62"/>
      <c r="D123" s="24"/>
      <c r="E123" s="58"/>
      <c r="F123" s="24"/>
      <c r="G123" s="61"/>
      <c r="H123" s="34"/>
      <c r="I123" s="26"/>
      <c r="J123" s="60"/>
      <c r="K123" s="24"/>
      <c r="L123" s="27"/>
      <c r="M123" s="26"/>
      <c r="N123" s="46"/>
      <c r="O123" s="25"/>
    </row>
    <row r="124" spans="1:15" ht="15.75" x14ac:dyDescent="0.25">
      <c r="A124" s="32" t="str">
        <f>IF(C124="","",COUNTA($C$4:C124))</f>
        <v/>
      </c>
      <c r="B124" s="32" t="str">
        <f t="shared" ref="B124" si="27">IF(C124="","",TEXT(C124,"mmmm"))</f>
        <v/>
      </c>
      <c r="C124" s="62"/>
      <c r="D124" s="24"/>
      <c r="E124" s="58"/>
      <c r="F124" s="24"/>
      <c r="G124" s="61"/>
      <c r="H124" s="34"/>
      <c r="I124" s="26"/>
      <c r="J124" s="60"/>
      <c r="K124" s="24"/>
      <c r="L124" s="27"/>
      <c r="M124" s="26"/>
      <c r="N124" s="46"/>
      <c r="O124" s="25"/>
    </row>
    <row r="125" spans="1:15" ht="15.75" x14ac:dyDescent="0.25">
      <c r="A125" s="32" t="str">
        <f>IF(C125="","",COUNTA($C$4:C125))</f>
        <v/>
      </c>
      <c r="B125" s="32" t="str">
        <f t="shared" ref="B125:B126" si="28">IF(C125="","",TEXT(C125,"mmmm"))</f>
        <v/>
      </c>
      <c r="C125" s="62"/>
      <c r="D125" s="24"/>
      <c r="E125" s="58"/>
      <c r="F125" s="24"/>
      <c r="G125" s="61"/>
      <c r="H125" s="34"/>
      <c r="I125" s="26"/>
      <c r="J125" s="60"/>
      <c r="K125" s="24"/>
      <c r="L125" s="27"/>
      <c r="M125" s="26"/>
      <c r="N125" s="46"/>
      <c r="O125" s="25"/>
    </row>
    <row r="126" spans="1:15" ht="15.75" x14ac:dyDescent="0.25">
      <c r="A126" s="32" t="str">
        <f>IF(C126="","",COUNTA($C$4:C126))</f>
        <v/>
      </c>
      <c r="B126" s="32" t="str">
        <f t="shared" si="28"/>
        <v/>
      </c>
      <c r="C126" s="62"/>
      <c r="D126" s="24"/>
      <c r="E126" s="58"/>
      <c r="F126" s="24"/>
      <c r="G126" s="58"/>
      <c r="H126" s="48"/>
      <c r="I126" s="26"/>
      <c r="J126" s="60"/>
      <c r="K126" s="24"/>
      <c r="L126" s="27"/>
      <c r="M126" s="26"/>
      <c r="N126" s="46"/>
      <c r="O126" s="25"/>
    </row>
    <row r="127" spans="1:15" ht="15.75" x14ac:dyDescent="0.25">
      <c r="A127" s="32" t="str">
        <f>IF(C127="","",COUNTA($C$4:C127))</f>
        <v/>
      </c>
      <c r="B127" s="32" t="str">
        <f t="shared" si="20"/>
        <v/>
      </c>
      <c r="C127" s="62"/>
      <c r="D127" s="24"/>
      <c r="E127" s="58"/>
      <c r="F127" s="24"/>
      <c r="G127" s="58"/>
      <c r="H127" s="34"/>
      <c r="I127" s="26"/>
      <c r="J127" s="60"/>
      <c r="K127" s="24"/>
      <c r="L127" s="27"/>
      <c r="M127" s="26"/>
      <c r="N127" s="46"/>
      <c r="O127" s="25"/>
    </row>
    <row r="128" spans="1:15" ht="15.75" x14ac:dyDescent="0.25">
      <c r="A128" s="32" t="str">
        <f>IF(C128="","",COUNTA($C$4:C128))</f>
        <v/>
      </c>
      <c r="B128" s="32" t="str">
        <f t="shared" si="20"/>
        <v/>
      </c>
      <c r="C128" s="62"/>
      <c r="D128" s="24"/>
      <c r="E128" s="58"/>
      <c r="F128" s="24"/>
      <c r="G128" s="58"/>
      <c r="H128" s="34"/>
      <c r="I128" s="26"/>
      <c r="J128" s="60"/>
      <c r="K128" s="24"/>
      <c r="L128" s="27"/>
      <c r="M128" s="26"/>
      <c r="N128" s="46"/>
      <c r="O128" s="25"/>
    </row>
    <row r="129" spans="1:15" ht="15.75" x14ac:dyDescent="0.25">
      <c r="A129" s="32" t="str">
        <f>IF(C129="","",COUNTA($C$4:C129))</f>
        <v/>
      </c>
      <c r="B129" s="32" t="str">
        <f t="shared" si="20"/>
        <v/>
      </c>
      <c r="C129" s="62"/>
      <c r="D129" s="24"/>
      <c r="E129" s="58"/>
      <c r="F129" s="24"/>
      <c r="G129" s="58"/>
      <c r="H129" s="34"/>
      <c r="I129" s="26"/>
      <c r="J129" s="60"/>
      <c r="K129" s="24"/>
      <c r="L129" s="27"/>
      <c r="M129" s="26"/>
      <c r="N129" s="46"/>
      <c r="O129" s="25"/>
    </row>
    <row r="130" spans="1:15" ht="15.75" x14ac:dyDescent="0.25">
      <c r="A130" s="32" t="str">
        <f>IF(C130="","",COUNTA($C$4:C130))</f>
        <v/>
      </c>
      <c r="B130" s="32" t="str">
        <f t="shared" si="20"/>
        <v/>
      </c>
      <c r="C130" s="62"/>
      <c r="D130" s="24"/>
      <c r="E130" s="58"/>
      <c r="F130" s="24"/>
      <c r="G130" s="58"/>
      <c r="H130" s="34"/>
      <c r="I130" s="26"/>
      <c r="J130" s="60"/>
      <c r="K130" s="24"/>
      <c r="L130" s="27"/>
      <c r="M130" s="26"/>
      <c r="N130" s="46"/>
      <c r="O130" s="25"/>
    </row>
    <row r="131" spans="1:15" ht="15.75" x14ac:dyDescent="0.25">
      <c r="A131" s="32" t="str">
        <f>IF(C131="","",COUNTA($C$4:C131))</f>
        <v/>
      </c>
      <c r="B131" s="32" t="str">
        <f t="shared" si="20"/>
        <v/>
      </c>
      <c r="C131" s="62"/>
      <c r="D131" s="24"/>
      <c r="E131" s="58"/>
      <c r="F131" s="24"/>
      <c r="G131" s="58"/>
      <c r="H131" s="34"/>
      <c r="I131" s="26"/>
      <c r="J131" s="60"/>
      <c r="K131" s="24"/>
      <c r="L131" s="27"/>
      <c r="M131" s="26"/>
      <c r="N131" s="46"/>
      <c r="O131" s="25"/>
    </row>
    <row r="132" spans="1:15" ht="15.75" x14ac:dyDescent="0.25">
      <c r="A132" s="32" t="str">
        <f>IF(C132="","",COUNTA($C$4:C132))</f>
        <v/>
      </c>
      <c r="B132" s="32" t="str">
        <f t="shared" si="20"/>
        <v/>
      </c>
      <c r="C132" s="62"/>
      <c r="D132" s="24"/>
      <c r="E132" s="58"/>
      <c r="F132" s="24"/>
      <c r="G132" s="58"/>
      <c r="H132" s="34"/>
      <c r="I132" s="26"/>
      <c r="J132" s="60"/>
      <c r="K132" s="24"/>
      <c r="L132" s="27"/>
      <c r="M132" s="26"/>
      <c r="N132" s="46"/>
      <c r="O132" s="25"/>
    </row>
    <row r="133" spans="1:15" ht="15.75" x14ac:dyDescent="0.25">
      <c r="A133" s="32" t="str">
        <f>IF(C133="","",COUNTA($C$4:C133))</f>
        <v/>
      </c>
      <c r="B133" s="32" t="str">
        <f t="shared" si="20"/>
        <v/>
      </c>
      <c r="C133" s="62"/>
      <c r="D133" s="24"/>
      <c r="E133" s="58"/>
      <c r="F133" s="24"/>
      <c r="G133" s="58"/>
      <c r="H133" s="34"/>
      <c r="I133" s="26"/>
      <c r="J133" s="60"/>
      <c r="K133" s="24"/>
      <c r="L133" s="27"/>
      <c r="M133" s="26"/>
      <c r="N133" s="46"/>
      <c r="O133" s="25"/>
    </row>
    <row r="134" spans="1:15" ht="15.75" x14ac:dyDescent="0.25">
      <c r="A134" s="32" t="str">
        <f>IF(C134="","",COUNTA($C$4:C134))</f>
        <v/>
      </c>
      <c r="B134" s="32" t="str">
        <f t="shared" si="20"/>
        <v/>
      </c>
      <c r="C134" s="62"/>
      <c r="D134" s="24"/>
      <c r="E134" s="58"/>
      <c r="F134" s="24"/>
      <c r="G134" s="58"/>
      <c r="H134" s="34"/>
      <c r="I134" s="26"/>
      <c r="J134" s="60"/>
      <c r="K134" s="24"/>
      <c r="L134" s="27"/>
      <c r="M134" s="26"/>
      <c r="N134" s="46"/>
      <c r="O134" s="25"/>
    </row>
    <row r="135" spans="1:15" ht="15.75" x14ac:dyDescent="0.25">
      <c r="A135" s="32" t="str">
        <f>IF(C135="","",COUNTA($C$4:C135))</f>
        <v/>
      </c>
      <c r="B135" s="32" t="str">
        <f t="shared" si="20"/>
        <v/>
      </c>
      <c r="C135" s="62"/>
      <c r="D135" s="24"/>
      <c r="E135" s="58"/>
      <c r="F135" s="24"/>
      <c r="G135" s="58"/>
      <c r="H135" s="34"/>
      <c r="I135" s="26"/>
      <c r="J135" s="60"/>
      <c r="K135" s="24"/>
      <c r="L135" s="27"/>
      <c r="M135" s="26"/>
      <c r="N135" s="46"/>
      <c r="O135" s="25"/>
    </row>
    <row r="136" spans="1:15" ht="15.75" x14ac:dyDescent="0.25">
      <c r="A136" s="32" t="str">
        <f>IF(C136="","",COUNTA($C$4:C136))</f>
        <v/>
      </c>
      <c r="B136" s="32" t="str">
        <f t="shared" si="20"/>
        <v/>
      </c>
      <c r="C136" s="62"/>
      <c r="D136" s="24"/>
      <c r="E136" s="58"/>
      <c r="F136" s="24"/>
      <c r="G136" s="58"/>
      <c r="H136" s="34"/>
      <c r="I136" s="26"/>
      <c r="J136" s="60"/>
      <c r="K136" s="24"/>
      <c r="L136" s="27"/>
      <c r="M136" s="26"/>
      <c r="N136" s="46"/>
      <c r="O136" s="25"/>
    </row>
    <row r="137" spans="1:15" ht="15.75" x14ac:dyDescent="0.25">
      <c r="A137" s="32" t="str">
        <f>IF(C137="","",COUNTA($C$4:C137))</f>
        <v/>
      </c>
      <c r="B137" s="32" t="str">
        <f t="shared" si="20"/>
        <v/>
      </c>
      <c r="C137" s="62"/>
      <c r="D137" s="24"/>
      <c r="E137" s="58"/>
      <c r="F137" s="24"/>
      <c r="G137" s="58"/>
      <c r="H137" s="34"/>
      <c r="I137" s="26"/>
      <c r="J137" s="60"/>
      <c r="K137" s="24"/>
      <c r="L137" s="27"/>
      <c r="M137" s="26"/>
      <c r="N137" s="46"/>
      <c r="O137" s="25"/>
    </row>
    <row r="138" spans="1:15" ht="15.75" x14ac:dyDescent="0.25">
      <c r="A138" s="32" t="str">
        <f>IF(C138="","",COUNTA($C$4:C138))</f>
        <v/>
      </c>
      <c r="B138" s="32" t="str">
        <f t="shared" si="20"/>
        <v/>
      </c>
      <c r="C138" s="62"/>
      <c r="D138" s="24"/>
      <c r="E138" s="58"/>
      <c r="F138" s="69"/>
      <c r="G138" s="58"/>
      <c r="H138" s="34"/>
      <c r="I138" s="26"/>
      <c r="J138" s="60"/>
      <c r="K138" s="24"/>
      <c r="L138" s="27"/>
      <c r="M138" s="26"/>
      <c r="N138" s="46"/>
      <c r="O138" s="25"/>
    </row>
    <row r="139" spans="1:15" ht="15.75" x14ac:dyDescent="0.25">
      <c r="A139" s="32" t="str">
        <f>IF(C139="","",COUNTA($C$4:C139))</f>
        <v/>
      </c>
      <c r="B139" s="32" t="str">
        <f t="shared" si="20"/>
        <v/>
      </c>
      <c r="C139" s="62"/>
      <c r="D139" s="24"/>
      <c r="E139" s="58"/>
      <c r="F139" s="24"/>
      <c r="G139" s="58"/>
      <c r="H139" s="34"/>
      <c r="I139" s="26"/>
      <c r="J139" s="60"/>
      <c r="K139" s="24"/>
      <c r="L139" s="27"/>
      <c r="M139" s="26"/>
      <c r="N139" s="46"/>
      <c r="O139" s="25"/>
    </row>
    <row r="140" spans="1:15" ht="15.75" x14ac:dyDescent="0.25">
      <c r="A140" s="32" t="str">
        <f>IF(C140="","",COUNTA($C$4:C140))</f>
        <v/>
      </c>
      <c r="B140" s="32" t="str">
        <f t="shared" ref="B140:B141" si="29">IF(C140="","",TEXT(C140,"mmmm"))</f>
        <v/>
      </c>
      <c r="C140" s="62"/>
      <c r="D140" s="24"/>
      <c r="E140" s="58"/>
      <c r="F140" s="24"/>
      <c r="G140" s="58"/>
      <c r="H140" s="34"/>
      <c r="I140" s="26"/>
      <c r="J140" s="60"/>
      <c r="K140" s="24"/>
      <c r="L140" s="27"/>
      <c r="M140" s="26"/>
      <c r="N140" s="46"/>
      <c r="O140" s="25"/>
    </row>
    <row r="141" spans="1:15" ht="15.75" x14ac:dyDescent="0.25">
      <c r="A141" s="32" t="str">
        <f>IF(C141="","",COUNTA($C$4:C141))</f>
        <v/>
      </c>
      <c r="B141" s="32" t="str">
        <f t="shared" si="29"/>
        <v/>
      </c>
      <c r="C141" s="62"/>
      <c r="D141" s="24"/>
      <c r="E141" s="58"/>
      <c r="F141" s="24"/>
      <c r="G141" s="58"/>
      <c r="H141" s="34"/>
      <c r="I141" s="26"/>
      <c r="J141" s="60"/>
      <c r="K141" s="24"/>
      <c r="L141" s="27"/>
      <c r="M141" s="26"/>
      <c r="N141" s="46"/>
      <c r="O141" s="25"/>
    </row>
    <row r="142" spans="1:15" ht="15.75" x14ac:dyDescent="0.25">
      <c r="A142" s="32" t="str">
        <f>IF(C142="","",COUNTA($C$4:C142))</f>
        <v/>
      </c>
      <c r="B142" s="32" t="str">
        <f t="shared" si="20"/>
        <v/>
      </c>
      <c r="C142" s="62"/>
      <c r="D142" s="24"/>
      <c r="E142" s="58"/>
      <c r="F142" s="24"/>
      <c r="G142" s="58"/>
      <c r="H142" s="34"/>
      <c r="I142" s="26"/>
      <c r="J142" s="60"/>
      <c r="K142" s="24"/>
      <c r="L142" s="27"/>
      <c r="M142" s="26"/>
      <c r="N142" s="46"/>
      <c r="O142" s="25"/>
    </row>
    <row r="143" spans="1:15" ht="15.75" x14ac:dyDescent="0.25">
      <c r="A143" s="32" t="str">
        <f>IF(C143="","",COUNTA($C$4:C143))</f>
        <v/>
      </c>
      <c r="B143" s="32" t="str">
        <f t="shared" si="20"/>
        <v/>
      </c>
      <c r="C143" s="62"/>
      <c r="D143" s="24"/>
      <c r="E143" s="58"/>
      <c r="F143" s="24"/>
      <c r="G143" s="58"/>
      <c r="H143" s="34"/>
      <c r="I143" s="26"/>
      <c r="J143" s="24"/>
      <c r="K143" s="24"/>
      <c r="L143" s="27"/>
      <c r="M143" s="26"/>
      <c r="N143" s="46"/>
      <c r="O143" s="25"/>
    </row>
    <row r="144" spans="1:15" ht="15.75" x14ac:dyDescent="0.25">
      <c r="A144" s="32" t="str">
        <f>IF(C144="","",COUNTA($C$4:C144))</f>
        <v/>
      </c>
      <c r="B144" s="32" t="str">
        <f t="shared" si="20"/>
        <v/>
      </c>
      <c r="C144" s="62"/>
      <c r="D144" s="24"/>
      <c r="E144" s="58"/>
      <c r="F144" s="24"/>
      <c r="G144" s="58"/>
      <c r="H144" s="34"/>
      <c r="I144" s="26"/>
      <c r="J144" s="60"/>
      <c r="K144" s="24"/>
      <c r="L144" s="27"/>
      <c r="M144" s="26"/>
      <c r="N144" s="46"/>
      <c r="O144" s="25"/>
    </row>
    <row r="145" spans="1:15" ht="15.75" x14ac:dyDescent="0.25">
      <c r="A145" s="32" t="str">
        <f>IF(C145="","",COUNTA($C$4:C145))</f>
        <v/>
      </c>
      <c r="B145" s="32" t="str">
        <f t="shared" si="20"/>
        <v/>
      </c>
      <c r="C145" s="62"/>
      <c r="D145" s="24"/>
      <c r="E145" s="58"/>
      <c r="F145" s="24"/>
      <c r="G145" s="61"/>
      <c r="H145" s="34"/>
      <c r="I145" s="26"/>
      <c r="J145" s="60"/>
      <c r="K145" s="24"/>
      <c r="L145" s="27"/>
      <c r="M145" s="26"/>
      <c r="N145" s="46"/>
      <c r="O145" s="25"/>
    </row>
    <row r="146" spans="1:15" ht="15.75" x14ac:dyDescent="0.25">
      <c r="A146" s="32" t="str">
        <f>IF(C146="","",COUNTA($C$4:C146))</f>
        <v/>
      </c>
      <c r="B146" s="32" t="str">
        <f t="shared" si="20"/>
        <v/>
      </c>
      <c r="C146" s="62"/>
      <c r="D146" s="24"/>
      <c r="E146" s="58"/>
      <c r="F146" s="24"/>
      <c r="G146" s="61"/>
      <c r="H146" s="34"/>
      <c r="I146" s="26"/>
      <c r="J146" s="60"/>
      <c r="K146" s="24"/>
      <c r="L146" s="27"/>
      <c r="M146" s="26"/>
      <c r="N146" s="46"/>
      <c r="O146" s="25"/>
    </row>
    <row r="147" spans="1:15" ht="15.75" x14ac:dyDescent="0.25">
      <c r="A147" s="32" t="str">
        <f>IF(C147="","",COUNTA($C$4:C147))</f>
        <v/>
      </c>
      <c r="B147" s="32" t="str">
        <f t="shared" si="20"/>
        <v/>
      </c>
      <c r="C147" s="62"/>
      <c r="D147" s="24"/>
      <c r="E147" s="58"/>
      <c r="F147" s="24"/>
      <c r="G147" s="61"/>
      <c r="H147" s="34"/>
      <c r="I147" s="26"/>
      <c r="J147" s="60"/>
      <c r="K147" s="24"/>
      <c r="L147" s="27"/>
      <c r="M147" s="26"/>
      <c r="N147" s="46"/>
      <c r="O147" s="25"/>
    </row>
    <row r="148" spans="1:15" ht="15.75" x14ac:dyDescent="0.25">
      <c r="A148" s="32" t="str">
        <f>IF(C148="","",COUNTA($C$4:C148))</f>
        <v/>
      </c>
      <c r="B148" s="32" t="str">
        <f t="shared" si="20"/>
        <v/>
      </c>
      <c r="C148" s="62"/>
      <c r="D148" s="24"/>
      <c r="E148" s="58"/>
      <c r="F148" s="24"/>
      <c r="G148" s="61"/>
      <c r="H148" s="34"/>
      <c r="I148" s="26"/>
      <c r="J148" s="60"/>
      <c r="K148" s="24"/>
      <c r="L148" s="27"/>
      <c r="M148" s="26"/>
      <c r="N148" s="46"/>
      <c r="O148" s="25"/>
    </row>
    <row r="149" spans="1:15" ht="15.75" x14ac:dyDescent="0.25">
      <c r="A149" s="32" t="str">
        <f>IF(C149="","",COUNTA($C$4:C149))</f>
        <v/>
      </c>
      <c r="B149" s="32" t="str">
        <f t="shared" si="20"/>
        <v/>
      </c>
      <c r="C149" s="62"/>
      <c r="D149" s="24"/>
      <c r="E149" s="58"/>
      <c r="F149" s="24"/>
      <c r="G149" s="61"/>
      <c r="H149" s="34"/>
      <c r="I149" s="26"/>
      <c r="J149" s="60"/>
      <c r="K149" s="24"/>
      <c r="L149" s="27"/>
      <c r="M149" s="26"/>
      <c r="N149" s="46"/>
      <c r="O149" s="25"/>
    </row>
    <row r="150" spans="1:15" ht="15.75" x14ac:dyDescent="0.25">
      <c r="A150" s="32" t="str">
        <f>IF(C150="","",COUNTA($C$4:C150))</f>
        <v/>
      </c>
      <c r="B150" s="32" t="str">
        <f t="shared" si="20"/>
        <v/>
      </c>
      <c r="C150" s="62"/>
      <c r="D150" s="24"/>
      <c r="E150" s="58"/>
      <c r="F150" s="24"/>
      <c r="G150" s="61"/>
      <c r="H150" s="63"/>
      <c r="I150" s="26"/>
      <c r="J150" s="60"/>
      <c r="K150" s="24"/>
      <c r="L150" s="27"/>
      <c r="M150" s="26"/>
      <c r="N150" s="46"/>
      <c r="O150" s="25"/>
    </row>
    <row r="151" spans="1:15" ht="15.75" x14ac:dyDescent="0.25">
      <c r="A151" s="32" t="str">
        <f>IF(C151="","",COUNTA($C$4:C151))</f>
        <v/>
      </c>
      <c r="B151" s="32" t="str">
        <f t="shared" si="20"/>
        <v/>
      </c>
      <c r="C151" s="62"/>
      <c r="D151" s="24"/>
      <c r="E151" s="58"/>
      <c r="F151" s="24"/>
      <c r="G151" s="61"/>
      <c r="H151" s="34"/>
      <c r="I151" s="26"/>
      <c r="J151" s="60"/>
      <c r="K151" s="24"/>
      <c r="L151" s="27"/>
      <c r="M151" s="26"/>
      <c r="N151" s="46"/>
      <c r="O151" s="25"/>
    </row>
    <row r="152" spans="1:15" ht="15.75" x14ac:dyDescent="0.25">
      <c r="A152" s="32" t="str">
        <f>IF(C152="","",COUNTA($C$4:C152))</f>
        <v/>
      </c>
      <c r="B152" s="32" t="str">
        <f t="shared" si="20"/>
        <v/>
      </c>
      <c r="C152" s="62"/>
      <c r="D152" s="24"/>
      <c r="E152" s="58"/>
      <c r="F152" s="24"/>
      <c r="G152" s="58"/>
      <c r="H152" s="34"/>
      <c r="I152" s="26"/>
      <c r="J152" s="60"/>
      <c r="K152" s="24"/>
      <c r="L152" s="27"/>
      <c r="M152" s="26"/>
      <c r="N152" s="46"/>
      <c r="O152" s="25"/>
    </row>
    <row r="153" spans="1:15" ht="15.75" x14ac:dyDescent="0.25">
      <c r="A153" s="32" t="str">
        <f>IF(C153="","",COUNTA($C$4:C153))</f>
        <v/>
      </c>
      <c r="B153" s="32" t="str">
        <f t="shared" si="20"/>
        <v/>
      </c>
      <c r="C153" s="62"/>
      <c r="D153" s="24"/>
      <c r="E153" s="58"/>
      <c r="F153" s="24"/>
      <c r="G153" s="58"/>
      <c r="H153" s="34"/>
      <c r="I153" s="26"/>
      <c r="J153" s="60"/>
      <c r="K153" s="24"/>
      <c r="L153" s="27"/>
      <c r="M153" s="26"/>
      <c r="N153" s="46"/>
      <c r="O153" s="25"/>
    </row>
    <row r="154" spans="1:15" ht="15.75" x14ac:dyDescent="0.25">
      <c r="A154" s="32" t="str">
        <f>IF(C154="","",COUNTA($C$4:C154))</f>
        <v/>
      </c>
      <c r="B154" s="32" t="str">
        <f t="shared" si="20"/>
        <v/>
      </c>
      <c r="C154" s="62"/>
      <c r="D154" s="24"/>
      <c r="E154" s="58"/>
      <c r="F154" s="24"/>
      <c r="G154" s="58"/>
      <c r="H154" s="34"/>
      <c r="I154" s="26"/>
      <c r="J154" s="60"/>
      <c r="K154" s="24"/>
      <c r="L154" s="27"/>
      <c r="M154" s="26"/>
      <c r="N154" s="46"/>
      <c r="O154" s="25"/>
    </row>
    <row r="155" spans="1:15" ht="15.75" x14ac:dyDescent="0.25">
      <c r="A155" s="32" t="str">
        <f>IF(C155="","",COUNTA($C$4:C155))</f>
        <v/>
      </c>
      <c r="B155" s="32" t="str">
        <f t="shared" si="20"/>
        <v/>
      </c>
      <c r="C155" s="62"/>
      <c r="D155" s="24"/>
      <c r="E155" s="58"/>
      <c r="F155" s="24"/>
      <c r="G155" s="58"/>
      <c r="H155" s="34"/>
      <c r="I155" s="26"/>
      <c r="J155" s="60"/>
      <c r="K155" s="24"/>
      <c r="L155" s="27"/>
      <c r="M155" s="26"/>
      <c r="N155" s="46"/>
      <c r="O155" s="25"/>
    </row>
    <row r="156" spans="1:15" ht="15.75" x14ac:dyDescent="0.25">
      <c r="A156" s="32" t="str">
        <f>IF(C156="","",COUNTA($C$4:C156))</f>
        <v/>
      </c>
      <c r="B156" s="32" t="str">
        <f t="shared" si="20"/>
        <v/>
      </c>
      <c r="C156" s="62"/>
      <c r="D156" s="24"/>
      <c r="E156" s="58"/>
      <c r="F156" s="24"/>
      <c r="G156" s="58"/>
      <c r="H156" s="34"/>
      <c r="I156" s="26"/>
      <c r="J156" s="60"/>
      <c r="K156" s="24"/>
      <c r="L156" s="27"/>
      <c r="M156" s="26"/>
      <c r="N156" s="46"/>
      <c r="O156" s="25"/>
    </row>
    <row r="157" spans="1:15" ht="15.75" x14ac:dyDescent="0.25">
      <c r="A157" s="32" t="str">
        <f>IF(C157="","",COUNTA($C$4:C157))</f>
        <v/>
      </c>
      <c r="B157" s="32" t="str">
        <f t="shared" si="20"/>
        <v/>
      </c>
      <c r="C157" s="62"/>
      <c r="D157" s="24"/>
      <c r="E157" s="58"/>
      <c r="F157" s="24"/>
      <c r="G157" s="58"/>
      <c r="H157" s="34"/>
      <c r="I157" s="26"/>
      <c r="J157" s="60"/>
      <c r="K157" s="24"/>
      <c r="L157" s="27"/>
      <c r="M157" s="26"/>
      <c r="N157" s="46"/>
      <c r="O157" s="25"/>
    </row>
    <row r="158" spans="1:15" ht="15.75" x14ac:dyDescent="0.25">
      <c r="A158" s="32" t="str">
        <f>IF(C158="","",COUNTA($C$4:C158))</f>
        <v/>
      </c>
      <c r="B158" s="32" t="str">
        <f t="shared" ref="B158:B168" si="30">IF(C158="","",TEXT(C158,"mmmm"))</f>
        <v/>
      </c>
      <c r="C158" s="62"/>
      <c r="D158" s="24"/>
      <c r="E158" s="58"/>
      <c r="F158" s="24"/>
      <c r="G158" s="58"/>
      <c r="H158" s="34"/>
      <c r="I158" s="26"/>
      <c r="J158" s="60"/>
      <c r="K158" s="24"/>
      <c r="L158" s="27"/>
      <c r="M158" s="26"/>
      <c r="N158" s="46"/>
      <c r="O158" s="25"/>
    </row>
    <row r="159" spans="1:15" ht="15.75" x14ac:dyDescent="0.25">
      <c r="A159" s="32" t="str">
        <f>IF(C159="","",COUNTA($C$4:C159))</f>
        <v/>
      </c>
      <c r="B159" s="32" t="str">
        <f t="shared" si="30"/>
        <v/>
      </c>
      <c r="C159" s="62"/>
      <c r="D159" s="24"/>
      <c r="E159" s="58"/>
      <c r="F159" s="24"/>
      <c r="G159" s="58"/>
      <c r="H159" s="34"/>
      <c r="I159" s="26"/>
      <c r="J159" s="60"/>
      <c r="K159" s="24"/>
      <c r="L159" s="27"/>
      <c r="M159" s="26"/>
      <c r="N159" s="46"/>
      <c r="O159" s="25"/>
    </row>
    <row r="160" spans="1:15" ht="15.75" x14ac:dyDescent="0.25">
      <c r="A160" s="32" t="str">
        <f>IF(C160="","",COUNTA($C$4:C160))</f>
        <v/>
      </c>
      <c r="B160" s="32" t="str">
        <f t="shared" si="30"/>
        <v/>
      </c>
      <c r="C160" s="62"/>
      <c r="D160" s="24"/>
      <c r="E160" s="58"/>
      <c r="F160" s="24"/>
      <c r="G160" s="58"/>
      <c r="H160" s="34"/>
      <c r="I160" s="26"/>
      <c r="J160" s="60"/>
      <c r="K160" s="24"/>
      <c r="L160" s="27"/>
      <c r="M160" s="26"/>
      <c r="N160" s="46"/>
      <c r="O160" s="25"/>
    </row>
    <row r="161" spans="1:15" ht="15.75" x14ac:dyDescent="0.25">
      <c r="A161" s="32" t="str">
        <f>IF(C161="","",COUNTA($C$4:C161))</f>
        <v/>
      </c>
      <c r="B161" s="32" t="str">
        <f t="shared" si="30"/>
        <v/>
      </c>
      <c r="C161" s="62"/>
      <c r="D161" s="24"/>
      <c r="E161" s="58"/>
      <c r="F161" s="24"/>
      <c r="G161" s="58"/>
      <c r="H161" s="34"/>
      <c r="I161" s="26"/>
      <c r="J161" s="60"/>
      <c r="K161" s="24"/>
      <c r="L161" s="27"/>
      <c r="M161" s="26"/>
      <c r="N161" s="46"/>
      <c r="O161" s="25"/>
    </row>
    <row r="162" spans="1:15" ht="15.75" x14ac:dyDescent="0.25">
      <c r="A162" s="32" t="str">
        <f>IF(C162="","",COUNTA($C$4:C162))</f>
        <v/>
      </c>
      <c r="B162" s="32" t="str">
        <f t="shared" si="30"/>
        <v/>
      </c>
      <c r="C162" s="62"/>
      <c r="D162" s="24"/>
      <c r="E162" s="58"/>
      <c r="F162" s="24"/>
      <c r="G162" s="58"/>
      <c r="H162" s="34"/>
      <c r="I162" s="26"/>
      <c r="J162" s="60"/>
      <c r="K162" s="24"/>
      <c r="L162" s="27"/>
      <c r="M162" s="26"/>
      <c r="N162" s="46"/>
      <c r="O162" s="25"/>
    </row>
    <row r="163" spans="1:15" ht="15.75" x14ac:dyDescent="0.25">
      <c r="A163" s="32" t="str">
        <f>IF(C163="","",COUNTA($C$4:C163))</f>
        <v/>
      </c>
      <c r="B163" s="32" t="str">
        <f t="shared" ref="B163:B165" si="31">IF(C163="","",TEXT(C163,"mmmm"))</f>
        <v/>
      </c>
      <c r="C163" s="62"/>
      <c r="D163" s="24"/>
      <c r="E163" s="58"/>
      <c r="F163" s="24"/>
      <c r="G163" s="58"/>
      <c r="H163" s="34"/>
      <c r="I163" s="26"/>
      <c r="J163" s="60"/>
      <c r="K163" s="27"/>
      <c r="L163" s="27"/>
      <c r="M163" s="26"/>
      <c r="N163" s="46"/>
      <c r="O163" s="25"/>
    </row>
    <row r="164" spans="1:15" ht="15.75" x14ac:dyDescent="0.25">
      <c r="A164" s="32" t="str">
        <f>IF(C164="","",COUNTA($C$4:C164))</f>
        <v/>
      </c>
      <c r="B164" s="32" t="str">
        <f t="shared" si="31"/>
        <v/>
      </c>
      <c r="C164" s="62"/>
      <c r="D164" s="24"/>
      <c r="E164" s="58"/>
      <c r="F164" s="24"/>
      <c r="G164" s="58"/>
      <c r="H164" s="34"/>
      <c r="I164" s="26"/>
      <c r="J164" s="60"/>
      <c r="K164" s="24"/>
      <c r="L164" s="27"/>
      <c r="M164" s="26"/>
      <c r="N164" s="46"/>
      <c r="O164" s="25"/>
    </row>
    <row r="165" spans="1:15" ht="15.75" x14ac:dyDescent="0.25">
      <c r="A165" s="32" t="str">
        <f>IF(C165="","",COUNTA($C$4:C165))</f>
        <v/>
      </c>
      <c r="B165" s="32" t="str">
        <f t="shared" si="31"/>
        <v/>
      </c>
      <c r="C165" s="62"/>
      <c r="D165" s="24"/>
      <c r="E165" s="58"/>
      <c r="F165" s="24"/>
      <c r="G165" s="58"/>
      <c r="H165" s="34"/>
      <c r="I165" s="26"/>
      <c r="J165" s="60"/>
      <c r="K165" s="24"/>
      <c r="L165" s="27"/>
      <c r="M165" s="26"/>
      <c r="N165" s="46"/>
      <c r="O165" s="25"/>
    </row>
    <row r="166" spans="1:15" ht="15.75" x14ac:dyDescent="0.25">
      <c r="A166" s="32" t="str">
        <f>IF(C166="","",COUNTA($C$4:C166))</f>
        <v/>
      </c>
      <c r="B166" s="32" t="str">
        <f t="shared" si="30"/>
        <v/>
      </c>
      <c r="C166" s="62"/>
      <c r="D166" s="24"/>
      <c r="E166" s="58"/>
      <c r="F166" s="24"/>
      <c r="G166" s="58"/>
      <c r="H166" s="34"/>
      <c r="I166" s="26"/>
      <c r="J166" s="60"/>
      <c r="K166" s="24"/>
      <c r="L166" s="27"/>
      <c r="M166" s="26"/>
      <c r="N166" s="46"/>
      <c r="O166" s="25"/>
    </row>
    <row r="167" spans="1:15" ht="15.75" x14ac:dyDescent="0.25">
      <c r="A167" s="32" t="str">
        <f>IF(C167="","",COUNTA($C$4:C167))</f>
        <v/>
      </c>
      <c r="B167" s="32" t="str">
        <f t="shared" si="30"/>
        <v/>
      </c>
      <c r="C167" s="62"/>
      <c r="D167" s="24"/>
      <c r="E167" s="58"/>
      <c r="F167" s="24"/>
      <c r="G167" s="58"/>
      <c r="H167" s="34"/>
      <c r="I167" s="26"/>
      <c r="J167" s="60"/>
      <c r="K167" s="24"/>
      <c r="L167" s="27"/>
      <c r="M167" s="26"/>
      <c r="N167" s="46"/>
      <c r="O167" s="25"/>
    </row>
    <row r="168" spans="1:15" ht="15.75" x14ac:dyDescent="0.25">
      <c r="A168" s="32" t="str">
        <f>IF(C168="","",COUNTA($C$4:C168))</f>
        <v/>
      </c>
      <c r="B168" s="32" t="str">
        <f t="shared" si="30"/>
        <v/>
      </c>
      <c r="C168" s="62"/>
      <c r="D168" s="24"/>
      <c r="E168" s="58"/>
      <c r="F168" s="24"/>
      <c r="G168" s="61"/>
      <c r="H168" s="34"/>
      <c r="I168" s="26"/>
      <c r="J168" s="60"/>
      <c r="K168" s="24"/>
      <c r="L168" s="27"/>
      <c r="M168" s="26"/>
      <c r="N168" s="46"/>
      <c r="O168" s="25"/>
    </row>
    <row r="169" spans="1:15" ht="15.75" x14ac:dyDescent="0.25">
      <c r="A169" s="32" t="str">
        <f>IF(C169="","",COUNTA($C$4:C169))</f>
        <v/>
      </c>
      <c r="B169" s="32" t="str">
        <f t="shared" si="20"/>
        <v/>
      </c>
      <c r="C169" s="62"/>
      <c r="D169" s="24"/>
      <c r="E169" s="58"/>
      <c r="F169" s="24"/>
      <c r="G169" s="61"/>
      <c r="H169" s="34"/>
      <c r="I169" s="26"/>
      <c r="J169" s="60"/>
      <c r="K169" s="24"/>
      <c r="L169" s="27"/>
      <c r="M169" s="26"/>
      <c r="N169" s="46"/>
      <c r="O169" s="25"/>
    </row>
    <row r="170" spans="1:15" ht="15.75" x14ac:dyDescent="0.25">
      <c r="A170" s="32" t="str">
        <f>IF(C170="","",COUNTA($C$4:C170))</f>
        <v/>
      </c>
      <c r="B170" s="32" t="str">
        <f t="shared" si="20"/>
        <v/>
      </c>
      <c r="C170" s="62"/>
      <c r="D170" s="24"/>
      <c r="E170" s="58"/>
      <c r="F170" s="24"/>
      <c r="G170" s="61"/>
      <c r="H170" s="34"/>
      <c r="I170" s="26"/>
      <c r="J170" s="60"/>
      <c r="K170" s="24"/>
      <c r="L170" s="27"/>
      <c r="M170" s="26"/>
      <c r="N170" s="46"/>
      <c r="O170" s="25"/>
    </row>
    <row r="171" spans="1:15" ht="15.75" x14ac:dyDescent="0.25">
      <c r="A171" s="32" t="str">
        <f>IF(C171="","",COUNTA($C$4:C171))</f>
        <v/>
      </c>
      <c r="B171" s="32" t="str">
        <f t="shared" si="20"/>
        <v/>
      </c>
      <c r="C171" s="62"/>
      <c r="D171" s="24"/>
      <c r="E171" s="58"/>
      <c r="F171" s="24"/>
      <c r="G171" s="61"/>
      <c r="H171" s="34"/>
      <c r="I171" s="26"/>
      <c r="J171" s="60"/>
      <c r="K171" s="24"/>
      <c r="L171" s="27"/>
      <c r="M171" s="26"/>
      <c r="N171" s="46"/>
      <c r="O171" s="25"/>
    </row>
    <row r="172" spans="1:15" ht="15.75" x14ac:dyDescent="0.25">
      <c r="A172" s="32" t="str">
        <f>IF(C172="","",COUNTA($C$4:C172))</f>
        <v/>
      </c>
      <c r="B172" s="32" t="str">
        <f t="shared" si="20"/>
        <v/>
      </c>
      <c r="C172" s="62"/>
      <c r="D172" s="24"/>
      <c r="E172" s="58"/>
      <c r="F172" s="24"/>
      <c r="G172" s="61"/>
      <c r="H172" s="34"/>
      <c r="I172" s="26"/>
      <c r="J172" s="60"/>
      <c r="K172" s="24"/>
      <c r="L172" s="27"/>
      <c r="M172" s="26"/>
      <c r="N172" s="46"/>
      <c r="O172" s="25"/>
    </row>
    <row r="173" spans="1:15" ht="15.75" x14ac:dyDescent="0.25">
      <c r="A173" s="32" t="str">
        <f>IF(C173="","",COUNTA($C$4:C173))</f>
        <v/>
      </c>
      <c r="B173" s="32" t="str">
        <f t="shared" si="20"/>
        <v/>
      </c>
      <c r="C173" s="62"/>
      <c r="D173" s="24"/>
      <c r="E173" s="58"/>
      <c r="F173" s="24"/>
      <c r="G173" s="61"/>
      <c r="H173" s="34"/>
      <c r="I173" s="26"/>
      <c r="J173" s="60"/>
      <c r="K173" s="24"/>
      <c r="L173" s="27"/>
      <c r="M173" s="26"/>
      <c r="N173" s="46"/>
      <c r="O173" s="25"/>
    </row>
    <row r="174" spans="1:15" ht="15.75" x14ac:dyDescent="0.25">
      <c r="A174" s="32" t="str">
        <f>IF(C174="","",COUNTA($C$4:C174))</f>
        <v/>
      </c>
      <c r="B174" s="32" t="str">
        <f t="shared" si="20"/>
        <v/>
      </c>
      <c r="C174" s="62"/>
      <c r="D174" s="24"/>
      <c r="E174" s="58"/>
      <c r="F174" s="24"/>
      <c r="G174" s="58"/>
      <c r="H174" s="34"/>
      <c r="I174" s="26"/>
      <c r="J174" s="60"/>
      <c r="K174" s="24"/>
      <c r="L174" s="27"/>
      <c r="M174" s="26"/>
      <c r="N174" s="46"/>
      <c r="O174" s="25"/>
    </row>
    <row r="175" spans="1:15" ht="15.75" x14ac:dyDescent="0.25">
      <c r="A175" s="32" t="str">
        <f>IF(C175="","",COUNTA($C$4:C175))</f>
        <v/>
      </c>
      <c r="B175" s="32" t="str">
        <f t="shared" si="20"/>
        <v/>
      </c>
      <c r="C175" s="62"/>
      <c r="D175" s="24"/>
      <c r="E175" s="58"/>
      <c r="F175" s="24"/>
      <c r="G175" s="58"/>
      <c r="H175" s="34"/>
      <c r="I175" s="26"/>
      <c r="J175" s="60"/>
      <c r="K175" s="24"/>
      <c r="L175" s="27"/>
      <c r="M175" s="26"/>
      <c r="N175" s="46"/>
      <c r="O175" s="25"/>
    </row>
    <row r="176" spans="1:15" ht="15.75" x14ac:dyDescent="0.25">
      <c r="A176" s="32" t="str">
        <f>IF(C176="","",COUNTA($C$4:C176))</f>
        <v/>
      </c>
      <c r="B176" s="32" t="str">
        <f t="shared" ref="B176" si="32">IF(C176="","",TEXT(C176,"mmmm"))</f>
        <v/>
      </c>
      <c r="C176" s="62"/>
      <c r="D176" s="24"/>
      <c r="E176" s="58"/>
      <c r="F176" s="24"/>
      <c r="G176" s="58"/>
      <c r="H176" s="34"/>
      <c r="I176" s="26"/>
      <c r="J176" s="60"/>
      <c r="K176" s="24"/>
      <c r="L176" s="27"/>
      <c r="M176" s="26"/>
      <c r="N176" s="46"/>
      <c r="O176" s="25"/>
    </row>
    <row r="177" spans="1:15" ht="15.75" x14ac:dyDescent="0.25">
      <c r="A177" s="32" t="str">
        <f>IF(C177="","",COUNTA($C$4:C177))</f>
        <v/>
      </c>
      <c r="B177" s="32" t="str">
        <f t="shared" si="20"/>
        <v/>
      </c>
      <c r="C177" s="62"/>
      <c r="D177" s="24"/>
      <c r="E177" s="58"/>
      <c r="F177" s="24"/>
      <c r="G177" s="58"/>
      <c r="H177" s="34"/>
      <c r="I177" s="26"/>
      <c r="J177" s="60"/>
      <c r="K177" s="24"/>
      <c r="L177" s="27"/>
      <c r="M177" s="26"/>
      <c r="N177" s="46"/>
      <c r="O177" s="25"/>
    </row>
    <row r="178" spans="1:15" ht="15.75" x14ac:dyDescent="0.25">
      <c r="A178" s="32" t="str">
        <f>IF(C178="","",COUNTA($C$4:C178))</f>
        <v/>
      </c>
      <c r="B178" s="32" t="str">
        <f t="shared" si="20"/>
        <v/>
      </c>
      <c r="C178" s="62"/>
      <c r="D178" s="24"/>
      <c r="E178" s="58"/>
      <c r="F178" s="24"/>
      <c r="G178" s="58"/>
      <c r="H178" s="34"/>
      <c r="I178" s="26"/>
      <c r="J178" s="24"/>
      <c r="K178" s="24"/>
      <c r="L178" s="27"/>
      <c r="M178" s="26"/>
      <c r="N178" s="46"/>
      <c r="O178" s="25"/>
    </row>
    <row r="179" spans="1:15" ht="15.75" x14ac:dyDescent="0.25">
      <c r="A179" s="32" t="str">
        <f>IF(C179="","",COUNTA($C$4:C179))</f>
        <v/>
      </c>
      <c r="B179" s="32" t="str">
        <f t="shared" ref="B179:B183" si="33">IF(C179="","",TEXT(C179,"mmmm"))</f>
        <v/>
      </c>
      <c r="C179" s="62"/>
      <c r="D179" s="24"/>
      <c r="E179" s="58"/>
      <c r="F179" s="24"/>
      <c r="G179" s="58"/>
      <c r="H179" s="34"/>
      <c r="I179" s="26"/>
      <c r="J179" s="60"/>
      <c r="K179" s="24"/>
      <c r="L179" s="27"/>
      <c r="M179" s="26"/>
      <c r="N179" s="46"/>
      <c r="O179" s="25"/>
    </row>
    <row r="180" spans="1:15" ht="15.75" x14ac:dyDescent="0.25">
      <c r="A180" s="32" t="str">
        <f>IF(C180="","",COUNTA($C$4:C180))</f>
        <v/>
      </c>
      <c r="B180" s="32" t="str">
        <f t="shared" si="33"/>
        <v/>
      </c>
      <c r="C180" s="62"/>
      <c r="D180" s="24"/>
      <c r="E180" s="58"/>
      <c r="F180" s="24"/>
      <c r="G180" s="58"/>
      <c r="H180" s="34"/>
      <c r="I180" s="26"/>
      <c r="J180" s="60"/>
      <c r="K180" s="24"/>
      <c r="L180" s="27"/>
      <c r="M180" s="26"/>
      <c r="N180" s="46"/>
      <c r="O180" s="25"/>
    </row>
    <row r="181" spans="1:15" ht="15.75" x14ac:dyDescent="0.25">
      <c r="A181" s="32" t="str">
        <f>IF(C181="","",COUNTA($C$4:C181))</f>
        <v/>
      </c>
      <c r="B181" s="32" t="str">
        <f t="shared" si="33"/>
        <v/>
      </c>
      <c r="C181" s="62"/>
      <c r="D181" s="24"/>
      <c r="E181" s="58"/>
      <c r="F181" s="24"/>
      <c r="G181" s="58"/>
      <c r="H181" s="34"/>
      <c r="I181" s="26"/>
      <c r="J181" s="24"/>
      <c r="K181" s="24"/>
      <c r="L181" s="27"/>
      <c r="M181" s="26"/>
      <c r="N181" s="46"/>
      <c r="O181" s="25"/>
    </row>
    <row r="182" spans="1:15" ht="15.75" x14ac:dyDescent="0.25">
      <c r="A182" s="32" t="str">
        <f>IF(C182="","",COUNTA($C$4:C182))</f>
        <v/>
      </c>
      <c r="B182" s="32" t="str">
        <f t="shared" si="33"/>
        <v/>
      </c>
      <c r="C182" s="62"/>
      <c r="D182" s="24"/>
      <c r="E182" s="58"/>
      <c r="F182" s="69"/>
      <c r="G182" s="58"/>
      <c r="H182" s="34"/>
      <c r="I182" s="26"/>
      <c r="J182" s="24"/>
      <c r="K182" s="24"/>
      <c r="L182" s="27"/>
      <c r="M182" s="26"/>
      <c r="N182" s="46"/>
      <c r="O182" s="25"/>
    </row>
    <row r="183" spans="1:15" ht="15.75" x14ac:dyDescent="0.25">
      <c r="A183" s="32" t="str">
        <f>IF(C183="","",COUNTA($C$4:C183))</f>
        <v/>
      </c>
      <c r="B183" s="32" t="str">
        <f t="shared" si="33"/>
        <v/>
      </c>
      <c r="C183" s="62"/>
      <c r="D183" s="24"/>
      <c r="E183" s="58"/>
      <c r="F183" s="24"/>
      <c r="G183" s="58"/>
      <c r="H183" s="34"/>
      <c r="I183" s="26"/>
      <c r="J183" s="24"/>
      <c r="K183" s="24"/>
      <c r="L183" s="27"/>
      <c r="M183" s="26"/>
      <c r="N183" s="46"/>
      <c r="O183" s="25"/>
    </row>
    <row r="184" spans="1:15" ht="15.75" x14ac:dyDescent="0.25">
      <c r="A184" s="32" t="str">
        <f>IF(C184="","",COUNTA($C$4:C184))</f>
        <v/>
      </c>
      <c r="B184" s="32" t="str">
        <f t="shared" ref="B184" si="34">IF(C184="","",TEXT(C184,"mmmm"))</f>
        <v/>
      </c>
      <c r="C184" s="62"/>
      <c r="D184" s="24"/>
      <c r="E184" s="58"/>
      <c r="F184" s="24"/>
      <c r="G184" s="58"/>
      <c r="H184" s="34"/>
      <c r="I184" s="26"/>
      <c r="J184" s="24"/>
      <c r="K184" s="24"/>
      <c r="L184" s="27"/>
      <c r="M184" s="26"/>
      <c r="N184" s="46"/>
      <c r="O184" s="25"/>
    </row>
    <row r="185" spans="1:15" ht="15.75" x14ac:dyDescent="0.25">
      <c r="A185" s="32" t="str">
        <f>IF(C185="","",COUNTA($C$4:C185))</f>
        <v/>
      </c>
      <c r="B185" s="32" t="str">
        <f t="shared" si="20"/>
        <v/>
      </c>
      <c r="C185" s="62"/>
      <c r="D185" s="24"/>
      <c r="E185" s="58"/>
      <c r="F185" s="24"/>
      <c r="G185" s="58"/>
      <c r="H185" s="34"/>
      <c r="I185" s="26"/>
      <c r="J185" s="52"/>
      <c r="K185" s="24"/>
      <c r="L185" s="27"/>
      <c r="M185" s="26"/>
      <c r="N185" s="46"/>
      <c r="O185" s="25"/>
    </row>
    <row r="186" spans="1:15" ht="15.75" x14ac:dyDescent="0.25">
      <c r="A186" s="32" t="str">
        <f>IF(C186="","",COUNTA($C$4:C186))</f>
        <v/>
      </c>
      <c r="B186" s="32" t="str">
        <f t="shared" ref="B186:B237" si="35">IF(C186="","",TEXT(C186,"mmmm"))</f>
        <v/>
      </c>
      <c r="C186" s="62"/>
      <c r="D186" s="24"/>
      <c r="E186" s="58"/>
      <c r="F186" s="24"/>
      <c r="G186" s="58"/>
      <c r="H186" s="34"/>
      <c r="I186" s="26"/>
      <c r="J186" s="60"/>
      <c r="K186" s="24"/>
      <c r="L186" s="27"/>
      <c r="M186" s="26"/>
      <c r="N186" s="46"/>
      <c r="O186" s="25"/>
    </row>
    <row r="187" spans="1:15" ht="15.75" x14ac:dyDescent="0.25">
      <c r="A187" s="32" t="str">
        <f>IF(C187="","",COUNTA($C$4:C187))</f>
        <v/>
      </c>
      <c r="B187" s="32" t="str">
        <f t="shared" si="35"/>
        <v/>
      </c>
      <c r="C187" s="62"/>
      <c r="D187" s="24"/>
      <c r="E187" s="58"/>
      <c r="F187" s="24"/>
      <c r="G187" s="58"/>
      <c r="H187" s="34"/>
      <c r="I187" s="26"/>
      <c r="J187" s="60"/>
      <c r="K187" s="24"/>
      <c r="L187" s="27"/>
      <c r="M187" s="26"/>
      <c r="N187" s="46"/>
      <c r="O187" s="25"/>
    </row>
    <row r="188" spans="1:15" ht="15.75" x14ac:dyDescent="0.25">
      <c r="A188" s="32" t="str">
        <f>IF(C188="","",COUNTA($C$4:C188))</f>
        <v/>
      </c>
      <c r="B188" s="32" t="str">
        <f t="shared" si="35"/>
        <v/>
      </c>
      <c r="C188" s="62"/>
      <c r="D188" s="24"/>
      <c r="E188" s="58"/>
      <c r="F188" s="24"/>
      <c r="G188" s="58"/>
      <c r="H188" s="34"/>
      <c r="I188" s="26"/>
      <c r="J188" s="60"/>
      <c r="K188" s="24"/>
      <c r="L188" s="27"/>
      <c r="M188" s="26"/>
      <c r="N188" s="46"/>
      <c r="O188" s="25"/>
    </row>
    <row r="189" spans="1:15" ht="15.75" x14ac:dyDescent="0.25">
      <c r="A189" s="32" t="str">
        <f>IF(C189="","",COUNTA($C$4:C189))</f>
        <v/>
      </c>
      <c r="B189" s="32" t="str">
        <f t="shared" si="35"/>
        <v/>
      </c>
      <c r="C189" s="62"/>
      <c r="D189" s="24"/>
      <c r="E189" s="58"/>
      <c r="F189" s="24"/>
      <c r="G189" s="61"/>
      <c r="H189" s="34"/>
      <c r="I189" s="26"/>
      <c r="J189" s="60"/>
      <c r="K189" s="24"/>
      <c r="L189" s="27"/>
      <c r="M189" s="26"/>
      <c r="N189" s="46"/>
      <c r="O189" s="25"/>
    </row>
    <row r="190" spans="1:15" ht="15.75" x14ac:dyDescent="0.25">
      <c r="A190" s="32" t="str">
        <f>IF(C190="","",COUNTA($C$4:C190))</f>
        <v/>
      </c>
      <c r="B190" s="32" t="str">
        <f t="shared" si="35"/>
        <v/>
      </c>
      <c r="C190" s="62"/>
      <c r="D190" s="24"/>
      <c r="E190" s="58"/>
      <c r="F190" s="24"/>
      <c r="G190" s="61"/>
      <c r="H190" s="34"/>
      <c r="I190" s="26"/>
      <c r="J190" s="60"/>
      <c r="K190" s="24"/>
      <c r="L190" s="27"/>
      <c r="M190" s="26"/>
      <c r="N190" s="46"/>
      <c r="O190" s="25"/>
    </row>
    <row r="191" spans="1:15" ht="15.75" x14ac:dyDescent="0.25">
      <c r="A191" s="32" t="str">
        <f>IF(C191="","",COUNTA($C$4:C191))</f>
        <v/>
      </c>
      <c r="B191" s="32" t="str">
        <f t="shared" si="35"/>
        <v/>
      </c>
      <c r="C191" s="62"/>
      <c r="D191" s="24"/>
      <c r="E191" s="58"/>
      <c r="F191" s="24"/>
      <c r="G191" s="61"/>
      <c r="H191" s="34"/>
      <c r="I191" s="26"/>
      <c r="J191" s="60"/>
      <c r="K191" s="24"/>
      <c r="L191" s="27"/>
      <c r="M191" s="26"/>
      <c r="N191" s="46"/>
      <c r="O191" s="25"/>
    </row>
    <row r="192" spans="1:15" ht="15.75" x14ac:dyDescent="0.25">
      <c r="A192" s="32" t="str">
        <f>IF(C192="","",COUNTA($C$4:C192))</f>
        <v/>
      </c>
      <c r="B192" s="32" t="str">
        <f t="shared" si="35"/>
        <v/>
      </c>
      <c r="C192" s="62"/>
      <c r="D192" s="24"/>
      <c r="E192" s="58"/>
      <c r="F192" s="24"/>
      <c r="G192" s="61"/>
      <c r="H192" s="34"/>
      <c r="I192" s="26"/>
      <c r="J192" s="60"/>
      <c r="K192" s="24"/>
      <c r="L192" s="27"/>
      <c r="M192" s="26"/>
      <c r="N192" s="46"/>
      <c r="O192" s="25"/>
    </row>
    <row r="193" spans="1:15" ht="15.75" x14ac:dyDescent="0.25">
      <c r="A193" s="32" t="str">
        <f>IF(C193="","",COUNTA($C$4:C193))</f>
        <v/>
      </c>
      <c r="B193" s="32" t="str">
        <f t="shared" si="35"/>
        <v/>
      </c>
      <c r="C193" s="62"/>
      <c r="D193" s="24"/>
      <c r="E193" s="58"/>
      <c r="F193" s="24"/>
      <c r="G193" s="61"/>
      <c r="H193" s="34"/>
      <c r="I193" s="26"/>
      <c r="J193" s="60"/>
      <c r="K193" s="24"/>
      <c r="L193" s="27"/>
      <c r="M193" s="26"/>
      <c r="N193" s="46"/>
      <c r="O193" s="25"/>
    </row>
    <row r="194" spans="1:15" ht="15.75" x14ac:dyDescent="0.25">
      <c r="A194" s="32" t="str">
        <f>IF(C194="","",COUNTA($C$4:C194))</f>
        <v/>
      </c>
      <c r="B194" s="32" t="str">
        <f t="shared" si="35"/>
        <v/>
      </c>
      <c r="C194" s="62"/>
      <c r="D194" s="24"/>
      <c r="E194" s="58"/>
      <c r="F194" s="24"/>
      <c r="G194" s="61"/>
      <c r="H194" s="34"/>
      <c r="I194" s="26"/>
      <c r="J194" s="60"/>
      <c r="K194" s="24"/>
      <c r="L194" s="27"/>
      <c r="M194" s="26"/>
      <c r="N194" s="46"/>
      <c r="O194" s="25"/>
    </row>
    <row r="195" spans="1:15" ht="15.75" x14ac:dyDescent="0.25">
      <c r="A195" s="32" t="str">
        <f>IF(C195="","",COUNTA($C$4:C195))</f>
        <v/>
      </c>
      <c r="B195" s="32" t="str">
        <f t="shared" ref="B195" si="36">IF(C195="","",TEXT(C195,"mmmm"))</f>
        <v/>
      </c>
      <c r="C195" s="62"/>
      <c r="D195" s="24"/>
      <c r="E195" s="58"/>
      <c r="F195" s="24"/>
      <c r="G195" s="61"/>
      <c r="H195" s="34"/>
      <c r="I195" s="26"/>
      <c r="J195" s="60"/>
      <c r="K195" s="24"/>
      <c r="L195" s="27"/>
      <c r="M195" s="26"/>
      <c r="N195" s="46"/>
      <c r="O195" s="25"/>
    </row>
    <row r="196" spans="1:15" ht="15.75" x14ac:dyDescent="0.25">
      <c r="A196" s="32" t="str">
        <f>IF(C196="","",COUNTA($C$4:C196))</f>
        <v/>
      </c>
      <c r="B196" s="32" t="str">
        <f t="shared" ref="B196" si="37">IF(C196="","",TEXT(C196,"mmmm"))</f>
        <v/>
      </c>
      <c r="C196" s="62"/>
      <c r="D196" s="24"/>
      <c r="E196" s="58"/>
      <c r="F196" s="24"/>
      <c r="G196" s="61"/>
      <c r="H196" s="34"/>
      <c r="I196" s="26"/>
      <c r="J196" s="60"/>
      <c r="K196" s="24"/>
      <c r="L196" s="27"/>
      <c r="M196" s="26"/>
      <c r="N196" s="46"/>
      <c r="O196" s="25"/>
    </row>
    <row r="197" spans="1:15" ht="15.75" x14ac:dyDescent="0.25">
      <c r="A197" s="32" t="str">
        <f>IF(C197="","",COUNTA($C$4:C197))</f>
        <v/>
      </c>
      <c r="B197" s="32" t="str">
        <f t="shared" si="35"/>
        <v/>
      </c>
      <c r="C197" s="62"/>
      <c r="D197" s="24"/>
      <c r="E197" s="58"/>
      <c r="F197" s="24"/>
      <c r="G197" s="58"/>
      <c r="H197" s="34"/>
      <c r="I197" s="26"/>
      <c r="J197" s="60"/>
      <c r="K197" s="24"/>
      <c r="L197" s="27"/>
      <c r="M197" s="26"/>
      <c r="N197" s="46"/>
      <c r="O197" s="25"/>
    </row>
    <row r="198" spans="1:15" ht="15.75" x14ac:dyDescent="0.25">
      <c r="A198" s="32" t="str">
        <f>IF(C198="","",COUNTA($C$4:C198))</f>
        <v/>
      </c>
      <c r="B198" s="32" t="str">
        <f t="shared" si="35"/>
        <v/>
      </c>
      <c r="C198" s="62"/>
      <c r="D198" s="24"/>
      <c r="E198" s="58"/>
      <c r="F198" s="24"/>
      <c r="G198" s="58"/>
      <c r="H198" s="34"/>
      <c r="I198" s="26"/>
      <c r="J198" s="60"/>
      <c r="K198" s="24"/>
      <c r="L198" s="27"/>
      <c r="M198" s="26"/>
      <c r="N198" s="46"/>
      <c r="O198" s="25"/>
    </row>
    <row r="199" spans="1:15" ht="15.75" x14ac:dyDescent="0.25">
      <c r="A199" s="32" t="str">
        <f>IF(C199="","",COUNTA($C$4:C199))</f>
        <v/>
      </c>
      <c r="B199" s="32" t="str">
        <f t="shared" si="35"/>
        <v/>
      </c>
      <c r="C199" s="62"/>
      <c r="D199" s="24"/>
      <c r="E199" s="58"/>
      <c r="F199" s="24"/>
      <c r="G199" s="58"/>
      <c r="H199" s="34"/>
      <c r="I199" s="26"/>
      <c r="J199" s="60"/>
      <c r="K199" s="24"/>
      <c r="L199" s="27"/>
      <c r="M199" s="26"/>
      <c r="N199" s="46"/>
      <c r="O199" s="25"/>
    </row>
    <row r="200" spans="1:15" ht="15.75" x14ac:dyDescent="0.25">
      <c r="A200" s="32" t="str">
        <f>IF(C200="","",COUNTA($C$4:C200))</f>
        <v/>
      </c>
      <c r="B200" s="32" t="str">
        <f t="shared" si="35"/>
        <v/>
      </c>
      <c r="C200" s="62"/>
      <c r="D200" s="24"/>
      <c r="E200" s="58"/>
      <c r="F200" s="24"/>
      <c r="G200" s="58"/>
      <c r="H200" s="34"/>
      <c r="I200" s="26"/>
      <c r="J200" s="60"/>
      <c r="K200" s="24"/>
      <c r="L200" s="27"/>
      <c r="M200" s="26"/>
      <c r="N200" s="46"/>
      <c r="O200" s="25"/>
    </row>
    <row r="201" spans="1:15" ht="15.75" x14ac:dyDescent="0.25">
      <c r="A201" s="32" t="str">
        <f>IF(C201="","",COUNTA($C$4:C201))</f>
        <v/>
      </c>
      <c r="B201" s="32" t="str">
        <f t="shared" si="35"/>
        <v/>
      </c>
      <c r="C201" s="62"/>
      <c r="D201" s="24"/>
      <c r="E201" s="58"/>
      <c r="F201" s="24"/>
      <c r="G201" s="58"/>
      <c r="H201" s="34"/>
      <c r="I201" s="26"/>
      <c r="J201" s="60"/>
      <c r="K201" s="24"/>
      <c r="L201" s="27"/>
      <c r="M201" s="26"/>
      <c r="N201" s="46"/>
      <c r="O201" s="25"/>
    </row>
    <row r="202" spans="1:15" ht="15.75" x14ac:dyDescent="0.25">
      <c r="A202" s="32" t="str">
        <f>IF(C202="","",COUNTA($C$4:C202))</f>
        <v/>
      </c>
      <c r="B202" s="32" t="str">
        <f t="shared" si="35"/>
        <v/>
      </c>
      <c r="C202" s="62"/>
      <c r="D202" s="24"/>
      <c r="E202" s="58"/>
      <c r="F202" s="24"/>
      <c r="G202" s="58"/>
      <c r="H202" s="34"/>
      <c r="I202" s="26"/>
      <c r="J202" s="64"/>
      <c r="K202" s="24"/>
      <c r="L202" s="27"/>
      <c r="M202" s="26"/>
      <c r="N202" s="46"/>
      <c r="O202" s="25"/>
    </row>
    <row r="203" spans="1:15" ht="15.75" x14ac:dyDescent="0.25">
      <c r="A203" s="32" t="str">
        <f>IF(C203="","",COUNTA($C$4:C203))</f>
        <v/>
      </c>
      <c r="B203" s="32" t="str">
        <f t="shared" si="35"/>
        <v/>
      </c>
      <c r="C203" s="62"/>
      <c r="D203" s="24"/>
      <c r="E203" s="58"/>
      <c r="F203" s="24"/>
      <c r="G203" s="58"/>
      <c r="H203" s="34"/>
      <c r="I203" s="26"/>
      <c r="J203" s="60"/>
      <c r="K203" s="27"/>
      <c r="L203" s="27"/>
      <c r="M203" s="26"/>
      <c r="N203" s="46"/>
      <c r="O203" s="25"/>
    </row>
    <row r="204" spans="1:15" ht="15.75" x14ac:dyDescent="0.25">
      <c r="A204" s="32" t="str">
        <f>IF(C204="","",COUNTA($C$4:C204))</f>
        <v/>
      </c>
      <c r="B204" s="32" t="str">
        <f t="shared" si="35"/>
        <v/>
      </c>
      <c r="C204" s="62"/>
      <c r="D204" s="24"/>
      <c r="E204" s="58"/>
      <c r="F204" s="69"/>
      <c r="G204" s="58"/>
      <c r="H204" s="34"/>
      <c r="I204" s="26"/>
      <c r="J204" s="24"/>
      <c r="K204" s="24"/>
      <c r="L204" s="27"/>
      <c r="M204" s="26"/>
      <c r="N204" s="46"/>
      <c r="O204" s="25"/>
    </row>
    <row r="205" spans="1:15" ht="15.75" x14ac:dyDescent="0.25">
      <c r="A205" s="32" t="str">
        <f>IF(C205="","",COUNTA($C$4:C205))</f>
        <v/>
      </c>
      <c r="B205" s="32" t="str">
        <f t="shared" si="35"/>
        <v/>
      </c>
      <c r="C205" s="62"/>
      <c r="D205" s="24"/>
      <c r="E205" s="58"/>
      <c r="F205" s="24"/>
      <c r="G205" s="58"/>
      <c r="H205" s="34"/>
      <c r="I205" s="26"/>
      <c r="J205" s="24"/>
      <c r="K205" s="24"/>
      <c r="L205" s="27"/>
      <c r="M205" s="26"/>
      <c r="N205" s="46"/>
      <c r="O205" s="25"/>
    </row>
    <row r="206" spans="1:15" ht="15.75" x14ac:dyDescent="0.25">
      <c r="A206" s="32" t="str">
        <f>IF(C206="","",COUNTA($C$4:C206))</f>
        <v/>
      </c>
      <c r="B206" s="32" t="str">
        <f t="shared" ref="B206:B207" si="38">IF(C206="","",TEXT(C206,"mmmm"))</f>
        <v/>
      </c>
      <c r="C206" s="62"/>
      <c r="D206" s="24"/>
      <c r="E206" s="58"/>
      <c r="F206" s="24"/>
      <c r="G206" s="58"/>
      <c r="H206" s="34"/>
      <c r="I206" s="26"/>
      <c r="J206" s="60"/>
      <c r="K206" s="24"/>
      <c r="L206" s="27"/>
      <c r="M206" s="26"/>
      <c r="N206" s="46"/>
      <c r="O206" s="25"/>
    </row>
    <row r="207" spans="1:15" ht="15.75" x14ac:dyDescent="0.25">
      <c r="A207" s="32" t="str">
        <f>IF(C207="","",COUNTA($C$4:C207))</f>
        <v/>
      </c>
      <c r="B207" s="32" t="str">
        <f t="shared" si="38"/>
        <v/>
      </c>
      <c r="C207" s="62"/>
      <c r="D207" s="24"/>
      <c r="E207" s="58"/>
      <c r="F207" s="24"/>
      <c r="G207" s="58"/>
      <c r="H207" s="34"/>
      <c r="I207" s="26"/>
      <c r="J207" s="60"/>
      <c r="K207" s="24"/>
      <c r="L207" s="27"/>
      <c r="M207" s="26"/>
      <c r="N207" s="46"/>
      <c r="O207" s="25"/>
    </row>
    <row r="208" spans="1:15" ht="15.75" x14ac:dyDescent="0.25">
      <c r="A208" s="32" t="str">
        <f>IF(C208="","",COUNTA($C$4:C208))</f>
        <v/>
      </c>
      <c r="B208" s="32" t="str">
        <f t="shared" si="35"/>
        <v/>
      </c>
      <c r="C208" s="62"/>
      <c r="D208" s="24"/>
      <c r="E208" s="58"/>
      <c r="F208" s="24"/>
      <c r="G208" s="58"/>
      <c r="H208" s="34"/>
      <c r="I208" s="26"/>
      <c r="J208" s="60"/>
      <c r="K208" s="24"/>
      <c r="L208" s="27"/>
      <c r="M208" s="26"/>
      <c r="N208" s="46"/>
      <c r="O208" s="25"/>
    </row>
    <row r="209" spans="1:15" ht="15.75" x14ac:dyDescent="0.25">
      <c r="A209" s="32" t="str">
        <f>IF(C209="","",COUNTA($C$4:C209))</f>
        <v/>
      </c>
      <c r="B209" s="32" t="str">
        <f t="shared" si="35"/>
        <v/>
      </c>
      <c r="C209" s="62"/>
      <c r="D209" s="24"/>
      <c r="E209" s="58"/>
      <c r="F209" s="24"/>
      <c r="G209" s="34"/>
      <c r="H209" s="49"/>
      <c r="I209" s="26"/>
      <c r="J209" s="60"/>
      <c r="K209" s="24"/>
      <c r="L209" s="27"/>
      <c r="M209" s="26"/>
      <c r="N209" s="46"/>
      <c r="O209" s="25"/>
    </row>
    <row r="210" spans="1:15" ht="15.75" x14ac:dyDescent="0.25">
      <c r="A210" s="32" t="str">
        <f>IF(C210="","",COUNTA($C$4:C210))</f>
        <v/>
      </c>
      <c r="B210" s="32" t="str">
        <f t="shared" si="35"/>
        <v/>
      </c>
      <c r="C210" s="62"/>
      <c r="D210" s="24"/>
      <c r="E210" s="58"/>
      <c r="F210" s="24"/>
      <c r="G210" s="58"/>
      <c r="H210" s="34"/>
      <c r="I210" s="26"/>
      <c r="J210" s="60"/>
      <c r="K210" s="24"/>
      <c r="L210" s="27"/>
      <c r="M210" s="26"/>
      <c r="N210" s="46"/>
      <c r="O210" s="25"/>
    </row>
    <row r="211" spans="1:15" ht="15.75" x14ac:dyDescent="0.25">
      <c r="A211" s="32" t="str">
        <f>IF(C211="","",COUNTA($C$4:C211))</f>
        <v/>
      </c>
      <c r="B211" s="32" t="str">
        <f t="shared" si="35"/>
        <v/>
      </c>
      <c r="C211" s="62"/>
      <c r="D211" s="24"/>
      <c r="E211" s="58"/>
      <c r="F211" s="24"/>
      <c r="G211" s="58"/>
      <c r="H211" s="58"/>
      <c r="I211" s="26"/>
      <c r="J211" s="60"/>
      <c r="K211" s="24"/>
      <c r="L211" s="27"/>
      <c r="M211" s="26"/>
      <c r="N211" s="46"/>
      <c r="O211" s="25"/>
    </row>
    <row r="212" spans="1:15" ht="15.75" x14ac:dyDescent="0.25">
      <c r="A212" s="32" t="str">
        <f>IF(C212="","",COUNTA($C$4:C212))</f>
        <v/>
      </c>
      <c r="B212" s="32" t="str">
        <f t="shared" si="35"/>
        <v/>
      </c>
      <c r="C212" s="62"/>
      <c r="D212" s="24"/>
      <c r="E212" s="58"/>
      <c r="F212" s="24"/>
      <c r="G212" s="61"/>
      <c r="H212" s="34"/>
      <c r="I212" s="26"/>
      <c r="J212" s="60"/>
      <c r="K212" s="24"/>
      <c r="L212" s="27"/>
      <c r="M212" s="26"/>
      <c r="N212" s="46"/>
      <c r="O212" s="25"/>
    </row>
    <row r="213" spans="1:15" ht="15.75" x14ac:dyDescent="0.25">
      <c r="A213" s="32" t="str">
        <f>IF(C213="","",COUNTA($C$4:C213))</f>
        <v/>
      </c>
      <c r="B213" s="32" t="str">
        <f t="shared" si="35"/>
        <v/>
      </c>
      <c r="C213" s="62"/>
      <c r="D213" s="24"/>
      <c r="E213" s="58"/>
      <c r="F213" s="24"/>
      <c r="G213" s="61"/>
      <c r="H213" s="34"/>
      <c r="I213" s="26"/>
      <c r="J213" s="60"/>
      <c r="K213" s="24"/>
      <c r="L213" s="27"/>
      <c r="M213" s="26"/>
      <c r="N213" s="46"/>
      <c r="O213" s="25"/>
    </row>
    <row r="214" spans="1:15" ht="15.75" x14ac:dyDescent="0.25">
      <c r="A214" s="32" t="str">
        <f>IF(C214="","",COUNTA($C$4:C214))</f>
        <v/>
      </c>
      <c r="B214" s="32" t="str">
        <f t="shared" ref="B214" si="39">IF(C214="","",TEXT(C214,"mmmm"))</f>
        <v/>
      </c>
      <c r="C214" s="62"/>
      <c r="D214" s="24"/>
      <c r="E214" s="58"/>
      <c r="F214" s="24"/>
      <c r="G214" s="61"/>
      <c r="H214" s="34"/>
      <c r="I214" s="26"/>
      <c r="J214" s="60"/>
      <c r="K214" s="24"/>
      <c r="L214" s="27"/>
      <c r="M214" s="26"/>
      <c r="N214" s="46"/>
      <c r="O214" s="25"/>
    </row>
    <row r="215" spans="1:15" ht="15.75" x14ac:dyDescent="0.25">
      <c r="A215" s="32" t="str">
        <f>IF(C215="","",COUNTA($C$4:C215))</f>
        <v/>
      </c>
      <c r="B215" s="32" t="str">
        <f t="shared" ref="B215:B218" si="40">IF(C215="","",TEXT(C215,"mmmm"))</f>
        <v/>
      </c>
      <c r="C215" s="62"/>
      <c r="D215" s="24"/>
      <c r="E215" s="58"/>
      <c r="F215" s="24"/>
      <c r="G215" s="61"/>
      <c r="H215" s="34"/>
      <c r="I215" s="26"/>
      <c r="J215" s="60"/>
      <c r="K215" s="24"/>
      <c r="L215" s="27"/>
      <c r="M215" s="26"/>
      <c r="N215" s="46"/>
      <c r="O215" s="25"/>
    </row>
    <row r="216" spans="1:15" ht="15.75" x14ac:dyDescent="0.25">
      <c r="A216" s="32" t="str">
        <f>IF(C216="","",COUNTA($C$4:C216))</f>
        <v/>
      </c>
      <c r="B216" s="32" t="str">
        <f t="shared" si="40"/>
        <v/>
      </c>
      <c r="C216" s="62"/>
      <c r="D216" s="24"/>
      <c r="E216" s="58"/>
      <c r="F216" s="24"/>
      <c r="G216" s="61"/>
      <c r="H216" s="34"/>
      <c r="I216" s="26"/>
      <c r="J216" s="60"/>
      <c r="K216" s="24"/>
      <c r="L216" s="27"/>
      <c r="M216" s="26"/>
      <c r="N216" s="46"/>
      <c r="O216" s="25"/>
    </row>
    <row r="217" spans="1:15" ht="15.75" x14ac:dyDescent="0.25">
      <c r="A217" s="32" t="str">
        <f>IF(C217="","",COUNTA($C$4:C217))</f>
        <v/>
      </c>
      <c r="B217" s="32" t="str">
        <f t="shared" si="40"/>
        <v/>
      </c>
      <c r="C217" s="62"/>
      <c r="D217" s="24"/>
      <c r="E217" s="58"/>
      <c r="F217" s="24"/>
      <c r="G217" s="61"/>
      <c r="H217" s="34"/>
      <c r="I217" s="26"/>
      <c r="J217" s="60"/>
      <c r="K217" s="24"/>
      <c r="L217" s="27"/>
      <c r="M217" s="26"/>
      <c r="N217" s="46"/>
      <c r="O217" s="25"/>
    </row>
    <row r="218" spans="1:15" ht="15.75" x14ac:dyDescent="0.25">
      <c r="A218" s="32" t="str">
        <f>IF(C218="","",COUNTA($C$4:C218))</f>
        <v/>
      </c>
      <c r="B218" s="32" t="str">
        <f t="shared" si="40"/>
        <v/>
      </c>
      <c r="C218" s="62"/>
      <c r="D218" s="24"/>
      <c r="E218" s="58"/>
      <c r="F218" s="24"/>
      <c r="G218" s="58"/>
      <c r="H218" s="34"/>
      <c r="I218" s="26"/>
      <c r="J218" s="60"/>
      <c r="K218" s="24"/>
      <c r="L218" s="27"/>
      <c r="M218" s="26"/>
      <c r="N218" s="46"/>
      <c r="O218" s="25"/>
    </row>
    <row r="219" spans="1:15" ht="15.75" x14ac:dyDescent="0.25">
      <c r="A219" s="32" t="str">
        <f>IF(C219="","",COUNTA($C$4:C219))</f>
        <v/>
      </c>
      <c r="B219" s="32" t="str">
        <f t="shared" ref="B219" si="41">IF(C219="","",TEXT(C219,"mmmm"))</f>
        <v/>
      </c>
      <c r="C219" s="62"/>
      <c r="D219" s="24"/>
      <c r="E219" s="58"/>
      <c r="F219" s="24"/>
      <c r="G219" s="58"/>
      <c r="H219" s="34"/>
      <c r="I219" s="26"/>
      <c r="J219" s="60"/>
      <c r="K219" s="24"/>
      <c r="L219" s="27"/>
      <c r="M219" s="26"/>
      <c r="N219" s="46"/>
      <c r="O219" s="25"/>
    </row>
    <row r="220" spans="1:15" ht="15.75" x14ac:dyDescent="0.25">
      <c r="A220" s="32" t="str">
        <f>IF(C220="","",COUNTA($C$4:C220))</f>
        <v/>
      </c>
      <c r="B220" s="32" t="str">
        <f t="shared" ref="B220" si="42">IF(C220="","",TEXT(C220,"mmmm"))</f>
        <v/>
      </c>
      <c r="C220" s="62"/>
      <c r="D220" s="24"/>
      <c r="E220" s="58"/>
      <c r="F220" s="24"/>
      <c r="G220" s="58"/>
      <c r="H220" s="34"/>
      <c r="I220" s="26"/>
      <c r="J220" s="60"/>
      <c r="K220" s="24"/>
      <c r="L220" s="27"/>
      <c r="M220" s="26"/>
      <c r="N220" s="46"/>
      <c r="O220" s="25"/>
    </row>
    <row r="221" spans="1:15" ht="15.75" x14ac:dyDescent="0.25">
      <c r="A221" s="32" t="str">
        <f>IF(C221="","",COUNTA($C$4:C221))</f>
        <v/>
      </c>
      <c r="B221" s="32" t="str">
        <f t="shared" si="35"/>
        <v/>
      </c>
      <c r="C221" s="62"/>
      <c r="D221" s="24"/>
      <c r="E221" s="58"/>
      <c r="F221" s="24"/>
      <c r="G221" s="58"/>
      <c r="H221" s="34"/>
      <c r="I221" s="26"/>
      <c r="J221" s="60"/>
      <c r="K221" s="24"/>
      <c r="L221" s="27"/>
      <c r="M221" s="26"/>
      <c r="N221" s="46"/>
      <c r="O221" s="25"/>
    </row>
    <row r="222" spans="1:15" ht="15.75" x14ac:dyDescent="0.25">
      <c r="A222" s="32" t="str">
        <f>IF(C222="","",COUNTA($C$4:C222))</f>
        <v/>
      </c>
      <c r="B222" s="32" t="str">
        <f t="shared" si="35"/>
        <v/>
      </c>
      <c r="C222" s="62"/>
      <c r="D222" s="24"/>
      <c r="E222" s="58"/>
      <c r="F222" s="24"/>
      <c r="G222" s="58"/>
      <c r="H222" s="34"/>
      <c r="I222" s="26"/>
      <c r="J222" s="60"/>
      <c r="K222" s="24"/>
      <c r="L222" s="27"/>
      <c r="M222" s="26"/>
      <c r="N222" s="46"/>
      <c r="O222" s="25"/>
    </row>
    <row r="223" spans="1:15" ht="15.75" x14ac:dyDescent="0.25">
      <c r="A223" s="32" t="str">
        <f>IF(C223="","",COUNTA($C$4:C223))</f>
        <v/>
      </c>
      <c r="B223" s="32" t="str">
        <f t="shared" si="35"/>
        <v/>
      </c>
      <c r="C223" s="62"/>
      <c r="D223" s="24"/>
      <c r="E223" s="58"/>
      <c r="F223" s="24"/>
      <c r="G223" s="58"/>
      <c r="H223" s="34"/>
      <c r="I223" s="26"/>
      <c r="J223" s="60"/>
      <c r="K223" s="24"/>
      <c r="L223" s="27"/>
      <c r="M223" s="26"/>
      <c r="N223" s="46"/>
      <c r="O223" s="25"/>
    </row>
    <row r="224" spans="1:15" ht="15.75" x14ac:dyDescent="0.25">
      <c r="A224" s="32" t="str">
        <f>IF(C224="","",COUNTA($C$4:C224))</f>
        <v/>
      </c>
      <c r="B224" s="32" t="str">
        <f t="shared" si="35"/>
        <v/>
      </c>
      <c r="C224" s="62"/>
      <c r="D224" s="24"/>
      <c r="E224" s="58"/>
      <c r="F224" s="24"/>
      <c r="G224" s="58"/>
      <c r="H224" s="34"/>
      <c r="I224" s="26"/>
      <c r="J224" s="60"/>
      <c r="K224" s="24"/>
      <c r="L224" s="27"/>
      <c r="M224" s="26"/>
      <c r="N224" s="46"/>
      <c r="O224" s="25"/>
    </row>
    <row r="225" spans="1:15" ht="15.75" x14ac:dyDescent="0.25">
      <c r="A225" s="32" t="str">
        <f>IF(C225="","",COUNTA($C$4:C225))</f>
        <v/>
      </c>
      <c r="B225" s="32" t="str">
        <f t="shared" si="35"/>
        <v/>
      </c>
      <c r="C225" s="62"/>
      <c r="D225" s="24"/>
      <c r="E225" s="58"/>
      <c r="F225" s="24"/>
      <c r="G225" s="58"/>
      <c r="H225" s="34"/>
      <c r="I225" s="26"/>
      <c r="J225" s="64"/>
      <c r="K225" s="24"/>
      <c r="L225" s="27"/>
      <c r="M225" s="26"/>
      <c r="N225" s="46"/>
      <c r="O225" s="25"/>
    </row>
    <row r="226" spans="1:15" ht="15.75" x14ac:dyDescent="0.25">
      <c r="A226" s="32" t="str">
        <f>IF(C226="","",COUNTA($C$4:C226))</f>
        <v/>
      </c>
      <c r="B226" s="32" t="str">
        <f t="shared" si="35"/>
        <v/>
      </c>
      <c r="C226" s="62"/>
      <c r="D226" s="24"/>
      <c r="E226" s="58"/>
      <c r="F226" s="24"/>
      <c r="G226" s="58"/>
      <c r="H226" s="34"/>
      <c r="I226" s="26"/>
      <c r="J226" s="64"/>
      <c r="K226" s="24"/>
      <c r="L226" s="27"/>
      <c r="M226" s="26"/>
      <c r="N226" s="46"/>
      <c r="O226" s="25"/>
    </row>
    <row r="227" spans="1:15" ht="15.75" x14ac:dyDescent="0.25">
      <c r="A227" s="32" t="str">
        <f>IF(C227="","",COUNTA($C$4:C227))</f>
        <v/>
      </c>
      <c r="B227" s="32" t="str">
        <f t="shared" si="35"/>
        <v/>
      </c>
      <c r="C227" s="62"/>
      <c r="D227" s="24"/>
      <c r="E227" s="58"/>
      <c r="F227" s="24"/>
      <c r="G227" s="58"/>
      <c r="H227" s="34"/>
      <c r="I227" s="26"/>
      <c r="J227" s="64"/>
      <c r="K227" s="24"/>
      <c r="L227" s="27"/>
      <c r="M227" s="26"/>
      <c r="N227" s="46"/>
      <c r="O227" s="25"/>
    </row>
    <row r="228" spans="1:15" ht="15.75" x14ac:dyDescent="0.25">
      <c r="A228" s="32" t="str">
        <f>IF(C228="","",COUNTA($C$4:C228))</f>
        <v/>
      </c>
      <c r="B228" s="32" t="str">
        <f t="shared" si="35"/>
        <v/>
      </c>
      <c r="C228" s="62"/>
      <c r="D228" s="24"/>
      <c r="E228" s="58"/>
      <c r="F228" s="24"/>
      <c r="G228" s="58"/>
      <c r="H228" s="34"/>
      <c r="I228" s="26"/>
      <c r="J228" s="64"/>
      <c r="K228" s="24"/>
      <c r="L228" s="27"/>
      <c r="M228" s="26"/>
      <c r="N228" s="46"/>
      <c r="O228" s="25"/>
    </row>
    <row r="229" spans="1:15" ht="15.75" x14ac:dyDescent="0.25">
      <c r="A229" s="32" t="str">
        <f>IF(C229="","",COUNTA($C$4:C229))</f>
        <v/>
      </c>
      <c r="B229" s="32" t="str">
        <f t="shared" si="35"/>
        <v/>
      </c>
      <c r="C229" s="62"/>
      <c r="D229" s="24"/>
      <c r="E229" s="58"/>
      <c r="F229" s="24"/>
      <c r="G229" s="58"/>
      <c r="H229" s="34"/>
      <c r="I229" s="26"/>
      <c r="J229" s="64"/>
      <c r="K229" s="24"/>
      <c r="L229" s="27"/>
      <c r="M229" s="26"/>
      <c r="N229" s="46"/>
      <c r="O229" s="25"/>
    </row>
    <row r="230" spans="1:15" ht="15.75" x14ac:dyDescent="0.25">
      <c r="A230" s="32" t="str">
        <f>IF(C230="","",COUNTA($C$4:C230))</f>
        <v/>
      </c>
      <c r="B230" s="32" t="str">
        <f t="shared" si="35"/>
        <v/>
      </c>
      <c r="C230" s="62"/>
      <c r="D230" s="24"/>
      <c r="E230" s="58"/>
      <c r="F230" s="24"/>
      <c r="G230" s="58"/>
      <c r="H230" s="34"/>
      <c r="I230" s="26"/>
      <c r="J230" s="64"/>
      <c r="K230" s="24"/>
      <c r="L230" s="27"/>
      <c r="M230" s="26"/>
      <c r="N230" s="46"/>
      <c r="O230" s="25"/>
    </row>
    <row r="231" spans="1:15" ht="15.75" x14ac:dyDescent="0.25">
      <c r="A231" s="32" t="str">
        <f>IF(C231="","",COUNTA($C$4:C231))</f>
        <v/>
      </c>
      <c r="B231" s="32" t="str">
        <f t="shared" si="35"/>
        <v/>
      </c>
      <c r="C231" s="62"/>
      <c r="D231" s="24"/>
      <c r="E231" s="58"/>
      <c r="F231" s="24"/>
      <c r="G231" s="58"/>
      <c r="H231" s="34"/>
      <c r="I231" s="26"/>
      <c r="J231" s="64"/>
      <c r="K231" s="24"/>
      <c r="L231" s="27"/>
      <c r="M231" s="26"/>
      <c r="N231" s="46"/>
      <c r="O231" s="25"/>
    </row>
    <row r="232" spans="1:15" ht="15.75" x14ac:dyDescent="0.25">
      <c r="A232" s="32" t="str">
        <f>IF(C232="","",COUNTA($C$4:C232))</f>
        <v/>
      </c>
      <c r="B232" s="32" t="str">
        <f t="shared" si="35"/>
        <v/>
      </c>
      <c r="C232" s="62"/>
      <c r="D232" s="24"/>
      <c r="E232" s="58"/>
      <c r="F232" s="24"/>
      <c r="G232" s="61"/>
      <c r="H232" s="34"/>
      <c r="I232" s="26"/>
      <c r="J232" s="64"/>
      <c r="K232" s="24"/>
      <c r="L232" s="27"/>
      <c r="M232" s="26"/>
      <c r="N232" s="46"/>
      <c r="O232" s="25"/>
    </row>
    <row r="233" spans="1:15" ht="15.75" x14ac:dyDescent="0.25">
      <c r="A233" s="32" t="str">
        <f>IF(C233="","",COUNTA($C$4:C233))</f>
        <v/>
      </c>
      <c r="B233" s="32" t="str">
        <f t="shared" si="35"/>
        <v/>
      </c>
      <c r="C233" s="62"/>
      <c r="D233" s="24"/>
      <c r="E233" s="58"/>
      <c r="F233" s="24"/>
      <c r="G233" s="61"/>
      <c r="H233" s="34"/>
      <c r="I233" s="26"/>
      <c r="J233" s="64"/>
      <c r="K233" s="24"/>
      <c r="L233" s="27"/>
      <c r="M233" s="26"/>
      <c r="N233" s="46"/>
      <c r="O233" s="25"/>
    </row>
    <row r="234" spans="1:15" ht="15.75" x14ac:dyDescent="0.25">
      <c r="A234" s="32" t="str">
        <f>IF(C234="","",COUNTA($C$4:C234))</f>
        <v/>
      </c>
      <c r="B234" s="32" t="str">
        <f t="shared" si="35"/>
        <v/>
      </c>
      <c r="C234" s="62"/>
      <c r="D234" s="24"/>
      <c r="E234" s="58"/>
      <c r="F234" s="24"/>
      <c r="G234" s="61"/>
      <c r="H234" s="34"/>
      <c r="I234" s="26"/>
      <c r="J234" s="64"/>
      <c r="K234" s="24"/>
      <c r="L234" s="27"/>
      <c r="M234" s="26"/>
      <c r="N234" s="46"/>
      <c r="O234" s="25"/>
    </row>
    <row r="235" spans="1:15" ht="15.75" x14ac:dyDescent="0.25">
      <c r="A235" s="32" t="str">
        <f>IF(C235="","",COUNTA($C$4:C235))</f>
        <v/>
      </c>
      <c r="B235" s="32" t="str">
        <f t="shared" si="35"/>
        <v/>
      </c>
      <c r="C235" s="62"/>
      <c r="D235" s="24"/>
      <c r="E235" s="58"/>
      <c r="F235" s="24"/>
      <c r="G235" s="61"/>
      <c r="H235" s="34"/>
      <c r="I235" s="26"/>
      <c r="J235" s="64"/>
      <c r="K235" s="24"/>
      <c r="L235" s="27"/>
      <c r="M235" s="26"/>
      <c r="N235" s="46"/>
      <c r="O235" s="25"/>
    </row>
    <row r="236" spans="1:15" ht="15.75" x14ac:dyDescent="0.25">
      <c r="A236" s="32" t="str">
        <f>IF(C236="","",COUNTA($C$4:C236))</f>
        <v/>
      </c>
      <c r="B236" s="32" t="str">
        <f t="shared" si="35"/>
        <v/>
      </c>
      <c r="C236" s="62"/>
      <c r="D236" s="24"/>
      <c r="E236" s="34"/>
      <c r="F236" s="24"/>
      <c r="G236" s="34"/>
      <c r="H236" s="34"/>
      <c r="I236" s="26"/>
      <c r="J236" s="64"/>
      <c r="K236" s="24"/>
      <c r="L236" s="27"/>
      <c r="M236" s="26"/>
      <c r="N236" s="46"/>
      <c r="O236" s="25"/>
    </row>
    <row r="237" spans="1:15" ht="15.75" x14ac:dyDescent="0.25">
      <c r="A237" s="32" t="str">
        <f>IF(C237="","",COUNTA($C$4:C237))</f>
        <v/>
      </c>
      <c r="B237" s="32" t="str">
        <f t="shared" si="35"/>
        <v/>
      </c>
      <c r="C237" s="62"/>
      <c r="D237" s="24"/>
      <c r="E237" s="34"/>
      <c r="F237" s="24"/>
      <c r="G237" s="34"/>
      <c r="H237" s="34"/>
      <c r="I237" s="26"/>
      <c r="J237" s="64"/>
      <c r="K237" s="24"/>
      <c r="L237" s="27"/>
      <c r="M237" s="26"/>
      <c r="N237" s="46"/>
      <c r="O237" s="25"/>
    </row>
    <row r="238" spans="1:15" ht="15.75" x14ac:dyDescent="0.25">
      <c r="A238" s="32"/>
      <c r="B238" s="32"/>
      <c r="C238" s="62"/>
      <c r="D238" s="24"/>
      <c r="E238" s="34"/>
      <c r="F238" s="24"/>
      <c r="G238" s="34"/>
      <c r="H238" s="34"/>
      <c r="I238" s="26"/>
      <c r="J238" s="64"/>
      <c r="K238" s="24"/>
      <c r="L238" s="27"/>
      <c r="M238" s="26"/>
      <c r="N238" s="46"/>
      <c r="O238" s="25"/>
    </row>
    <row r="239" spans="1:15" ht="15.75" x14ac:dyDescent="0.25">
      <c r="A239" s="32" t="str">
        <f>IF(C239="","",COUNTA($C$4:C239))</f>
        <v/>
      </c>
      <c r="B239" s="32" t="str">
        <f t="shared" ref="B239:B303" si="43">IF(C239="","",TEXT(C239,"mmmm"))</f>
        <v/>
      </c>
      <c r="C239" s="62"/>
      <c r="D239" s="24"/>
      <c r="E239" s="34"/>
      <c r="F239" s="24"/>
      <c r="G239" s="34"/>
      <c r="H239" s="34"/>
      <c r="I239" s="26"/>
      <c r="J239" s="64"/>
      <c r="K239" s="24"/>
      <c r="L239" s="27"/>
      <c r="M239" s="26"/>
      <c r="N239" s="46"/>
      <c r="O239" s="25"/>
    </row>
    <row r="240" spans="1:15" ht="15.75" x14ac:dyDescent="0.25">
      <c r="A240" s="32" t="str">
        <f>IF(C240="","",COUNTA($C$4:C240))</f>
        <v/>
      </c>
      <c r="B240" s="32" t="str">
        <f t="shared" si="43"/>
        <v/>
      </c>
      <c r="C240" s="62"/>
      <c r="D240" s="24"/>
      <c r="E240" s="34"/>
      <c r="F240" s="24"/>
      <c r="G240" s="34"/>
      <c r="H240" s="34"/>
      <c r="I240" s="26"/>
      <c r="J240" s="64"/>
      <c r="K240" s="24"/>
      <c r="L240" s="27"/>
      <c r="M240" s="26"/>
      <c r="N240" s="46"/>
      <c r="O240" s="25"/>
    </row>
    <row r="241" spans="1:15" ht="15.75" x14ac:dyDescent="0.25">
      <c r="A241" s="32" t="str">
        <f>IF(C241="","",COUNTA($C$4:C241))</f>
        <v/>
      </c>
      <c r="B241" s="32" t="str">
        <f t="shared" si="43"/>
        <v/>
      </c>
      <c r="C241" s="62"/>
      <c r="D241" s="24"/>
      <c r="E241" s="34"/>
      <c r="F241" s="24"/>
      <c r="G241" s="58"/>
      <c r="H241" s="34"/>
      <c r="I241" s="26"/>
      <c r="J241" s="64"/>
      <c r="K241" s="24"/>
      <c r="L241" s="27"/>
      <c r="M241" s="26"/>
      <c r="N241" s="46"/>
      <c r="O241" s="25"/>
    </row>
    <row r="242" spans="1:15" ht="15.75" x14ac:dyDescent="0.25">
      <c r="A242" s="32" t="str">
        <f>IF(C242="","",COUNTA($C$4:C242))</f>
        <v/>
      </c>
      <c r="B242" s="32" t="str">
        <f t="shared" si="43"/>
        <v/>
      </c>
      <c r="C242" s="62"/>
      <c r="D242" s="24"/>
      <c r="E242" s="34"/>
      <c r="F242" s="24"/>
      <c r="G242" s="58"/>
      <c r="H242" s="34"/>
      <c r="I242" s="26"/>
      <c r="J242" s="64"/>
      <c r="K242" s="24"/>
      <c r="L242" s="27"/>
      <c r="M242" s="26"/>
      <c r="N242" s="46"/>
      <c r="O242" s="25"/>
    </row>
    <row r="243" spans="1:15" ht="15.75" x14ac:dyDescent="0.25">
      <c r="A243" s="32" t="str">
        <f>IF(C243="","",COUNTA($C$4:C243))</f>
        <v/>
      </c>
      <c r="B243" s="32" t="str">
        <f t="shared" si="43"/>
        <v/>
      </c>
      <c r="C243" s="62"/>
      <c r="D243" s="24"/>
      <c r="E243" s="34"/>
      <c r="F243" s="24"/>
      <c r="G243" s="58"/>
      <c r="H243" s="34"/>
      <c r="I243" s="26"/>
      <c r="J243" s="64"/>
      <c r="K243" s="24"/>
      <c r="L243" s="27"/>
      <c r="M243" s="26"/>
      <c r="N243" s="46"/>
      <c r="O243" s="25"/>
    </row>
    <row r="244" spans="1:15" ht="15.75" x14ac:dyDescent="0.25">
      <c r="A244" s="32" t="str">
        <f>IF(C244="","",COUNTA($C$4:C244))</f>
        <v/>
      </c>
      <c r="B244" s="32" t="str">
        <f t="shared" si="43"/>
        <v/>
      </c>
      <c r="C244" s="62"/>
      <c r="D244" s="24"/>
      <c r="E244" s="34"/>
      <c r="F244" s="24"/>
      <c r="G244" s="58"/>
      <c r="H244" s="34"/>
      <c r="I244" s="26"/>
      <c r="J244" s="64"/>
      <c r="K244" s="24"/>
      <c r="L244" s="27"/>
      <c r="M244" s="26"/>
      <c r="N244" s="46"/>
      <c r="O244" s="25"/>
    </row>
    <row r="245" spans="1:15" ht="15.75" x14ac:dyDescent="0.25">
      <c r="A245" s="32" t="str">
        <f>IF(C245="","",COUNTA($C$4:C245))</f>
        <v/>
      </c>
      <c r="B245" s="32" t="str">
        <f t="shared" si="43"/>
        <v/>
      </c>
      <c r="C245" s="62"/>
      <c r="D245" s="24"/>
      <c r="E245" s="34"/>
      <c r="F245" s="24"/>
      <c r="G245" s="34"/>
      <c r="H245" s="34"/>
      <c r="I245" s="26"/>
      <c r="J245" s="64"/>
      <c r="K245" s="24"/>
      <c r="L245" s="27"/>
      <c r="M245" s="26"/>
      <c r="N245" s="46"/>
      <c r="O245" s="25"/>
    </row>
    <row r="246" spans="1:15" ht="15.75" x14ac:dyDescent="0.25">
      <c r="A246" s="32" t="str">
        <f>IF(C246="","",COUNTA($C$4:C246))</f>
        <v/>
      </c>
      <c r="B246" s="32" t="str">
        <f t="shared" si="43"/>
        <v/>
      </c>
      <c r="C246" s="62"/>
      <c r="D246" s="24"/>
      <c r="E246" s="34"/>
      <c r="F246" s="24"/>
      <c r="G246" s="34"/>
      <c r="H246" s="34"/>
      <c r="I246" s="26"/>
      <c r="J246" s="64"/>
      <c r="K246" s="24"/>
      <c r="L246" s="27"/>
      <c r="M246" s="26"/>
      <c r="N246" s="46"/>
      <c r="O246" s="25"/>
    </row>
    <row r="247" spans="1:15" ht="15.75" x14ac:dyDescent="0.25">
      <c r="A247" s="32" t="str">
        <f>IF(C247="","",COUNTA($C$4:C247))</f>
        <v/>
      </c>
      <c r="B247" s="32" t="str">
        <f t="shared" si="43"/>
        <v/>
      </c>
      <c r="C247" s="62"/>
      <c r="D247" s="24"/>
      <c r="E247" s="34"/>
      <c r="F247" s="24"/>
      <c r="G247" s="58"/>
      <c r="H247" s="34"/>
      <c r="I247" s="26"/>
      <c r="J247" s="64"/>
      <c r="K247" s="24"/>
      <c r="L247" s="27"/>
      <c r="M247" s="26"/>
      <c r="N247" s="46"/>
      <c r="O247" s="25"/>
    </row>
    <row r="248" spans="1:15" ht="15.75" x14ac:dyDescent="0.25">
      <c r="A248" s="32" t="str">
        <f>IF(C248="","",COUNTA($C$4:C248))</f>
        <v/>
      </c>
      <c r="B248" s="32" t="str">
        <f t="shared" ref="B248" si="44">IF(C248="","",TEXT(C248,"mmmm"))</f>
        <v/>
      </c>
      <c r="C248" s="62"/>
      <c r="D248" s="24"/>
      <c r="E248" s="34"/>
      <c r="F248" s="24"/>
      <c r="G248" s="58"/>
      <c r="H248" s="34"/>
      <c r="I248" s="26"/>
      <c r="J248" s="64"/>
      <c r="K248" s="24"/>
      <c r="L248" s="27"/>
      <c r="M248" s="26"/>
      <c r="N248" s="46"/>
      <c r="O248" s="25"/>
    </row>
    <row r="249" spans="1:15" ht="15.75" x14ac:dyDescent="0.25">
      <c r="A249" s="32" t="str">
        <f>IF(C249="","",COUNTA($C$4:C249))</f>
        <v/>
      </c>
      <c r="B249" s="32" t="str">
        <f t="shared" si="43"/>
        <v/>
      </c>
      <c r="C249" s="62"/>
      <c r="D249" s="24"/>
      <c r="E249" s="34"/>
      <c r="F249" s="24"/>
      <c r="G249" s="34"/>
      <c r="H249" s="34"/>
      <c r="I249" s="26"/>
      <c r="J249" s="64"/>
      <c r="K249" s="24"/>
      <c r="L249" s="27"/>
      <c r="M249" s="26"/>
      <c r="N249" s="46"/>
      <c r="O249" s="25"/>
    </row>
    <row r="250" spans="1:15" ht="15.75" x14ac:dyDescent="0.25">
      <c r="A250" s="32" t="str">
        <f>IF(C250="","",COUNTA($C$4:C250))</f>
        <v/>
      </c>
      <c r="B250" s="32" t="str">
        <f t="shared" si="43"/>
        <v/>
      </c>
      <c r="C250" s="62"/>
      <c r="D250" s="24"/>
      <c r="E250" s="34"/>
      <c r="F250" s="24"/>
      <c r="G250" s="58"/>
      <c r="H250" s="34"/>
      <c r="I250" s="26"/>
      <c r="J250" s="64"/>
      <c r="K250" s="27"/>
      <c r="L250" s="27"/>
      <c r="M250" s="26"/>
      <c r="N250" s="46"/>
      <c r="O250" s="25"/>
    </row>
    <row r="251" spans="1:15" ht="15.75" x14ac:dyDescent="0.25">
      <c r="A251" s="32" t="str">
        <f>IF(C251="","",COUNTA($C$4:C251))</f>
        <v/>
      </c>
      <c r="B251" s="32" t="str">
        <f t="shared" si="43"/>
        <v/>
      </c>
      <c r="C251" s="62"/>
      <c r="D251" s="24"/>
      <c r="E251" s="34"/>
      <c r="F251" s="24"/>
      <c r="G251" s="34"/>
      <c r="H251" s="34"/>
      <c r="I251" s="26"/>
      <c r="J251" s="64"/>
      <c r="K251" s="24"/>
      <c r="L251" s="27"/>
      <c r="M251" s="26"/>
      <c r="N251" s="46"/>
      <c r="O251" s="25"/>
    </row>
    <row r="252" spans="1:15" ht="15.75" x14ac:dyDescent="0.25">
      <c r="A252" s="32" t="str">
        <f>IF(C252="","",COUNTA($C$4:C252))</f>
        <v/>
      </c>
      <c r="B252" s="32" t="str">
        <f t="shared" si="43"/>
        <v/>
      </c>
      <c r="C252" s="62"/>
      <c r="D252" s="24"/>
      <c r="E252" s="34"/>
      <c r="F252" s="24"/>
      <c r="G252" s="34"/>
      <c r="H252" s="34"/>
      <c r="I252" s="26"/>
      <c r="J252" s="64"/>
      <c r="K252" s="24"/>
      <c r="L252" s="27"/>
      <c r="M252" s="26"/>
      <c r="N252" s="46"/>
      <c r="O252" s="25"/>
    </row>
    <row r="253" spans="1:15" ht="15.75" x14ac:dyDescent="0.25">
      <c r="A253" s="32" t="str">
        <f>IF(C253="","",COUNTA($C$4:C253))</f>
        <v/>
      </c>
      <c r="B253" s="32" t="str">
        <f t="shared" si="43"/>
        <v/>
      </c>
      <c r="C253" s="62"/>
      <c r="D253" s="24"/>
      <c r="E253" s="34"/>
      <c r="F253" s="24"/>
      <c r="G253" s="34"/>
      <c r="H253" s="34"/>
      <c r="I253" s="26"/>
      <c r="J253" s="64"/>
      <c r="K253" s="24"/>
      <c r="L253" s="27"/>
      <c r="M253" s="26"/>
      <c r="N253" s="46"/>
      <c r="O253" s="25"/>
    </row>
    <row r="254" spans="1:15" ht="15.75" x14ac:dyDescent="0.25">
      <c r="A254" s="32" t="str">
        <f>IF(C254="","",COUNTA($C$4:C254))</f>
        <v/>
      </c>
      <c r="B254" s="32" t="str">
        <f t="shared" si="43"/>
        <v/>
      </c>
      <c r="C254" s="62"/>
      <c r="D254" s="24"/>
      <c r="E254" s="34"/>
      <c r="F254" s="24"/>
      <c r="G254" s="58"/>
      <c r="H254" s="34"/>
      <c r="I254" s="26"/>
      <c r="J254" s="64"/>
      <c r="K254" s="24"/>
      <c r="L254" s="27"/>
      <c r="M254" s="26"/>
      <c r="N254" s="46"/>
      <c r="O254" s="25"/>
    </row>
    <row r="255" spans="1:15" ht="15.75" x14ac:dyDescent="0.25">
      <c r="A255" s="32" t="str">
        <f>IF(C255="","",COUNTA($C$4:C255))</f>
        <v/>
      </c>
      <c r="B255" s="32" t="str">
        <f t="shared" si="43"/>
        <v/>
      </c>
      <c r="C255" s="62"/>
      <c r="D255" s="24"/>
      <c r="E255" s="34"/>
      <c r="F255" s="24"/>
      <c r="G255" s="58"/>
      <c r="H255" s="34"/>
      <c r="I255" s="26"/>
      <c r="J255" s="64"/>
      <c r="K255" s="24"/>
      <c r="L255" s="27"/>
      <c r="M255" s="26"/>
      <c r="N255" s="46"/>
      <c r="O255" s="25"/>
    </row>
    <row r="256" spans="1:15" ht="15.75" x14ac:dyDescent="0.25">
      <c r="A256" s="32" t="str">
        <f>IF(C256="","",COUNTA($C$4:C256))</f>
        <v/>
      </c>
      <c r="B256" s="32" t="str">
        <f t="shared" si="43"/>
        <v/>
      </c>
      <c r="C256" s="62"/>
      <c r="D256" s="24"/>
      <c r="E256" s="34"/>
      <c r="F256" s="24"/>
      <c r="G256" s="58"/>
      <c r="H256" s="34"/>
      <c r="I256" s="26"/>
      <c r="J256" s="64"/>
      <c r="K256" s="24"/>
      <c r="L256" s="27"/>
      <c r="M256" s="26"/>
      <c r="N256" s="46"/>
      <c r="O256" s="25"/>
    </row>
    <row r="257" spans="1:15" ht="15.75" x14ac:dyDescent="0.25">
      <c r="A257" s="32" t="str">
        <f>IF(C257="","",COUNTA($C$4:C257))</f>
        <v/>
      </c>
      <c r="B257" s="32" t="str">
        <f t="shared" si="43"/>
        <v/>
      </c>
      <c r="C257" s="62"/>
      <c r="D257" s="24"/>
      <c r="E257" s="34"/>
      <c r="F257" s="24"/>
      <c r="G257" s="58"/>
      <c r="H257" s="34"/>
      <c r="I257" s="26"/>
      <c r="J257" s="64"/>
      <c r="K257" s="24"/>
      <c r="L257" s="27"/>
      <c r="M257" s="26"/>
      <c r="N257" s="46"/>
      <c r="O257" s="25"/>
    </row>
    <row r="258" spans="1:15" ht="15.75" x14ac:dyDescent="0.25">
      <c r="A258" s="32" t="str">
        <f>IF(C258="","",COUNTA($C$4:C258))</f>
        <v/>
      </c>
      <c r="B258" s="32" t="str">
        <f t="shared" si="43"/>
        <v/>
      </c>
      <c r="C258" s="62"/>
      <c r="D258" s="24"/>
      <c r="E258" s="34"/>
      <c r="F258" s="24"/>
      <c r="G258" s="58"/>
      <c r="H258" s="34"/>
      <c r="I258" s="26"/>
      <c r="J258" s="64"/>
      <c r="K258" s="24"/>
      <c r="L258" s="27"/>
      <c r="M258" s="26"/>
      <c r="N258" s="46"/>
      <c r="O258" s="25"/>
    </row>
    <row r="259" spans="1:15" ht="15.75" x14ac:dyDescent="0.25">
      <c r="A259" s="32" t="str">
        <f>IF(C259="","",COUNTA($C$4:C259))</f>
        <v/>
      </c>
      <c r="B259" s="32" t="str">
        <f t="shared" si="43"/>
        <v/>
      </c>
      <c r="C259" s="62"/>
      <c r="D259" s="24"/>
      <c r="E259" s="34"/>
      <c r="F259" s="24"/>
      <c r="G259" s="58"/>
      <c r="H259" s="34"/>
      <c r="I259" s="26"/>
      <c r="J259" s="64"/>
      <c r="K259" s="24"/>
      <c r="L259" s="27"/>
      <c r="M259" s="26"/>
      <c r="N259" s="46"/>
      <c r="O259" s="25"/>
    </row>
    <row r="260" spans="1:15" ht="15.75" x14ac:dyDescent="0.25">
      <c r="A260" s="32" t="str">
        <f>IF(C260="","",COUNTA($C$4:C260))</f>
        <v/>
      </c>
      <c r="B260" s="32" t="str">
        <f t="shared" si="43"/>
        <v/>
      </c>
      <c r="C260" s="62"/>
      <c r="D260" s="24"/>
      <c r="E260" s="34"/>
      <c r="F260" s="24"/>
      <c r="G260" s="58"/>
      <c r="H260" s="34"/>
      <c r="I260" s="26"/>
      <c r="J260" s="64"/>
      <c r="K260" s="24"/>
      <c r="L260" s="27"/>
      <c r="M260" s="26"/>
      <c r="N260" s="46"/>
      <c r="O260" s="25"/>
    </row>
    <row r="261" spans="1:15" ht="15.75" x14ac:dyDescent="0.25">
      <c r="A261" s="32" t="str">
        <f>IF(C261="","",COUNTA($C$4:C261))</f>
        <v/>
      </c>
      <c r="B261" s="32" t="str">
        <f t="shared" si="43"/>
        <v/>
      </c>
      <c r="C261" s="62"/>
      <c r="D261" s="24"/>
      <c r="E261" s="34"/>
      <c r="F261" s="24"/>
      <c r="G261" s="58"/>
      <c r="H261" s="34"/>
      <c r="I261" s="26"/>
      <c r="J261" s="64"/>
      <c r="K261" s="24"/>
      <c r="L261" s="27"/>
      <c r="M261" s="26"/>
      <c r="N261" s="46"/>
      <c r="O261" s="25"/>
    </row>
    <row r="262" spans="1:15" ht="15.75" x14ac:dyDescent="0.25">
      <c r="A262" s="32" t="str">
        <f>IF(C262="","",COUNTA($C$4:C262))</f>
        <v/>
      </c>
      <c r="B262" s="32" t="str">
        <f t="shared" si="43"/>
        <v/>
      </c>
      <c r="C262" s="62"/>
      <c r="D262" s="24"/>
      <c r="E262" s="34"/>
      <c r="F262" s="24"/>
      <c r="G262" s="58"/>
      <c r="H262" s="34"/>
      <c r="I262" s="26"/>
      <c r="J262" s="64"/>
      <c r="K262" s="24"/>
      <c r="L262" s="27"/>
      <c r="M262" s="26"/>
      <c r="N262" s="46"/>
      <c r="O262" s="25"/>
    </row>
    <row r="263" spans="1:15" ht="15.75" x14ac:dyDescent="0.25">
      <c r="A263" s="32" t="str">
        <f>IF(C263="","",COUNTA($C$4:C263))</f>
        <v/>
      </c>
      <c r="B263" s="32" t="str">
        <f t="shared" si="43"/>
        <v/>
      </c>
      <c r="C263" s="62"/>
      <c r="D263" s="24"/>
      <c r="E263" s="34"/>
      <c r="F263" s="24"/>
      <c r="G263" s="58"/>
      <c r="H263" s="34"/>
      <c r="I263" s="26"/>
      <c r="J263" s="64"/>
      <c r="K263" s="24"/>
      <c r="L263" s="27"/>
      <c r="M263" s="26"/>
      <c r="N263" s="46"/>
      <c r="O263" s="25"/>
    </row>
    <row r="264" spans="1:15" ht="15.75" x14ac:dyDescent="0.25">
      <c r="A264" s="32" t="str">
        <f>IF(C264="","",COUNTA($C$4:C264))</f>
        <v/>
      </c>
      <c r="B264" s="32" t="str">
        <f t="shared" si="43"/>
        <v/>
      </c>
      <c r="C264" s="62"/>
      <c r="D264" s="24"/>
      <c r="E264" s="34"/>
      <c r="F264" s="24"/>
      <c r="G264" s="34"/>
      <c r="H264" s="34"/>
      <c r="I264" s="26"/>
      <c r="J264" s="64"/>
      <c r="K264" s="24"/>
      <c r="L264" s="27"/>
      <c r="M264" s="26"/>
      <c r="N264" s="46"/>
      <c r="O264" s="25"/>
    </row>
    <row r="265" spans="1:15" ht="15.75" x14ac:dyDescent="0.25">
      <c r="A265" s="32" t="str">
        <f>IF(C265="","",COUNTA($C$4:C265))</f>
        <v/>
      </c>
      <c r="B265" s="32" t="str">
        <f t="shared" si="43"/>
        <v/>
      </c>
      <c r="C265" s="62"/>
      <c r="D265" s="24"/>
      <c r="E265" s="34"/>
      <c r="F265" s="24"/>
      <c r="G265" s="34"/>
      <c r="H265" s="34"/>
      <c r="I265" s="26"/>
      <c r="J265" s="64"/>
      <c r="K265" s="24"/>
      <c r="L265" s="27"/>
      <c r="M265" s="26"/>
      <c r="N265" s="46"/>
      <c r="O265" s="25"/>
    </row>
    <row r="266" spans="1:15" ht="15.75" x14ac:dyDescent="0.25">
      <c r="A266" s="32" t="str">
        <f>IF(C266="","",COUNTA($C$4:C266))</f>
        <v/>
      </c>
      <c r="B266" s="32" t="str">
        <f t="shared" si="43"/>
        <v/>
      </c>
      <c r="C266" s="62"/>
      <c r="D266" s="24"/>
      <c r="E266" s="34"/>
      <c r="F266" s="24"/>
      <c r="G266" s="34"/>
      <c r="H266" s="34"/>
      <c r="I266" s="26"/>
      <c r="J266" s="64"/>
      <c r="K266" s="24"/>
      <c r="L266" s="27"/>
      <c r="M266" s="26"/>
      <c r="N266" s="46"/>
      <c r="O266" s="25"/>
    </row>
    <row r="267" spans="1:15" ht="15.75" x14ac:dyDescent="0.25">
      <c r="A267" s="32" t="str">
        <f>IF(C267="","",COUNTA($C$4:C267))</f>
        <v/>
      </c>
      <c r="B267" s="32" t="str">
        <f t="shared" si="43"/>
        <v/>
      </c>
      <c r="C267" s="62"/>
      <c r="D267" s="24"/>
      <c r="E267" s="34"/>
      <c r="F267" s="24"/>
      <c r="G267" s="34"/>
      <c r="H267" s="34"/>
      <c r="I267" s="26"/>
      <c r="J267" s="64"/>
      <c r="K267" s="24"/>
      <c r="L267" s="27"/>
      <c r="M267" s="26"/>
      <c r="N267" s="46"/>
      <c r="O267" s="25"/>
    </row>
    <row r="268" spans="1:15" ht="15.75" x14ac:dyDescent="0.25">
      <c r="A268" s="32" t="str">
        <f>IF(C268="","",COUNTA($C$4:C268))</f>
        <v/>
      </c>
      <c r="B268" s="32" t="str">
        <f t="shared" si="43"/>
        <v/>
      </c>
      <c r="C268" s="62"/>
      <c r="D268" s="24"/>
      <c r="E268" s="34"/>
      <c r="F268" s="24"/>
      <c r="G268" s="34"/>
      <c r="H268" s="34"/>
      <c r="I268" s="26"/>
      <c r="J268" s="64"/>
      <c r="K268" s="24"/>
      <c r="L268" s="27"/>
      <c r="M268" s="26"/>
      <c r="N268" s="46"/>
      <c r="O268" s="25"/>
    </row>
    <row r="269" spans="1:15" ht="15.75" x14ac:dyDescent="0.25">
      <c r="A269" s="32" t="str">
        <f>IF(C269="","",COUNTA($C$4:C269))</f>
        <v/>
      </c>
      <c r="B269" s="32" t="str">
        <f t="shared" si="43"/>
        <v/>
      </c>
      <c r="C269" s="62"/>
      <c r="D269" s="24"/>
      <c r="E269" s="34"/>
      <c r="F269" s="24"/>
      <c r="G269" s="34"/>
      <c r="H269" s="34"/>
      <c r="I269" s="26"/>
      <c r="J269" s="64"/>
      <c r="K269" s="24"/>
      <c r="L269" s="27"/>
      <c r="M269" s="26"/>
      <c r="N269" s="46"/>
      <c r="O269" s="25"/>
    </row>
    <row r="270" spans="1:15" ht="15.75" x14ac:dyDescent="0.25">
      <c r="A270" s="32" t="str">
        <f>IF(C270="","",COUNTA($C$4:C270))</f>
        <v/>
      </c>
      <c r="B270" s="32" t="str">
        <f t="shared" si="43"/>
        <v/>
      </c>
      <c r="C270" s="62"/>
      <c r="D270" s="24"/>
      <c r="E270" s="34"/>
      <c r="F270" s="24"/>
      <c r="G270" s="34"/>
      <c r="H270" s="34"/>
      <c r="I270" s="26"/>
      <c r="J270" s="64"/>
      <c r="K270" s="24"/>
      <c r="L270" s="27"/>
      <c r="M270" s="26"/>
      <c r="N270" s="46"/>
      <c r="O270" s="25"/>
    </row>
    <row r="271" spans="1:15" ht="15.75" x14ac:dyDescent="0.25">
      <c r="A271" s="32" t="str">
        <f>IF(C271="","",COUNTA($C$4:C271))</f>
        <v/>
      </c>
      <c r="B271" s="32" t="str">
        <f t="shared" ref="B271" si="45">IF(C271="","",TEXT(C271,"mmmm"))</f>
        <v/>
      </c>
      <c r="C271" s="62"/>
      <c r="D271" s="24"/>
      <c r="E271" s="34"/>
      <c r="F271" s="24"/>
      <c r="G271" s="34"/>
      <c r="H271" s="34"/>
      <c r="I271" s="26"/>
      <c r="J271" s="64"/>
      <c r="K271" s="24"/>
      <c r="L271" s="27"/>
      <c r="M271" s="26"/>
      <c r="N271" s="46"/>
      <c r="O271" s="25"/>
    </row>
    <row r="272" spans="1:15" ht="15.75" x14ac:dyDescent="0.25">
      <c r="A272" s="32" t="str">
        <f>IF(C272="","",COUNTA($C$4:C272))</f>
        <v/>
      </c>
      <c r="B272" s="32" t="str">
        <f t="shared" si="43"/>
        <v/>
      </c>
      <c r="C272" s="62"/>
      <c r="D272" s="24"/>
      <c r="E272" s="34"/>
      <c r="F272" s="24"/>
      <c r="G272" s="34"/>
      <c r="H272" s="34"/>
      <c r="I272" s="26"/>
      <c r="J272" s="64"/>
      <c r="K272" s="24"/>
      <c r="L272" s="27"/>
      <c r="M272" s="26"/>
      <c r="N272" s="46"/>
      <c r="O272" s="25"/>
    </row>
    <row r="273" spans="1:15" ht="15.75" x14ac:dyDescent="0.25">
      <c r="A273" s="32" t="str">
        <f>IF(C273="","",COUNTA($C$4:C273))</f>
        <v/>
      </c>
      <c r="B273" s="32" t="str">
        <f t="shared" si="43"/>
        <v/>
      </c>
      <c r="C273" s="62"/>
      <c r="D273" s="24"/>
      <c r="E273" s="34"/>
      <c r="F273" s="24"/>
      <c r="G273" s="34"/>
      <c r="H273" s="34"/>
      <c r="I273" s="26"/>
      <c r="J273" s="64"/>
      <c r="K273" s="24"/>
      <c r="L273" s="27"/>
      <c r="M273" s="26"/>
      <c r="N273" s="46"/>
      <c r="O273" s="25"/>
    </row>
    <row r="274" spans="1:15" ht="15.75" x14ac:dyDescent="0.25">
      <c r="A274" s="32" t="str">
        <f>IF(C274="","",COUNTA($C$4:C274))</f>
        <v/>
      </c>
      <c r="B274" s="32" t="str">
        <f t="shared" si="43"/>
        <v/>
      </c>
      <c r="C274" s="62"/>
      <c r="D274" s="24"/>
      <c r="E274" s="34"/>
      <c r="F274" s="24"/>
      <c r="G274" s="34"/>
      <c r="H274" s="34"/>
      <c r="I274" s="26"/>
      <c r="J274" s="64"/>
      <c r="K274" s="24"/>
      <c r="L274" s="27"/>
      <c r="M274" s="26"/>
      <c r="N274" s="46"/>
      <c r="O274" s="25"/>
    </row>
    <row r="275" spans="1:15" ht="15.75" x14ac:dyDescent="0.25">
      <c r="A275" s="32" t="str">
        <f>IF(C275="","",COUNTA($C$4:C275))</f>
        <v/>
      </c>
      <c r="B275" s="32" t="str">
        <f t="shared" si="43"/>
        <v/>
      </c>
      <c r="C275" s="62"/>
      <c r="D275" s="24"/>
      <c r="E275" s="34"/>
      <c r="F275" s="24"/>
      <c r="G275" s="34"/>
      <c r="H275" s="34"/>
      <c r="I275" s="26"/>
      <c r="J275" s="64"/>
      <c r="K275" s="24"/>
      <c r="L275" s="27"/>
      <c r="M275" s="26"/>
      <c r="N275" s="46"/>
      <c r="O275" s="25"/>
    </row>
    <row r="276" spans="1:15" ht="15.75" x14ac:dyDescent="0.25">
      <c r="A276" s="32" t="str">
        <f>IF(C276="","",COUNTA($C$4:C276))</f>
        <v/>
      </c>
      <c r="B276" s="32" t="str">
        <f t="shared" si="43"/>
        <v/>
      </c>
      <c r="C276" s="62"/>
      <c r="D276" s="24"/>
      <c r="E276" s="34"/>
      <c r="F276" s="24"/>
      <c r="G276" s="34"/>
      <c r="H276" s="34"/>
      <c r="I276" s="26"/>
      <c r="J276" s="64"/>
      <c r="K276" s="27"/>
      <c r="L276" s="27"/>
      <c r="M276" s="26"/>
      <c r="N276" s="46"/>
      <c r="O276" s="25"/>
    </row>
    <row r="277" spans="1:15" ht="15.75" x14ac:dyDescent="0.25">
      <c r="A277" s="32" t="str">
        <f>IF(C277="","",COUNTA($C$4:C277))</f>
        <v/>
      </c>
      <c r="B277" s="32" t="str">
        <f t="shared" si="43"/>
        <v/>
      </c>
      <c r="C277" s="62"/>
      <c r="D277" s="24"/>
      <c r="E277" s="34"/>
      <c r="F277" s="24"/>
      <c r="G277" s="34"/>
      <c r="H277" s="34"/>
      <c r="I277" s="26"/>
      <c r="J277" s="64"/>
      <c r="K277" s="24"/>
      <c r="L277" s="27"/>
      <c r="M277" s="26"/>
      <c r="N277" s="46"/>
      <c r="O277" s="25"/>
    </row>
    <row r="278" spans="1:15" ht="15.75" x14ac:dyDescent="0.25">
      <c r="A278" s="32" t="str">
        <f>IF(C278="","",COUNTA($C$4:C278))</f>
        <v/>
      </c>
      <c r="B278" s="32" t="str">
        <f t="shared" si="43"/>
        <v/>
      </c>
      <c r="C278" s="62"/>
      <c r="D278" s="24"/>
      <c r="E278" s="34"/>
      <c r="F278" s="24"/>
      <c r="G278" s="34"/>
      <c r="H278" s="34"/>
      <c r="I278" s="26"/>
      <c r="J278" s="64"/>
      <c r="K278" s="24"/>
      <c r="L278" s="27"/>
      <c r="M278" s="26"/>
      <c r="N278" s="46"/>
      <c r="O278" s="25"/>
    </row>
    <row r="279" spans="1:15" ht="15.75" x14ac:dyDescent="0.25">
      <c r="A279" s="32" t="str">
        <f>IF(C279="","",COUNTA($C$4:C279))</f>
        <v/>
      </c>
      <c r="B279" s="32" t="str">
        <f t="shared" si="43"/>
        <v/>
      </c>
      <c r="C279" s="62"/>
      <c r="D279" s="24"/>
      <c r="E279" s="34"/>
      <c r="F279" s="24"/>
      <c r="G279" s="58"/>
      <c r="H279" s="34"/>
      <c r="I279" s="26"/>
      <c r="J279" s="64"/>
      <c r="K279" s="24"/>
      <c r="L279" s="27"/>
      <c r="M279" s="26"/>
      <c r="N279" s="46"/>
      <c r="O279" s="25"/>
    </row>
    <row r="280" spans="1:15" ht="15.75" x14ac:dyDescent="0.25">
      <c r="A280" s="32" t="str">
        <f>IF(C280="","",COUNTA($C$4:C280))</f>
        <v/>
      </c>
      <c r="B280" s="32" t="str">
        <f t="shared" si="43"/>
        <v/>
      </c>
      <c r="C280" s="62"/>
      <c r="D280" s="24"/>
      <c r="E280" s="34"/>
      <c r="F280" s="24"/>
      <c r="G280" s="58"/>
      <c r="H280" s="34"/>
      <c r="I280" s="26"/>
      <c r="J280" s="64"/>
      <c r="K280" s="24"/>
      <c r="L280" s="27"/>
      <c r="M280" s="26"/>
      <c r="N280" s="46"/>
      <c r="O280" s="25"/>
    </row>
    <row r="281" spans="1:15" ht="15.75" x14ac:dyDescent="0.25">
      <c r="A281" s="32" t="str">
        <f>IF(C281="","",COUNTA($C$4:C281))</f>
        <v/>
      </c>
      <c r="B281" s="32" t="str">
        <f t="shared" si="43"/>
        <v/>
      </c>
      <c r="C281" s="62"/>
      <c r="D281" s="24"/>
      <c r="E281" s="34"/>
      <c r="F281" s="24"/>
      <c r="G281" s="58"/>
      <c r="H281" s="34"/>
      <c r="I281" s="26"/>
      <c r="J281" s="64"/>
      <c r="K281" s="24"/>
      <c r="L281" s="27"/>
      <c r="M281" s="26"/>
      <c r="N281" s="46"/>
      <c r="O281" s="25"/>
    </row>
    <row r="282" spans="1:15" ht="15.75" x14ac:dyDescent="0.25">
      <c r="A282" s="32" t="str">
        <f>IF(C282="","",COUNTA($C$4:C282))</f>
        <v/>
      </c>
      <c r="B282" s="32" t="str">
        <f t="shared" ref="B282" si="46">IF(C282="","",TEXT(C282,"mmmm"))</f>
        <v/>
      </c>
      <c r="C282" s="62"/>
      <c r="D282" s="24"/>
      <c r="E282" s="34"/>
      <c r="F282" s="24"/>
      <c r="G282" s="58"/>
      <c r="H282" s="34"/>
      <c r="I282" s="26"/>
      <c r="J282" s="64"/>
      <c r="K282" s="24"/>
      <c r="L282" s="27"/>
      <c r="M282" s="26"/>
      <c r="N282" s="46"/>
      <c r="O282" s="25"/>
    </row>
    <row r="283" spans="1:15" ht="15.75" x14ac:dyDescent="0.25">
      <c r="A283" s="32" t="str">
        <f>IF(C283="","",COUNTA($C$4:C283))</f>
        <v/>
      </c>
      <c r="B283" s="32" t="str">
        <f t="shared" si="43"/>
        <v/>
      </c>
      <c r="C283" s="62"/>
      <c r="D283" s="24"/>
      <c r="E283" s="34"/>
      <c r="F283" s="24"/>
      <c r="G283" s="34"/>
      <c r="H283" s="34"/>
      <c r="I283" s="26"/>
      <c r="J283" s="64"/>
      <c r="K283" s="24"/>
      <c r="L283" s="27"/>
      <c r="M283" s="26"/>
      <c r="N283" s="46"/>
      <c r="O283" s="25"/>
    </row>
    <row r="284" spans="1:15" ht="15.75" x14ac:dyDescent="0.25">
      <c r="A284" s="32" t="str">
        <f>IF(C284="","",COUNTA($C$4:C284))</f>
        <v/>
      </c>
      <c r="B284" s="32" t="str">
        <f t="shared" si="43"/>
        <v/>
      </c>
      <c r="C284" s="62"/>
      <c r="D284" s="24"/>
      <c r="E284" s="34"/>
      <c r="F284" s="24"/>
      <c r="G284" s="34"/>
      <c r="H284" s="34"/>
      <c r="I284" s="26"/>
      <c r="J284" s="64"/>
      <c r="K284" s="24"/>
      <c r="L284" s="27"/>
      <c r="M284" s="26"/>
      <c r="N284" s="46"/>
      <c r="O284" s="25"/>
    </row>
    <row r="285" spans="1:15" ht="15.75" x14ac:dyDescent="0.25">
      <c r="A285" s="32" t="str">
        <f>IF(C285="","",COUNTA($C$4:C285))</f>
        <v/>
      </c>
      <c r="B285" s="32" t="str">
        <f t="shared" si="43"/>
        <v/>
      </c>
      <c r="C285" s="62"/>
      <c r="D285" s="24"/>
      <c r="E285" s="34"/>
      <c r="F285" s="24"/>
      <c r="G285" s="34"/>
      <c r="H285" s="34"/>
      <c r="I285" s="26"/>
      <c r="J285" s="64"/>
      <c r="K285" s="24"/>
      <c r="L285" s="27"/>
      <c r="M285" s="26"/>
      <c r="N285" s="46"/>
      <c r="O285" s="25"/>
    </row>
    <row r="286" spans="1:15" ht="15.75" x14ac:dyDescent="0.25">
      <c r="A286" s="32" t="str">
        <f>IF(C286="","",COUNTA($C$4:C286))</f>
        <v/>
      </c>
      <c r="B286" s="32" t="str">
        <f t="shared" si="43"/>
        <v/>
      </c>
      <c r="C286" s="62"/>
      <c r="D286" s="24"/>
      <c r="E286" s="34"/>
      <c r="F286" s="24"/>
      <c r="G286" s="34"/>
      <c r="H286" s="34"/>
      <c r="I286" s="26"/>
      <c r="J286" s="64"/>
      <c r="K286" s="24"/>
      <c r="L286" s="27"/>
      <c r="M286" s="26"/>
      <c r="N286" s="46"/>
      <c r="O286" s="25"/>
    </row>
    <row r="287" spans="1:15" ht="15.75" x14ac:dyDescent="0.25">
      <c r="A287" s="32" t="str">
        <f>IF(C287="","",COUNTA($C$4:C287))</f>
        <v/>
      </c>
      <c r="B287" s="32" t="str">
        <f t="shared" si="43"/>
        <v/>
      </c>
      <c r="C287" s="62"/>
      <c r="D287" s="24"/>
      <c r="E287" s="34"/>
      <c r="F287" s="24"/>
      <c r="G287" s="58"/>
      <c r="H287" s="34"/>
      <c r="I287" s="26"/>
      <c r="J287" s="64"/>
      <c r="K287" s="24"/>
      <c r="L287" s="27"/>
      <c r="M287" s="26"/>
      <c r="N287" s="46"/>
      <c r="O287" s="25"/>
    </row>
    <row r="288" spans="1:15" ht="15.75" x14ac:dyDescent="0.25">
      <c r="A288" s="32" t="str">
        <f>IF(C288="","",COUNTA($C$4:C288))</f>
        <v/>
      </c>
      <c r="B288" s="32" t="str">
        <f t="shared" si="43"/>
        <v/>
      </c>
      <c r="C288" s="62"/>
      <c r="D288" s="24"/>
      <c r="E288" s="34"/>
      <c r="F288" s="24"/>
      <c r="G288" s="58"/>
      <c r="H288" s="34"/>
      <c r="I288" s="26"/>
      <c r="J288" s="64"/>
      <c r="K288" s="24"/>
      <c r="L288" s="27"/>
      <c r="M288" s="26"/>
      <c r="N288" s="46"/>
      <c r="O288" s="25"/>
    </row>
    <row r="289" spans="1:15" ht="15.75" x14ac:dyDescent="0.25">
      <c r="A289" s="32" t="str">
        <f>IF(C289="","",COUNTA($C$4:C289))</f>
        <v/>
      </c>
      <c r="B289" s="32" t="str">
        <f t="shared" si="43"/>
        <v/>
      </c>
      <c r="C289" s="62"/>
      <c r="D289" s="24"/>
      <c r="E289" s="34"/>
      <c r="F289" s="24"/>
      <c r="G289" s="58"/>
      <c r="H289" s="34"/>
      <c r="I289" s="26"/>
      <c r="J289" s="64"/>
      <c r="K289" s="24"/>
      <c r="L289" s="27"/>
      <c r="M289" s="26"/>
      <c r="N289" s="46"/>
      <c r="O289" s="25"/>
    </row>
    <row r="290" spans="1:15" ht="15.75" x14ac:dyDescent="0.25">
      <c r="A290" s="32" t="str">
        <f>IF(C290="","",COUNTA($C$4:C290))</f>
        <v/>
      </c>
      <c r="B290" s="32" t="str">
        <f t="shared" si="43"/>
        <v/>
      </c>
      <c r="C290" s="62"/>
      <c r="D290" s="24"/>
      <c r="E290" s="34"/>
      <c r="F290" s="24"/>
      <c r="G290" s="58"/>
      <c r="H290" s="34"/>
      <c r="I290" s="26"/>
      <c r="J290" s="64"/>
      <c r="K290" s="24"/>
      <c r="L290" s="27"/>
      <c r="M290" s="26"/>
      <c r="N290" s="46"/>
      <c r="O290" s="25"/>
    </row>
    <row r="291" spans="1:15" ht="15.75" x14ac:dyDescent="0.25">
      <c r="A291" s="32" t="str">
        <f>IF(C291="","",COUNTA($C$4:C291))</f>
        <v/>
      </c>
      <c r="B291" s="32" t="str">
        <f t="shared" si="43"/>
        <v/>
      </c>
      <c r="C291" s="62"/>
      <c r="D291" s="24"/>
      <c r="E291" s="34"/>
      <c r="F291" s="24"/>
      <c r="G291" s="58"/>
      <c r="H291" s="34"/>
      <c r="I291" s="26"/>
      <c r="J291" s="64"/>
      <c r="K291" s="24"/>
      <c r="L291" s="27"/>
      <c r="M291" s="26"/>
      <c r="N291" s="46"/>
      <c r="O291" s="25"/>
    </row>
    <row r="292" spans="1:15" ht="15.75" x14ac:dyDescent="0.25">
      <c r="A292" s="32" t="str">
        <f>IF(C292="","",COUNTA($C$4:C292))</f>
        <v/>
      </c>
      <c r="B292" s="32" t="str">
        <f t="shared" si="43"/>
        <v/>
      </c>
      <c r="C292" s="62"/>
      <c r="D292" s="24"/>
      <c r="E292" s="34"/>
      <c r="F292" s="24"/>
      <c r="G292" s="58"/>
      <c r="H292" s="34"/>
      <c r="I292" s="26"/>
      <c r="J292" s="64"/>
      <c r="K292" s="24"/>
      <c r="L292" s="27"/>
      <c r="M292" s="26"/>
      <c r="N292" s="46"/>
      <c r="O292" s="25"/>
    </row>
    <row r="293" spans="1:15" ht="15.75" x14ac:dyDescent="0.25">
      <c r="A293" s="32" t="str">
        <f>IF(C293="","",COUNTA($C$4:C293))</f>
        <v/>
      </c>
      <c r="B293" s="32" t="str">
        <f t="shared" si="43"/>
        <v/>
      </c>
      <c r="C293" s="62"/>
      <c r="D293" s="24"/>
      <c r="E293" s="34"/>
      <c r="F293" s="24"/>
      <c r="G293" s="58"/>
      <c r="H293" s="34"/>
      <c r="I293" s="26"/>
      <c r="J293" s="64"/>
      <c r="K293" s="24"/>
      <c r="L293" s="27"/>
      <c r="M293" s="26"/>
      <c r="N293" s="46"/>
      <c r="O293" s="25"/>
    </row>
    <row r="294" spans="1:15" ht="15.75" x14ac:dyDescent="0.25">
      <c r="A294" s="32" t="str">
        <f>IF(C294="","",COUNTA($C$4:C294))</f>
        <v/>
      </c>
      <c r="B294" s="32" t="str">
        <f t="shared" si="43"/>
        <v/>
      </c>
      <c r="C294" s="62"/>
      <c r="D294" s="24"/>
      <c r="E294" s="34"/>
      <c r="F294" s="24"/>
      <c r="G294" s="58"/>
      <c r="H294" s="34"/>
      <c r="I294" s="26"/>
      <c r="J294" s="64"/>
      <c r="K294" s="24"/>
      <c r="L294" s="27"/>
      <c r="M294" s="26"/>
      <c r="N294" s="46"/>
      <c r="O294" s="25"/>
    </row>
    <row r="295" spans="1:15" ht="15.75" x14ac:dyDescent="0.25">
      <c r="A295" s="32" t="str">
        <f>IF(C295="","",COUNTA($C$4:C295))</f>
        <v/>
      </c>
      <c r="B295" s="32" t="str">
        <f t="shared" si="43"/>
        <v/>
      </c>
      <c r="C295" s="62"/>
      <c r="D295" s="24"/>
      <c r="E295" s="34"/>
      <c r="F295" s="24"/>
      <c r="G295" s="58"/>
      <c r="H295" s="34"/>
      <c r="I295" s="26"/>
      <c r="J295" s="64"/>
      <c r="K295" s="24"/>
      <c r="L295" s="27"/>
      <c r="M295" s="26"/>
      <c r="N295" s="46"/>
      <c r="O295" s="25"/>
    </row>
    <row r="296" spans="1:15" ht="15.75" x14ac:dyDescent="0.25">
      <c r="A296" s="32" t="str">
        <f>IF(C296="","",COUNTA($C$4:C296))</f>
        <v/>
      </c>
      <c r="B296" s="32" t="str">
        <f t="shared" si="43"/>
        <v/>
      </c>
      <c r="C296" s="62"/>
      <c r="D296" s="24"/>
      <c r="E296" s="34"/>
      <c r="F296" s="24"/>
      <c r="G296" s="58"/>
      <c r="H296" s="34"/>
      <c r="I296" s="26"/>
      <c r="J296" s="64"/>
      <c r="K296" s="24"/>
      <c r="L296" s="27"/>
      <c r="M296" s="26"/>
      <c r="N296" s="46"/>
      <c r="O296" s="25"/>
    </row>
    <row r="297" spans="1:15" ht="15.75" x14ac:dyDescent="0.25">
      <c r="A297" s="32" t="str">
        <f>IF(C297="","",COUNTA($C$4:C297))</f>
        <v/>
      </c>
      <c r="B297" s="32" t="str">
        <f t="shared" si="43"/>
        <v/>
      </c>
      <c r="C297" s="62"/>
      <c r="D297" s="24"/>
      <c r="E297" s="34"/>
      <c r="F297" s="24"/>
      <c r="G297" s="58"/>
      <c r="H297" s="34"/>
      <c r="I297" s="26"/>
      <c r="J297" s="64"/>
      <c r="K297" s="24"/>
      <c r="L297" s="27"/>
      <c r="M297" s="26"/>
      <c r="N297" s="46"/>
      <c r="O297" s="25"/>
    </row>
    <row r="298" spans="1:15" ht="15.75" x14ac:dyDescent="0.25">
      <c r="A298" s="32" t="str">
        <f>IF(C298="","",COUNTA($C$4:C298))</f>
        <v/>
      </c>
      <c r="B298" s="32" t="str">
        <f t="shared" si="43"/>
        <v/>
      </c>
      <c r="C298" s="62"/>
      <c r="D298" s="24"/>
      <c r="E298" s="34"/>
      <c r="F298" s="24"/>
      <c r="G298" s="58"/>
      <c r="H298" s="34"/>
      <c r="I298" s="26"/>
      <c r="J298" s="64"/>
      <c r="K298" s="24"/>
      <c r="L298" s="27"/>
      <c r="M298" s="26"/>
      <c r="N298" s="46"/>
      <c r="O298" s="25"/>
    </row>
    <row r="299" spans="1:15" ht="15.75" x14ac:dyDescent="0.25">
      <c r="A299" s="32" t="str">
        <f>IF(C299="","",COUNTA($C$4:C299))</f>
        <v/>
      </c>
      <c r="B299" s="32" t="str">
        <f t="shared" si="43"/>
        <v/>
      </c>
      <c r="C299" s="62"/>
      <c r="D299" s="24"/>
      <c r="E299" s="34"/>
      <c r="F299" s="24"/>
      <c r="G299" s="58"/>
      <c r="H299" s="34"/>
      <c r="I299" s="26"/>
      <c r="J299" s="64"/>
      <c r="K299" s="24"/>
      <c r="L299" s="27"/>
      <c r="M299" s="26"/>
      <c r="N299" s="46"/>
      <c r="O299" s="25"/>
    </row>
    <row r="300" spans="1:15" ht="15.75" x14ac:dyDescent="0.25">
      <c r="A300" s="32" t="str">
        <f>IF(C300="","",COUNTA($C$4:C300))</f>
        <v/>
      </c>
      <c r="B300" s="32" t="str">
        <f t="shared" si="43"/>
        <v/>
      </c>
      <c r="C300" s="62"/>
      <c r="D300" s="24"/>
      <c r="E300" s="34"/>
      <c r="F300" s="24"/>
      <c r="G300" s="58"/>
      <c r="H300" s="34"/>
      <c r="I300" s="26"/>
      <c r="J300" s="64"/>
      <c r="K300" s="24"/>
      <c r="L300" s="27"/>
      <c r="M300" s="26"/>
      <c r="N300" s="46"/>
      <c r="O300" s="25"/>
    </row>
    <row r="301" spans="1:15" ht="15.75" x14ac:dyDescent="0.25">
      <c r="A301" s="32" t="str">
        <f>IF(C301="","",COUNTA($C$4:C301))</f>
        <v/>
      </c>
      <c r="B301" s="32" t="str">
        <f t="shared" si="43"/>
        <v/>
      </c>
      <c r="C301" s="62"/>
      <c r="D301" s="24"/>
      <c r="E301" s="34"/>
      <c r="F301" s="24"/>
      <c r="G301" s="58"/>
      <c r="H301" s="34"/>
      <c r="I301" s="26"/>
      <c r="J301" s="64"/>
      <c r="K301" s="24"/>
      <c r="L301" s="27"/>
      <c r="M301" s="26"/>
      <c r="N301" s="46"/>
      <c r="O301" s="25"/>
    </row>
    <row r="302" spans="1:15" ht="15.75" x14ac:dyDescent="0.25">
      <c r="A302" s="32" t="str">
        <f>IF(C302="","",COUNTA($C$4:C302))</f>
        <v/>
      </c>
      <c r="B302" s="32" t="str">
        <f t="shared" si="43"/>
        <v/>
      </c>
      <c r="C302" s="62"/>
      <c r="D302" s="24"/>
      <c r="E302" s="34"/>
      <c r="F302" s="24"/>
      <c r="G302" s="34"/>
      <c r="H302" s="34"/>
      <c r="I302" s="26"/>
      <c r="J302" s="64"/>
      <c r="K302" s="24"/>
      <c r="L302" s="27"/>
      <c r="M302" s="26"/>
      <c r="N302" s="46"/>
      <c r="O302" s="25"/>
    </row>
    <row r="303" spans="1:15" ht="15.75" x14ac:dyDescent="0.25">
      <c r="A303" s="32" t="str">
        <f>IF(C303="","",COUNTA($C$4:C303))</f>
        <v/>
      </c>
      <c r="B303" s="32" t="str">
        <f t="shared" si="43"/>
        <v/>
      </c>
      <c r="C303" s="62"/>
      <c r="D303" s="24"/>
      <c r="E303" s="34"/>
      <c r="F303" s="24"/>
      <c r="G303" s="34"/>
      <c r="H303" s="34"/>
      <c r="I303" s="26"/>
      <c r="J303" s="64"/>
      <c r="K303" s="24"/>
      <c r="L303" s="27"/>
      <c r="M303" s="26"/>
      <c r="N303" s="46"/>
      <c r="O303" s="25"/>
    </row>
    <row r="304" spans="1:15" ht="15.75" x14ac:dyDescent="0.25">
      <c r="A304" s="32" t="str">
        <f>IF(C304="","",COUNTA($C$4:C304))</f>
        <v/>
      </c>
      <c r="B304" s="32" t="str">
        <f t="shared" ref="B304:B371" si="47">IF(C304="","",TEXT(C304,"mmmm"))</f>
        <v/>
      </c>
      <c r="C304" s="62"/>
      <c r="D304" s="24"/>
      <c r="E304" s="34"/>
      <c r="F304" s="69"/>
      <c r="G304" s="34"/>
      <c r="H304" s="34"/>
      <c r="I304" s="26"/>
      <c r="J304" s="64"/>
      <c r="K304" s="24"/>
      <c r="L304" s="27"/>
      <c r="M304" s="26"/>
      <c r="N304" s="46"/>
      <c r="O304" s="25"/>
    </row>
    <row r="305" spans="1:15" ht="15.75" x14ac:dyDescent="0.25">
      <c r="A305" s="32" t="str">
        <f>IF(C305="","",COUNTA($C$4:C305))</f>
        <v/>
      </c>
      <c r="B305" s="32" t="str">
        <f t="shared" si="47"/>
        <v/>
      </c>
      <c r="C305" s="62"/>
      <c r="D305" s="24"/>
      <c r="E305" s="34"/>
      <c r="F305" s="24"/>
      <c r="G305" s="34"/>
      <c r="H305" s="34"/>
      <c r="I305" s="26"/>
      <c r="J305" s="64"/>
      <c r="K305" s="24"/>
      <c r="L305" s="27"/>
      <c r="M305" s="26"/>
      <c r="N305" s="46"/>
      <c r="O305" s="25"/>
    </row>
    <row r="306" spans="1:15" ht="15.75" x14ac:dyDescent="0.25">
      <c r="A306" s="32" t="str">
        <f>IF(C306="","",COUNTA($C$4:C306))</f>
        <v/>
      </c>
      <c r="B306" s="32" t="str">
        <f t="shared" si="47"/>
        <v/>
      </c>
      <c r="C306" s="62"/>
      <c r="D306" s="24"/>
      <c r="E306" s="34"/>
      <c r="F306" s="24"/>
      <c r="G306" s="34"/>
      <c r="H306" s="34"/>
      <c r="I306" s="26"/>
      <c r="J306" s="64"/>
      <c r="K306" s="24"/>
      <c r="L306" s="27"/>
      <c r="M306" s="26"/>
      <c r="N306" s="46"/>
      <c r="O306" s="25"/>
    </row>
    <row r="307" spans="1:15" ht="15.75" x14ac:dyDescent="0.25">
      <c r="A307" s="32" t="str">
        <f>IF(C307="","",COUNTA($C$4:C307))</f>
        <v/>
      </c>
      <c r="B307" s="32" t="str">
        <f t="shared" si="47"/>
        <v/>
      </c>
      <c r="C307" s="62"/>
      <c r="D307" s="24"/>
      <c r="E307" s="34"/>
      <c r="F307" s="24"/>
      <c r="G307" s="34"/>
      <c r="H307" s="34"/>
      <c r="I307" s="26"/>
      <c r="J307" s="64"/>
      <c r="K307" s="24"/>
      <c r="L307" s="27"/>
      <c r="M307" s="26"/>
      <c r="N307" s="46"/>
      <c r="O307" s="25"/>
    </row>
    <row r="308" spans="1:15" ht="15.75" x14ac:dyDescent="0.25">
      <c r="A308" s="32" t="str">
        <f>IF(C308="","",COUNTA($C$4:C308))</f>
        <v/>
      </c>
      <c r="B308" s="32" t="str">
        <f t="shared" si="47"/>
        <v/>
      </c>
      <c r="C308" s="62"/>
      <c r="D308" s="24"/>
      <c r="E308" s="34"/>
      <c r="F308" s="69"/>
      <c r="G308" s="34"/>
      <c r="H308" s="34"/>
      <c r="I308" s="26"/>
      <c r="J308" s="64"/>
      <c r="K308" s="27"/>
      <c r="L308" s="27"/>
      <c r="M308" s="26"/>
      <c r="N308" s="46"/>
      <c r="O308" s="25"/>
    </row>
    <row r="309" spans="1:15" ht="15.75" x14ac:dyDescent="0.25">
      <c r="A309" s="32" t="str">
        <f>IF(C309="","",COUNTA($C$4:C309))</f>
        <v/>
      </c>
      <c r="B309" s="32" t="str">
        <f t="shared" si="47"/>
        <v/>
      </c>
      <c r="C309" s="62"/>
      <c r="D309" s="24"/>
      <c r="E309" s="34"/>
      <c r="F309" s="24"/>
      <c r="G309" s="34"/>
      <c r="H309" s="34"/>
      <c r="I309" s="26"/>
      <c r="J309" s="64"/>
      <c r="K309" s="24"/>
      <c r="L309" s="27"/>
      <c r="M309" s="26"/>
      <c r="N309" s="46"/>
      <c r="O309" s="25"/>
    </row>
    <row r="310" spans="1:15" ht="15.75" x14ac:dyDescent="0.25">
      <c r="A310" s="32" t="str">
        <f>IF(C310="","",COUNTA($C$4:C310))</f>
        <v/>
      </c>
      <c r="B310" s="32" t="str">
        <f t="shared" si="47"/>
        <v/>
      </c>
      <c r="C310" s="62"/>
      <c r="D310" s="24"/>
      <c r="E310" s="34"/>
      <c r="F310" s="24"/>
      <c r="G310" s="34"/>
      <c r="H310" s="34"/>
      <c r="I310" s="26"/>
      <c r="J310" s="64"/>
      <c r="K310" s="24"/>
      <c r="L310" s="27"/>
      <c r="M310" s="26"/>
      <c r="N310" s="46"/>
      <c r="O310" s="25"/>
    </row>
    <row r="311" spans="1:15" ht="15.75" x14ac:dyDescent="0.25">
      <c r="A311" s="32" t="str">
        <f>IF(C311="","",COUNTA($C$4:C311))</f>
        <v/>
      </c>
      <c r="B311" s="32" t="str">
        <f t="shared" ref="B311:B313" si="48">IF(C311="","",TEXT(C311,"mmmm"))</f>
        <v/>
      </c>
      <c r="C311" s="62"/>
      <c r="D311" s="24"/>
      <c r="E311" s="34"/>
      <c r="F311" s="24"/>
      <c r="G311" s="34"/>
      <c r="H311" s="34"/>
      <c r="I311" s="26"/>
      <c r="J311" s="64"/>
      <c r="K311" s="24"/>
      <c r="L311" s="27"/>
      <c r="M311" s="26"/>
      <c r="N311" s="46"/>
      <c r="O311" s="25"/>
    </row>
    <row r="312" spans="1:15" ht="15.75" x14ac:dyDescent="0.25">
      <c r="A312" s="32" t="str">
        <f>IF(C312="","",COUNTA($C$4:C312))</f>
        <v/>
      </c>
      <c r="B312" s="32" t="str">
        <f t="shared" si="48"/>
        <v/>
      </c>
      <c r="C312" s="62"/>
      <c r="D312" s="24"/>
      <c r="E312" s="34"/>
      <c r="F312" s="24"/>
      <c r="G312" s="34"/>
      <c r="H312" s="34"/>
      <c r="I312" s="26"/>
      <c r="J312" s="64"/>
      <c r="K312" s="24"/>
      <c r="L312" s="27"/>
      <c r="M312" s="26"/>
      <c r="N312" s="46"/>
      <c r="O312" s="25"/>
    </row>
    <row r="313" spans="1:15" ht="15.75" x14ac:dyDescent="0.25">
      <c r="A313" s="32" t="str">
        <f>IF(C313="","",COUNTA($C$4:C313))</f>
        <v/>
      </c>
      <c r="B313" s="32" t="str">
        <f t="shared" si="48"/>
        <v/>
      </c>
      <c r="C313" s="62"/>
      <c r="D313" s="24"/>
      <c r="E313" s="34"/>
      <c r="F313" s="24"/>
      <c r="G313" s="34"/>
      <c r="H313" s="34"/>
      <c r="I313" s="26"/>
      <c r="J313" s="64"/>
      <c r="K313" s="24"/>
      <c r="L313" s="27"/>
      <c r="M313" s="26"/>
      <c r="N313" s="46"/>
      <c r="O313" s="25"/>
    </row>
    <row r="314" spans="1:15" ht="15.75" x14ac:dyDescent="0.25">
      <c r="A314" s="32" t="str">
        <f>IF(C314="","",COUNTA($C$4:C314))</f>
        <v/>
      </c>
      <c r="B314" s="32" t="str">
        <f t="shared" ref="B314" si="49">IF(C314="","",TEXT(C314,"mmmm"))</f>
        <v/>
      </c>
      <c r="C314" s="62"/>
      <c r="D314" s="24"/>
      <c r="E314" s="34"/>
      <c r="F314" s="24"/>
      <c r="G314" s="34"/>
      <c r="H314" s="34"/>
      <c r="I314" s="26"/>
      <c r="J314" s="64"/>
      <c r="K314" s="24"/>
      <c r="L314" s="27"/>
      <c r="M314" s="26"/>
      <c r="N314" s="46"/>
      <c r="O314" s="25"/>
    </row>
    <row r="315" spans="1:15" ht="15.75" x14ac:dyDescent="0.25">
      <c r="A315" s="32" t="str">
        <f>IF(C315="","",COUNTA($C$4:C315))</f>
        <v/>
      </c>
      <c r="B315" s="32" t="str">
        <f t="shared" si="47"/>
        <v/>
      </c>
      <c r="C315" s="62"/>
      <c r="D315" s="25"/>
      <c r="E315" s="34"/>
      <c r="F315" s="24"/>
      <c r="G315" s="34"/>
      <c r="H315" s="34"/>
      <c r="I315" s="26"/>
      <c r="J315" s="64"/>
      <c r="K315" s="24"/>
      <c r="L315" s="27"/>
      <c r="M315" s="26"/>
      <c r="N315" s="46"/>
      <c r="O315" s="25"/>
    </row>
    <row r="316" spans="1:15" ht="15.75" x14ac:dyDescent="0.25">
      <c r="A316" s="32" t="str">
        <f>IF(C316="","",COUNTA($C$4:C316))</f>
        <v/>
      </c>
      <c r="B316" s="32" t="str">
        <f t="shared" si="47"/>
        <v/>
      </c>
      <c r="C316" s="62"/>
      <c r="D316" s="25"/>
      <c r="E316" s="34"/>
      <c r="F316" s="24"/>
      <c r="G316" s="34"/>
      <c r="H316" s="34"/>
      <c r="I316" s="26"/>
      <c r="J316" s="64"/>
      <c r="K316" s="24"/>
      <c r="L316" s="27"/>
      <c r="M316" s="26"/>
      <c r="N316" s="46"/>
      <c r="O316" s="25"/>
    </row>
    <row r="317" spans="1:15" ht="15.75" x14ac:dyDescent="0.25">
      <c r="A317" s="32" t="str">
        <f>IF(C317="","",COUNTA($C$4:C317))</f>
        <v/>
      </c>
      <c r="B317" s="32" t="str">
        <f t="shared" si="47"/>
        <v/>
      </c>
      <c r="C317" s="62"/>
      <c r="D317" s="25"/>
      <c r="E317" s="34"/>
      <c r="F317" s="24"/>
      <c r="G317" s="34"/>
      <c r="H317" s="34"/>
      <c r="I317" s="26"/>
      <c r="J317" s="64"/>
      <c r="K317" s="24"/>
      <c r="L317" s="27"/>
      <c r="M317" s="26"/>
      <c r="N317" s="46"/>
      <c r="O317" s="25"/>
    </row>
    <row r="318" spans="1:15" ht="15.75" x14ac:dyDescent="0.25">
      <c r="A318" s="32" t="str">
        <f>IF(C318="","",COUNTA($C$4:C318))</f>
        <v/>
      </c>
      <c r="B318" s="32" t="str">
        <f t="shared" si="47"/>
        <v/>
      </c>
      <c r="C318" s="62"/>
      <c r="D318" s="25"/>
      <c r="E318" s="34"/>
      <c r="F318" s="24"/>
      <c r="G318" s="34"/>
      <c r="H318" s="34"/>
      <c r="I318" s="26"/>
      <c r="J318" s="64"/>
      <c r="K318" s="24"/>
      <c r="L318" s="27"/>
      <c r="M318" s="26"/>
      <c r="N318" s="46"/>
      <c r="O318" s="25"/>
    </row>
    <row r="319" spans="1:15" ht="15.75" x14ac:dyDescent="0.25">
      <c r="A319" s="32" t="str">
        <f>IF(C319="","",COUNTA($C$4:C319))</f>
        <v/>
      </c>
      <c r="B319" s="32" t="str">
        <f t="shared" si="47"/>
        <v/>
      </c>
      <c r="C319" s="62"/>
      <c r="D319" s="25"/>
      <c r="E319" s="34"/>
      <c r="F319" s="24"/>
      <c r="G319" s="34"/>
      <c r="H319" s="34"/>
      <c r="I319" s="26"/>
      <c r="J319" s="64"/>
      <c r="K319" s="24"/>
      <c r="L319" s="27"/>
      <c r="M319" s="26"/>
      <c r="N319" s="46"/>
      <c r="O319" s="25"/>
    </row>
    <row r="320" spans="1:15" ht="15.75" x14ac:dyDescent="0.25">
      <c r="A320" s="32" t="str">
        <f>IF(C320="","",COUNTA($C$4:C320))</f>
        <v/>
      </c>
      <c r="B320" s="32" t="str">
        <f t="shared" si="47"/>
        <v/>
      </c>
      <c r="C320" s="62"/>
      <c r="D320" s="25"/>
      <c r="E320" s="34"/>
      <c r="F320" s="24"/>
      <c r="G320" s="34"/>
      <c r="H320" s="34"/>
      <c r="I320" s="26"/>
      <c r="J320" s="64"/>
      <c r="K320" s="24"/>
      <c r="L320" s="27"/>
      <c r="M320" s="26"/>
      <c r="N320" s="46"/>
      <c r="O320" s="25"/>
    </row>
    <row r="321" spans="1:15" ht="15.75" x14ac:dyDescent="0.25">
      <c r="A321" s="32" t="str">
        <f>IF(C321="","",COUNTA($C$4:C321))</f>
        <v/>
      </c>
      <c r="B321" s="32" t="str">
        <f t="shared" si="47"/>
        <v/>
      </c>
      <c r="C321" s="62"/>
      <c r="D321" s="25"/>
      <c r="E321" s="34"/>
      <c r="F321" s="69"/>
      <c r="G321" s="34"/>
      <c r="H321" s="34"/>
      <c r="I321" s="26"/>
      <c r="J321" s="64"/>
      <c r="K321" s="24"/>
      <c r="L321" s="27"/>
      <c r="M321" s="26"/>
      <c r="N321" s="46"/>
      <c r="O321" s="25"/>
    </row>
    <row r="322" spans="1:15" ht="15.75" x14ac:dyDescent="0.25">
      <c r="A322" s="32" t="str">
        <f>IF(C322="","",COUNTA($C$4:C322))</f>
        <v/>
      </c>
      <c r="B322" s="32" t="str">
        <f t="shared" si="47"/>
        <v/>
      </c>
      <c r="C322" s="62"/>
      <c r="D322" s="25"/>
      <c r="E322" s="34"/>
      <c r="F322" s="24"/>
      <c r="G322" s="58"/>
      <c r="H322" s="34"/>
      <c r="I322" s="26"/>
      <c r="J322" s="64"/>
      <c r="K322" s="24"/>
      <c r="L322" s="27"/>
      <c r="M322" s="26"/>
      <c r="N322" s="46"/>
      <c r="O322" s="25"/>
    </row>
    <row r="323" spans="1:15" ht="15.75" x14ac:dyDescent="0.25">
      <c r="A323" s="32" t="str">
        <f>IF(C323="","",COUNTA($C$4:C323))</f>
        <v/>
      </c>
      <c r="B323" s="32" t="str">
        <f t="shared" si="47"/>
        <v/>
      </c>
      <c r="C323" s="62"/>
      <c r="D323" s="25"/>
      <c r="E323" s="34"/>
      <c r="F323" s="24"/>
      <c r="G323" s="58"/>
      <c r="H323" s="34"/>
      <c r="I323" s="26"/>
      <c r="J323" s="64"/>
      <c r="K323" s="24"/>
      <c r="L323" s="27"/>
      <c r="M323" s="26"/>
      <c r="N323" s="46"/>
      <c r="O323" s="25"/>
    </row>
    <row r="324" spans="1:15" ht="15.75" x14ac:dyDescent="0.25">
      <c r="A324" s="32" t="str">
        <f>IF(C324="","",COUNTA($C$4:C324))</f>
        <v/>
      </c>
      <c r="B324" s="32" t="str">
        <f t="shared" si="47"/>
        <v/>
      </c>
      <c r="C324" s="62"/>
      <c r="D324" s="25"/>
      <c r="E324" s="34"/>
      <c r="F324" s="24"/>
      <c r="G324" s="58"/>
      <c r="H324" s="34"/>
      <c r="I324" s="26"/>
      <c r="J324" s="64"/>
      <c r="K324" s="24"/>
      <c r="L324" s="27"/>
      <c r="M324" s="26"/>
      <c r="N324" s="46"/>
      <c r="O324" s="25"/>
    </row>
    <row r="325" spans="1:15" ht="15.75" x14ac:dyDescent="0.25">
      <c r="A325" s="32" t="str">
        <f>IF(C325="","",COUNTA($C$4:C325))</f>
        <v/>
      </c>
      <c r="B325" s="32" t="str">
        <f t="shared" si="47"/>
        <v/>
      </c>
      <c r="C325" s="62"/>
      <c r="D325" s="25"/>
      <c r="E325" s="34"/>
      <c r="F325" s="24"/>
      <c r="G325" s="58"/>
      <c r="H325" s="34"/>
      <c r="I325" s="26"/>
      <c r="J325" s="64"/>
      <c r="K325" s="24"/>
      <c r="L325" s="27"/>
      <c r="M325" s="26"/>
      <c r="N325" s="46"/>
      <c r="O325" s="25"/>
    </row>
    <row r="326" spans="1:15" ht="15.75" x14ac:dyDescent="0.25">
      <c r="A326" s="32" t="str">
        <f>IF(C326="","",COUNTA($C$4:C326))</f>
        <v/>
      </c>
      <c r="B326" s="32" t="str">
        <f t="shared" si="47"/>
        <v/>
      </c>
      <c r="C326" s="62"/>
      <c r="D326" s="25"/>
      <c r="E326" s="34"/>
      <c r="F326" s="24"/>
      <c r="G326" s="58"/>
      <c r="H326" s="34"/>
      <c r="I326" s="26"/>
      <c r="J326" s="64"/>
      <c r="K326" s="24"/>
      <c r="L326" s="27"/>
      <c r="M326" s="26"/>
      <c r="N326" s="46"/>
      <c r="O326" s="25"/>
    </row>
    <row r="327" spans="1:15" ht="15.75" x14ac:dyDescent="0.25">
      <c r="A327" s="32" t="str">
        <f>IF(C327="","",COUNTA($C$4:C327))</f>
        <v/>
      </c>
      <c r="B327" s="32" t="str">
        <f t="shared" si="47"/>
        <v/>
      </c>
      <c r="C327" s="62"/>
      <c r="D327" s="25"/>
      <c r="E327" s="34"/>
      <c r="F327" s="24"/>
      <c r="G327" s="34"/>
      <c r="H327" s="34"/>
      <c r="I327" s="26"/>
      <c r="J327" s="64"/>
      <c r="K327" s="24"/>
      <c r="L327" s="27"/>
      <c r="M327" s="26"/>
      <c r="N327" s="46"/>
      <c r="O327" s="25"/>
    </row>
    <row r="328" spans="1:15" ht="15.75" x14ac:dyDescent="0.25">
      <c r="A328" s="32" t="str">
        <f>IF(C328="","",COUNTA($C$4:C328))</f>
        <v/>
      </c>
      <c r="B328" s="32" t="str">
        <f t="shared" si="47"/>
        <v/>
      </c>
      <c r="C328" s="62"/>
      <c r="D328" s="25"/>
      <c r="E328" s="34"/>
      <c r="F328" s="24"/>
      <c r="G328" s="34"/>
      <c r="H328" s="34"/>
      <c r="I328" s="26"/>
      <c r="J328" s="64"/>
      <c r="K328" s="24"/>
      <c r="L328" s="27"/>
      <c r="M328" s="26"/>
      <c r="N328" s="46"/>
      <c r="O328" s="25"/>
    </row>
    <row r="329" spans="1:15" ht="15.75" x14ac:dyDescent="0.25">
      <c r="A329" s="32" t="str">
        <f>IF(C329="","",COUNTA($C$4:C329))</f>
        <v/>
      </c>
      <c r="B329" s="32" t="str">
        <f t="shared" si="47"/>
        <v/>
      </c>
      <c r="C329" s="62"/>
      <c r="D329" s="25"/>
      <c r="E329" s="34"/>
      <c r="F329" s="24"/>
      <c r="G329" s="34"/>
      <c r="H329" s="34"/>
      <c r="I329" s="26"/>
      <c r="J329" s="64"/>
      <c r="K329" s="24"/>
      <c r="L329" s="27"/>
      <c r="M329" s="26"/>
      <c r="N329" s="46"/>
      <c r="O329" s="25"/>
    </row>
    <row r="330" spans="1:15" ht="15.75" x14ac:dyDescent="0.25">
      <c r="A330" s="32" t="str">
        <f>IF(C330="","",COUNTA($C$4:C330))</f>
        <v/>
      </c>
      <c r="B330" s="32" t="str">
        <f t="shared" si="47"/>
        <v/>
      </c>
      <c r="C330" s="62"/>
      <c r="D330" s="25"/>
      <c r="E330" s="34"/>
      <c r="F330" s="24"/>
      <c r="G330" s="34"/>
      <c r="H330" s="34"/>
      <c r="I330" s="26"/>
      <c r="J330" s="64"/>
      <c r="K330" s="24"/>
      <c r="L330" s="27"/>
      <c r="M330" s="26"/>
      <c r="N330" s="46"/>
      <c r="O330" s="25"/>
    </row>
    <row r="331" spans="1:15" ht="15.75" x14ac:dyDescent="0.25">
      <c r="A331" s="32" t="str">
        <f>IF(C331="","",COUNTA($C$4:C331))</f>
        <v/>
      </c>
      <c r="B331" s="32" t="str">
        <f t="shared" si="47"/>
        <v/>
      </c>
      <c r="C331" s="62"/>
      <c r="D331" s="65"/>
      <c r="E331" s="34"/>
      <c r="F331" s="24"/>
      <c r="G331" s="34"/>
      <c r="H331" s="34"/>
      <c r="I331" s="26"/>
      <c r="J331" s="64"/>
      <c r="K331" s="24"/>
      <c r="L331" s="27"/>
      <c r="M331" s="26"/>
      <c r="N331" s="46"/>
      <c r="O331" s="25"/>
    </row>
    <row r="332" spans="1:15" ht="15.75" x14ac:dyDescent="0.25">
      <c r="A332" s="32" t="str">
        <f>IF(C332="","",COUNTA($C$4:C332))</f>
        <v/>
      </c>
      <c r="B332" s="32" t="str">
        <f t="shared" si="47"/>
        <v/>
      </c>
      <c r="C332" s="62"/>
      <c r="D332" s="65"/>
      <c r="E332" s="34"/>
      <c r="F332" s="24"/>
      <c r="G332" s="34"/>
      <c r="H332" s="34"/>
      <c r="I332" s="26"/>
      <c r="J332" s="64"/>
      <c r="K332" s="24"/>
      <c r="L332" s="27"/>
      <c r="M332" s="26"/>
      <c r="N332" s="46"/>
      <c r="O332" s="25"/>
    </row>
    <row r="333" spans="1:15" ht="15.75" x14ac:dyDescent="0.25">
      <c r="A333" s="32" t="str">
        <f>IF(C333="","",COUNTA($C$4:C333))</f>
        <v/>
      </c>
      <c r="B333" s="32" t="str">
        <f t="shared" si="47"/>
        <v/>
      </c>
      <c r="C333" s="62"/>
      <c r="D333" s="65"/>
      <c r="E333" s="34"/>
      <c r="F333" s="24"/>
      <c r="G333" s="34"/>
      <c r="H333" s="34"/>
      <c r="I333" s="26"/>
      <c r="J333" s="64"/>
      <c r="K333" s="24"/>
      <c r="L333" s="27"/>
      <c r="M333" s="26"/>
      <c r="N333" s="46"/>
      <c r="O333" s="25"/>
    </row>
    <row r="334" spans="1:15" ht="15.75" x14ac:dyDescent="0.25">
      <c r="A334" s="32" t="str">
        <f>IF(C334="","",COUNTA($C$4:C334))</f>
        <v/>
      </c>
      <c r="B334" s="32" t="str">
        <f t="shared" si="47"/>
        <v/>
      </c>
      <c r="C334" s="62"/>
      <c r="D334" s="65"/>
      <c r="E334" s="34"/>
      <c r="F334" s="24"/>
      <c r="G334" s="34"/>
      <c r="H334" s="34"/>
      <c r="I334" s="26"/>
      <c r="J334" s="64"/>
      <c r="K334" s="24"/>
      <c r="L334" s="27"/>
      <c r="M334" s="26"/>
      <c r="N334" s="46"/>
      <c r="O334" s="25"/>
    </row>
    <row r="335" spans="1:15" ht="15.75" x14ac:dyDescent="0.25">
      <c r="A335" s="32" t="str">
        <f>IF(C335="","",COUNTA($C$4:C335))</f>
        <v/>
      </c>
      <c r="B335" s="32" t="str">
        <f t="shared" si="47"/>
        <v/>
      </c>
      <c r="C335" s="62"/>
      <c r="D335" s="65"/>
      <c r="E335" s="34"/>
      <c r="F335" s="24"/>
      <c r="G335" s="34"/>
      <c r="H335" s="34"/>
      <c r="I335" s="26"/>
      <c r="J335" s="64"/>
      <c r="K335" s="24"/>
      <c r="L335" s="27"/>
      <c r="M335" s="26"/>
      <c r="N335" s="46"/>
      <c r="O335" s="25"/>
    </row>
    <row r="336" spans="1:15" ht="15.75" x14ac:dyDescent="0.25">
      <c r="A336" s="32" t="str">
        <f>IF(C336="","",COUNTA($C$4:C336))</f>
        <v/>
      </c>
      <c r="B336" s="32" t="str">
        <f t="shared" si="47"/>
        <v/>
      </c>
      <c r="C336" s="62"/>
      <c r="D336" s="65"/>
      <c r="E336" s="34"/>
      <c r="F336" s="24"/>
      <c r="G336" s="34"/>
      <c r="H336" s="34"/>
      <c r="I336" s="26"/>
      <c r="J336" s="64"/>
      <c r="K336" s="24"/>
      <c r="L336" s="27"/>
      <c r="M336" s="26"/>
      <c r="N336" s="46"/>
      <c r="O336" s="25"/>
    </row>
    <row r="337" spans="1:15" ht="15.75" x14ac:dyDescent="0.25">
      <c r="A337" s="32" t="str">
        <f>IF(C337="","",COUNTA($C$4:C337))</f>
        <v/>
      </c>
      <c r="B337" s="32" t="str">
        <f t="shared" si="47"/>
        <v/>
      </c>
      <c r="C337" s="62"/>
      <c r="D337" s="65"/>
      <c r="E337" s="34"/>
      <c r="F337" s="24"/>
      <c r="G337" s="34"/>
      <c r="H337" s="34"/>
      <c r="I337" s="26"/>
      <c r="J337" s="64"/>
      <c r="K337" s="24"/>
      <c r="L337" s="27"/>
      <c r="M337" s="26"/>
      <c r="N337" s="46"/>
      <c r="O337" s="25"/>
    </row>
    <row r="338" spans="1:15" ht="15.75" x14ac:dyDescent="0.25">
      <c r="A338" s="32" t="str">
        <f>IF(C338="","",COUNTA($C$4:C338))</f>
        <v/>
      </c>
      <c r="B338" s="32" t="str">
        <f t="shared" si="47"/>
        <v/>
      </c>
      <c r="C338" s="62"/>
      <c r="D338" s="65"/>
      <c r="E338" s="34"/>
      <c r="F338" s="24"/>
      <c r="G338" s="34"/>
      <c r="H338" s="34"/>
      <c r="I338" s="26"/>
      <c r="J338" s="64"/>
      <c r="K338" s="24"/>
      <c r="L338" s="27"/>
      <c r="M338" s="26"/>
      <c r="N338" s="46"/>
      <c r="O338" s="25"/>
    </row>
    <row r="339" spans="1:15" ht="15.75" x14ac:dyDescent="0.25">
      <c r="A339" s="32" t="str">
        <f>IF(C339="","",COUNTA($C$4:C339))</f>
        <v/>
      </c>
      <c r="B339" s="32" t="str">
        <f t="shared" si="47"/>
        <v/>
      </c>
      <c r="C339" s="62"/>
      <c r="D339" s="65"/>
      <c r="E339" s="34"/>
      <c r="F339" s="24"/>
      <c r="G339" s="34"/>
      <c r="H339" s="34"/>
      <c r="I339" s="26"/>
      <c r="J339" s="64"/>
      <c r="K339" s="24"/>
      <c r="L339" s="27"/>
      <c r="M339" s="26"/>
      <c r="N339" s="46"/>
      <c r="O339" s="25"/>
    </row>
    <row r="340" spans="1:15" ht="15.75" x14ac:dyDescent="0.25">
      <c r="A340" s="32" t="str">
        <f>IF(C340="","",COUNTA($C$4:C340))</f>
        <v/>
      </c>
      <c r="B340" s="32" t="str">
        <f t="shared" si="47"/>
        <v/>
      </c>
      <c r="C340" s="62"/>
      <c r="D340" s="25"/>
      <c r="E340" s="34"/>
      <c r="F340" s="24"/>
      <c r="G340" s="34"/>
      <c r="H340" s="34"/>
      <c r="I340" s="26"/>
      <c r="J340" s="64"/>
      <c r="K340" s="24"/>
      <c r="L340" s="27"/>
      <c r="M340" s="26"/>
      <c r="N340" s="46"/>
      <c r="O340" s="25"/>
    </row>
    <row r="341" spans="1:15" ht="15.75" x14ac:dyDescent="0.25">
      <c r="A341" s="32" t="str">
        <f>IF(C341="","",COUNTA($C$4:C341))</f>
        <v/>
      </c>
      <c r="B341" s="32" t="str">
        <f t="shared" si="47"/>
        <v/>
      </c>
      <c r="C341" s="62"/>
      <c r="D341" s="25"/>
      <c r="E341" s="34"/>
      <c r="F341" s="24"/>
      <c r="G341" s="34"/>
      <c r="H341" s="34"/>
      <c r="I341" s="26"/>
      <c r="J341" s="64"/>
      <c r="K341" s="24"/>
      <c r="L341" s="27"/>
      <c r="M341" s="26"/>
      <c r="N341" s="46"/>
      <c r="O341" s="25"/>
    </row>
    <row r="342" spans="1:15" ht="15.75" x14ac:dyDescent="0.25">
      <c r="A342" s="32" t="str">
        <f>IF(C342="","",COUNTA($C$4:C342))</f>
        <v/>
      </c>
      <c r="B342" s="32" t="str">
        <f t="shared" si="47"/>
        <v/>
      </c>
      <c r="C342" s="62"/>
      <c r="D342" s="25"/>
      <c r="E342" s="34"/>
      <c r="F342" s="24"/>
      <c r="G342" s="34"/>
      <c r="H342" s="34"/>
      <c r="I342" s="26"/>
      <c r="J342" s="64"/>
      <c r="K342" s="24"/>
      <c r="L342" s="27"/>
      <c r="M342" s="26"/>
      <c r="N342" s="46"/>
      <c r="O342" s="25"/>
    </row>
    <row r="343" spans="1:15" ht="15.75" x14ac:dyDescent="0.25">
      <c r="A343" s="32" t="str">
        <f>IF(C343="","",COUNTA($C$4:C343))</f>
        <v/>
      </c>
      <c r="B343" s="32" t="str">
        <f t="shared" si="47"/>
        <v/>
      </c>
      <c r="C343" s="62"/>
      <c r="D343" s="25"/>
      <c r="E343" s="34"/>
      <c r="F343" s="24"/>
      <c r="G343" s="34"/>
      <c r="H343" s="34"/>
      <c r="I343" s="26"/>
      <c r="J343" s="64"/>
      <c r="K343" s="24"/>
      <c r="L343" s="27"/>
      <c r="M343" s="26"/>
      <c r="N343" s="46"/>
      <c r="O343" s="25"/>
    </row>
    <row r="344" spans="1:15" ht="15.75" x14ac:dyDescent="0.25">
      <c r="A344" s="32" t="str">
        <f>IF(C344="","",COUNTA($C$4:C344))</f>
        <v/>
      </c>
      <c r="B344" s="32" t="str">
        <f t="shared" si="47"/>
        <v/>
      </c>
      <c r="C344" s="62"/>
      <c r="D344" s="25"/>
      <c r="E344" s="34"/>
      <c r="F344" s="24"/>
      <c r="G344" s="34"/>
      <c r="H344" s="34"/>
      <c r="I344" s="26"/>
      <c r="J344" s="64"/>
      <c r="K344" s="24"/>
      <c r="L344" s="27"/>
      <c r="M344" s="26"/>
      <c r="N344" s="46"/>
      <c r="O344" s="25"/>
    </row>
    <row r="345" spans="1:15" ht="15.75" x14ac:dyDescent="0.25">
      <c r="A345" s="32" t="str">
        <f>IF(C345="","",COUNTA($C$4:C345))</f>
        <v/>
      </c>
      <c r="B345" s="32" t="str">
        <f t="shared" si="47"/>
        <v/>
      </c>
      <c r="C345" s="62"/>
      <c r="D345" s="25"/>
      <c r="E345" s="34"/>
      <c r="F345" s="24"/>
      <c r="G345" s="34"/>
      <c r="H345" s="34"/>
      <c r="I345" s="26"/>
      <c r="J345" s="64"/>
      <c r="K345" s="24"/>
      <c r="L345" s="27"/>
      <c r="M345" s="26"/>
      <c r="N345" s="46"/>
      <c r="O345" s="25"/>
    </row>
    <row r="346" spans="1:15" ht="15.75" x14ac:dyDescent="0.25">
      <c r="A346" s="32" t="str">
        <f>IF(C346="","",COUNTA($C$4:C346))</f>
        <v/>
      </c>
      <c r="B346" s="32" t="str">
        <f t="shared" si="47"/>
        <v/>
      </c>
      <c r="C346" s="62"/>
      <c r="D346" s="25"/>
      <c r="E346" s="34"/>
      <c r="F346" s="24"/>
      <c r="G346" s="34"/>
      <c r="H346" s="34"/>
      <c r="I346" s="26"/>
      <c r="J346" s="64"/>
      <c r="K346" s="24"/>
      <c r="L346" s="27"/>
      <c r="M346" s="26"/>
      <c r="N346" s="46"/>
      <c r="O346" s="25"/>
    </row>
    <row r="347" spans="1:15" ht="15.75" x14ac:dyDescent="0.25">
      <c r="A347" s="32" t="str">
        <f>IF(C347="","",COUNTA($C$4:C347))</f>
        <v/>
      </c>
      <c r="B347" s="32" t="str">
        <f t="shared" si="47"/>
        <v/>
      </c>
      <c r="C347" s="62"/>
      <c r="D347" s="25"/>
      <c r="E347" s="34"/>
      <c r="F347" s="24"/>
      <c r="G347" s="34"/>
      <c r="H347" s="34"/>
      <c r="I347" s="26"/>
      <c r="J347" s="64"/>
      <c r="K347" s="24"/>
      <c r="L347" s="27"/>
      <c r="M347" s="26"/>
      <c r="N347" s="46"/>
      <c r="O347" s="25"/>
    </row>
    <row r="348" spans="1:15" ht="15.75" x14ac:dyDescent="0.25">
      <c r="A348" s="32" t="str">
        <f>IF(C348="","",COUNTA($C$4:C348))</f>
        <v/>
      </c>
      <c r="B348" s="32" t="str">
        <f t="shared" si="47"/>
        <v/>
      </c>
      <c r="C348" s="62"/>
      <c r="D348" s="25"/>
      <c r="E348" s="34"/>
      <c r="F348" s="24"/>
      <c r="G348" s="34"/>
      <c r="H348" s="34"/>
      <c r="I348" s="26"/>
      <c r="J348" s="64"/>
      <c r="K348" s="24"/>
      <c r="L348" s="27"/>
      <c r="M348" s="26"/>
      <c r="N348" s="46"/>
      <c r="O348" s="25"/>
    </row>
    <row r="349" spans="1:15" ht="15.75" x14ac:dyDescent="0.25">
      <c r="A349" s="32" t="str">
        <f>IF(C349="","",COUNTA($C$4:C349))</f>
        <v/>
      </c>
      <c r="B349" s="32" t="str">
        <f t="shared" si="47"/>
        <v/>
      </c>
      <c r="C349" s="62"/>
      <c r="D349" s="25"/>
      <c r="E349" s="34"/>
      <c r="F349" s="24"/>
      <c r="G349" s="34"/>
      <c r="H349" s="34"/>
      <c r="I349" s="26"/>
      <c r="J349" s="64"/>
      <c r="K349" s="24"/>
      <c r="L349" s="27"/>
      <c r="M349" s="26"/>
      <c r="N349" s="46"/>
      <c r="O349" s="25"/>
    </row>
    <row r="350" spans="1:15" ht="15.75" x14ac:dyDescent="0.25">
      <c r="A350" s="32" t="str">
        <f>IF(C350="","",COUNTA($C$4:C350))</f>
        <v/>
      </c>
      <c r="B350" s="32" t="str">
        <f t="shared" si="47"/>
        <v/>
      </c>
      <c r="C350" s="62"/>
      <c r="D350" s="25"/>
      <c r="E350" s="34"/>
      <c r="F350" s="24"/>
      <c r="G350" s="34"/>
      <c r="H350" s="34"/>
      <c r="I350" s="26"/>
      <c r="J350" s="64"/>
      <c r="K350" s="24"/>
      <c r="L350" s="27"/>
      <c r="M350" s="26"/>
      <c r="N350" s="46"/>
      <c r="O350" s="25"/>
    </row>
    <row r="351" spans="1:15" ht="15.75" x14ac:dyDescent="0.25">
      <c r="A351" s="32" t="str">
        <f>IF(C351="","",COUNTA($C$4:C351))</f>
        <v/>
      </c>
      <c r="B351" s="32" t="str">
        <f t="shared" si="47"/>
        <v/>
      </c>
      <c r="C351" s="62"/>
      <c r="D351" s="25"/>
      <c r="E351" s="34"/>
      <c r="F351" s="24"/>
      <c r="G351" s="34"/>
      <c r="H351" s="34"/>
      <c r="I351" s="26"/>
      <c r="J351" s="64"/>
      <c r="K351" s="24"/>
      <c r="L351" s="27"/>
      <c r="M351" s="26"/>
      <c r="N351" s="46"/>
      <c r="O351" s="25"/>
    </row>
    <row r="352" spans="1:15" ht="15.75" x14ac:dyDescent="0.25">
      <c r="A352" s="32" t="str">
        <f>IF(C352="","",COUNTA($C$4:C352))</f>
        <v/>
      </c>
      <c r="B352" s="32" t="str">
        <f t="shared" si="47"/>
        <v/>
      </c>
      <c r="C352" s="62"/>
      <c r="D352" s="25"/>
      <c r="E352" s="34"/>
      <c r="F352" s="24"/>
      <c r="G352" s="34"/>
      <c r="H352" s="34"/>
      <c r="I352" s="26"/>
      <c r="J352" s="64"/>
      <c r="K352" s="24"/>
      <c r="L352" s="27"/>
      <c r="M352" s="26"/>
      <c r="N352" s="46"/>
      <c r="O352" s="25"/>
    </row>
    <row r="353" spans="1:15" ht="15.75" x14ac:dyDescent="0.25">
      <c r="A353" s="32" t="str">
        <f>IF(C353="","",COUNTA($C$4:C353))</f>
        <v/>
      </c>
      <c r="B353" s="32" t="str">
        <f t="shared" si="47"/>
        <v/>
      </c>
      <c r="C353" s="62"/>
      <c r="D353" s="25"/>
      <c r="E353" s="34"/>
      <c r="F353" s="24"/>
      <c r="G353" s="34"/>
      <c r="H353" s="34"/>
      <c r="I353" s="26"/>
      <c r="J353" s="64"/>
      <c r="K353" s="24"/>
      <c r="L353" s="27"/>
      <c r="M353" s="26"/>
      <c r="N353" s="46"/>
      <c r="O353" s="25"/>
    </row>
    <row r="354" spans="1:15" ht="15.75" x14ac:dyDescent="0.25">
      <c r="A354" s="32" t="str">
        <f>IF(C354="","",COUNTA($C$4:C354))</f>
        <v/>
      </c>
      <c r="B354" s="32" t="str">
        <f t="shared" si="47"/>
        <v/>
      </c>
      <c r="C354" s="62"/>
      <c r="D354" s="25"/>
      <c r="E354" s="34"/>
      <c r="F354" s="24"/>
      <c r="G354" s="34"/>
      <c r="H354" s="34"/>
      <c r="I354" s="26"/>
      <c r="J354" s="64"/>
      <c r="K354" s="24"/>
      <c r="L354" s="27"/>
      <c r="M354" s="26"/>
      <c r="N354" s="46"/>
      <c r="O354" s="25"/>
    </row>
    <row r="355" spans="1:15" ht="15.75" x14ac:dyDescent="0.25">
      <c r="A355" s="32" t="str">
        <f>IF(C355="","",COUNTA($C$4:C355))</f>
        <v/>
      </c>
      <c r="B355" s="32" t="str">
        <f t="shared" si="47"/>
        <v/>
      </c>
      <c r="C355" s="62"/>
      <c r="D355" s="25"/>
      <c r="E355" s="34"/>
      <c r="F355" s="24"/>
      <c r="G355" s="34"/>
      <c r="H355" s="34"/>
      <c r="I355" s="26"/>
      <c r="J355" s="64"/>
      <c r="K355" s="24"/>
      <c r="L355" s="27"/>
      <c r="M355" s="26"/>
      <c r="N355" s="46"/>
      <c r="O355" s="25"/>
    </row>
    <row r="356" spans="1:15" ht="15.75" x14ac:dyDescent="0.25">
      <c r="A356" s="32" t="str">
        <f>IF(C356="","",COUNTA($C$4:C356))</f>
        <v/>
      </c>
      <c r="B356" s="32" t="str">
        <f t="shared" si="47"/>
        <v/>
      </c>
      <c r="C356" s="62"/>
      <c r="D356" s="25"/>
      <c r="E356" s="34"/>
      <c r="F356" s="24"/>
      <c r="G356" s="58"/>
      <c r="H356" s="34"/>
      <c r="I356" s="26"/>
      <c r="J356" s="64"/>
      <c r="K356" s="24"/>
      <c r="L356" s="27"/>
      <c r="M356" s="26"/>
      <c r="N356" s="46"/>
      <c r="O356" s="25"/>
    </row>
    <row r="357" spans="1:15" ht="15.75" x14ac:dyDescent="0.25">
      <c r="A357" s="32" t="str">
        <f>IF(C357="","",COUNTA($C$4:C357))</f>
        <v/>
      </c>
      <c r="B357" s="32" t="str">
        <f t="shared" si="47"/>
        <v/>
      </c>
      <c r="C357" s="62"/>
      <c r="D357" s="25"/>
      <c r="E357" s="34"/>
      <c r="F357" s="24"/>
      <c r="G357" s="58"/>
      <c r="H357" s="34"/>
      <c r="I357" s="26"/>
      <c r="J357" s="64"/>
      <c r="K357" s="24"/>
      <c r="L357" s="27"/>
      <c r="M357" s="26"/>
      <c r="N357" s="46"/>
      <c r="O357" s="25"/>
    </row>
    <row r="358" spans="1:15" ht="15.75" x14ac:dyDescent="0.25">
      <c r="A358" s="32" t="str">
        <f>IF(C358="","",COUNTA($C$4:C358))</f>
        <v/>
      </c>
      <c r="B358" s="32" t="str">
        <f t="shared" si="47"/>
        <v/>
      </c>
      <c r="C358" s="25"/>
      <c r="D358" s="25"/>
      <c r="E358" s="34"/>
      <c r="F358" s="24"/>
      <c r="G358" s="34"/>
      <c r="H358" s="34"/>
      <c r="I358" s="26"/>
      <c r="J358" s="64"/>
      <c r="K358" s="24"/>
      <c r="L358" s="27"/>
      <c r="M358" s="26"/>
      <c r="N358" s="46"/>
      <c r="O358" s="25"/>
    </row>
    <row r="359" spans="1:15" ht="15.75" x14ac:dyDescent="0.25">
      <c r="A359" s="32" t="str">
        <f>IF(C359="","",COUNTA($C$4:C359))</f>
        <v/>
      </c>
      <c r="B359" s="32" t="str">
        <f t="shared" si="47"/>
        <v/>
      </c>
      <c r="C359" s="25"/>
      <c r="D359" s="25"/>
      <c r="E359" s="34"/>
      <c r="F359" s="24"/>
      <c r="G359" s="34"/>
      <c r="H359" s="34"/>
      <c r="I359" s="26"/>
      <c r="J359" s="64"/>
      <c r="K359" s="24"/>
      <c r="L359" s="27"/>
      <c r="M359" s="26"/>
      <c r="N359" s="46"/>
      <c r="O359" s="25"/>
    </row>
    <row r="360" spans="1:15" ht="15.75" x14ac:dyDescent="0.25">
      <c r="A360" s="32" t="str">
        <f>IF(C360="","",COUNTA($C$4:C360))</f>
        <v/>
      </c>
      <c r="B360" s="32" t="str">
        <f t="shared" si="47"/>
        <v/>
      </c>
      <c r="C360" s="25"/>
      <c r="D360" s="25"/>
      <c r="E360" s="34"/>
      <c r="F360" s="24"/>
      <c r="G360" s="34"/>
      <c r="H360" s="34"/>
      <c r="I360" s="26"/>
      <c r="J360" s="64"/>
      <c r="K360" s="24"/>
      <c r="L360" s="27"/>
      <c r="M360" s="26"/>
      <c r="N360" s="46"/>
      <c r="O360" s="25"/>
    </row>
    <row r="361" spans="1:15" ht="15.75" x14ac:dyDescent="0.25">
      <c r="A361" s="32" t="str">
        <f>IF(C361="","",COUNTA($C$4:C361))</f>
        <v/>
      </c>
      <c r="B361" s="32" t="str">
        <f t="shared" si="47"/>
        <v/>
      </c>
      <c r="C361" s="25"/>
      <c r="D361" s="25"/>
      <c r="E361" s="34"/>
      <c r="F361" s="24"/>
      <c r="G361" s="34"/>
      <c r="H361" s="34"/>
      <c r="I361" s="26"/>
      <c r="J361" s="64"/>
      <c r="K361" s="24"/>
      <c r="L361" s="27"/>
      <c r="M361" s="26"/>
      <c r="N361" s="46"/>
      <c r="O361" s="25"/>
    </row>
    <row r="362" spans="1:15" ht="15.75" x14ac:dyDescent="0.25">
      <c r="A362" s="32" t="str">
        <f>IF(C362="","",COUNTA($C$4:C362))</f>
        <v/>
      </c>
      <c r="B362" s="32" t="str">
        <f t="shared" si="47"/>
        <v/>
      </c>
      <c r="C362" s="25"/>
      <c r="D362" s="25"/>
      <c r="E362" s="34"/>
      <c r="F362" s="24"/>
      <c r="G362" s="34"/>
      <c r="H362" s="34"/>
      <c r="I362" s="26"/>
      <c r="J362" s="64"/>
      <c r="K362" s="24"/>
      <c r="L362" s="27"/>
      <c r="M362" s="26"/>
      <c r="N362" s="46"/>
      <c r="O362" s="25"/>
    </row>
    <row r="363" spans="1:15" ht="15.75" x14ac:dyDescent="0.25">
      <c r="A363" s="32" t="str">
        <f>IF(C363="","",COUNTA($C$4:C363))</f>
        <v/>
      </c>
      <c r="B363" s="32" t="str">
        <f t="shared" si="47"/>
        <v/>
      </c>
      <c r="C363" s="25"/>
      <c r="D363" s="25"/>
      <c r="E363" s="34"/>
      <c r="F363" s="24"/>
      <c r="G363" s="34"/>
      <c r="H363" s="34"/>
      <c r="I363" s="26"/>
      <c r="J363" s="64"/>
      <c r="K363" s="24"/>
      <c r="L363" s="27"/>
      <c r="M363" s="26"/>
      <c r="N363" s="46"/>
      <c r="O363" s="25"/>
    </row>
    <row r="364" spans="1:15" ht="15.75" x14ac:dyDescent="0.25">
      <c r="A364" s="32" t="str">
        <f>IF(C364="","",COUNTA($C$4:C364))</f>
        <v/>
      </c>
      <c r="B364" s="32" t="str">
        <f t="shared" si="47"/>
        <v/>
      </c>
      <c r="C364" s="25"/>
      <c r="D364" s="25"/>
      <c r="E364" s="34"/>
      <c r="F364" s="24"/>
      <c r="G364" s="34"/>
      <c r="H364" s="34"/>
      <c r="I364" s="26"/>
      <c r="J364" s="64"/>
      <c r="K364" s="24"/>
      <c r="L364" s="27"/>
      <c r="M364" s="26"/>
      <c r="N364" s="46"/>
      <c r="O364" s="25"/>
    </row>
    <row r="365" spans="1:15" ht="15.75" x14ac:dyDescent="0.25">
      <c r="A365" s="32" t="str">
        <f>IF(C365="","",COUNTA($C$4:C365))</f>
        <v/>
      </c>
      <c r="B365" s="32" t="str">
        <f t="shared" si="47"/>
        <v/>
      </c>
      <c r="C365" s="25"/>
      <c r="D365" s="25"/>
      <c r="E365" s="34"/>
      <c r="F365" s="24"/>
      <c r="G365" s="34"/>
      <c r="H365" s="34"/>
      <c r="I365" s="26"/>
      <c r="J365" s="64"/>
      <c r="K365" s="24"/>
      <c r="L365" s="27"/>
      <c r="M365" s="26"/>
      <c r="N365" s="46"/>
      <c r="O365" s="25"/>
    </row>
    <row r="366" spans="1:15" ht="15.75" x14ac:dyDescent="0.25">
      <c r="A366" s="32" t="str">
        <f>IF(C366="","",COUNTA($C$4:C366))</f>
        <v/>
      </c>
      <c r="B366" s="32" t="str">
        <f t="shared" si="47"/>
        <v/>
      </c>
      <c r="C366" s="25"/>
      <c r="D366" s="25"/>
      <c r="E366" s="34"/>
      <c r="F366" s="24"/>
      <c r="G366" s="34"/>
      <c r="H366" s="34"/>
      <c r="I366" s="26"/>
      <c r="J366" s="64"/>
      <c r="K366" s="24"/>
      <c r="L366" s="27"/>
      <c r="M366" s="26"/>
      <c r="N366" s="46"/>
      <c r="O366" s="25"/>
    </row>
    <row r="367" spans="1:15" ht="15.75" x14ac:dyDescent="0.25">
      <c r="A367" s="32" t="str">
        <f>IF(C367="","",COUNTA($C$4:C367))</f>
        <v/>
      </c>
      <c r="B367" s="32" t="str">
        <f t="shared" si="47"/>
        <v/>
      </c>
      <c r="C367" s="25"/>
      <c r="D367" s="25"/>
      <c r="E367" s="34"/>
      <c r="F367" s="24"/>
      <c r="G367" s="34"/>
      <c r="H367" s="34"/>
      <c r="I367" s="26"/>
      <c r="J367" s="64"/>
      <c r="K367" s="24"/>
      <c r="L367" s="27"/>
      <c r="M367" s="26"/>
      <c r="N367" s="46"/>
      <c r="O367" s="25"/>
    </row>
    <row r="368" spans="1:15" ht="15.75" x14ac:dyDescent="0.25">
      <c r="A368" s="32" t="str">
        <f>IF(C368="","",COUNTA($C$4:C368))</f>
        <v/>
      </c>
      <c r="B368" s="32" t="str">
        <f t="shared" si="47"/>
        <v/>
      </c>
      <c r="C368" s="25"/>
      <c r="D368" s="25"/>
      <c r="E368" s="34"/>
      <c r="F368" s="24"/>
      <c r="G368" s="34"/>
      <c r="H368" s="34"/>
      <c r="I368" s="26"/>
      <c r="J368" s="64"/>
      <c r="K368" s="24"/>
      <c r="L368" s="27"/>
      <c r="M368" s="26"/>
      <c r="N368" s="46"/>
      <c r="O368" s="25"/>
    </row>
    <row r="369" spans="1:15" ht="15.75" x14ac:dyDescent="0.25">
      <c r="A369" s="32" t="str">
        <f>IF(C369="","",COUNTA($C$4:C369))</f>
        <v/>
      </c>
      <c r="B369" s="32" t="str">
        <f t="shared" si="47"/>
        <v/>
      </c>
      <c r="C369" s="25"/>
      <c r="D369" s="25"/>
      <c r="E369" s="34"/>
      <c r="F369" s="24"/>
      <c r="G369" s="34"/>
      <c r="H369" s="34"/>
      <c r="I369" s="26"/>
      <c r="J369" s="64"/>
      <c r="K369" s="24"/>
      <c r="L369" s="27"/>
      <c r="M369" s="26"/>
      <c r="N369" s="46"/>
      <c r="O369" s="25"/>
    </row>
    <row r="370" spans="1:15" ht="15.75" x14ac:dyDescent="0.25">
      <c r="A370" s="32" t="str">
        <f>IF(C370="","",COUNTA($C$4:C370))</f>
        <v/>
      </c>
      <c r="B370" s="32" t="str">
        <f t="shared" si="47"/>
        <v/>
      </c>
      <c r="C370" s="25"/>
      <c r="D370" s="25"/>
      <c r="E370" s="34"/>
      <c r="F370" s="24"/>
      <c r="G370" s="34"/>
      <c r="H370" s="34"/>
      <c r="I370" s="26"/>
      <c r="J370" s="64"/>
      <c r="K370" s="24"/>
      <c r="L370" s="27"/>
      <c r="M370" s="26"/>
      <c r="N370" s="46"/>
      <c r="O370" s="25"/>
    </row>
    <row r="371" spans="1:15" ht="15.75" x14ac:dyDescent="0.25">
      <c r="A371" s="32" t="str">
        <f>IF(C371="","",COUNTA($C$4:C371))</f>
        <v/>
      </c>
      <c r="B371" s="32" t="str">
        <f t="shared" si="47"/>
        <v/>
      </c>
      <c r="C371" s="25"/>
      <c r="D371" s="25"/>
      <c r="E371" s="34"/>
      <c r="F371" s="24"/>
      <c r="G371" s="34"/>
      <c r="H371" s="34"/>
      <c r="I371" s="26"/>
      <c r="J371" s="64"/>
      <c r="K371" s="24"/>
      <c r="L371" s="27"/>
      <c r="M371" s="26"/>
      <c r="N371" s="46"/>
      <c r="O371" s="25"/>
    </row>
    <row r="372" spans="1:15" ht="15.75" x14ac:dyDescent="0.25">
      <c r="A372" s="32" t="str">
        <f>IF(C372="","",COUNTA($C$4:C372))</f>
        <v/>
      </c>
      <c r="B372" s="32" t="str">
        <f t="shared" ref="B372:B396" si="50">IF(C372="","",TEXT(C372,"mmmm"))</f>
        <v/>
      </c>
      <c r="C372" s="25"/>
      <c r="D372" s="25"/>
      <c r="E372" s="34"/>
      <c r="F372" s="24"/>
      <c r="G372" s="34"/>
      <c r="H372" s="34"/>
      <c r="I372" s="26"/>
      <c r="J372" s="64"/>
      <c r="K372" s="24"/>
      <c r="L372" s="27"/>
      <c r="M372" s="26"/>
      <c r="N372" s="46"/>
      <c r="O372" s="25"/>
    </row>
    <row r="373" spans="1:15" ht="15.75" x14ac:dyDescent="0.25">
      <c r="A373" s="32" t="str">
        <f>IF(C373="","",COUNTA($C$4:C373))</f>
        <v/>
      </c>
      <c r="B373" s="32" t="str">
        <f t="shared" si="50"/>
        <v/>
      </c>
      <c r="C373" s="25"/>
      <c r="D373" s="25"/>
      <c r="E373" s="34"/>
      <c r="F373" s="24"/>
      <c r="G373" s="34"/>
      <c r="H373" s="34"/>
      <c r="I373" s="26"/>
      <c r="J373" s="64"/>
      <c r="K373" s="24"/>
      <c r="L373" s="27"/>
      <c r="M373" s="26"/>
      <c r="N373" s="46"/>
      <c r="O373" s="25"/>
    </row>
    <row r="374" spans="1:15" ht="15.75" x14ac:dyDescent="0.25">
      <c r="A374" s="32" t="str">
        <f>IF(C374="","",COUNTA($C$4:C374))</f>
        <v/>
      </c>
      <c r="B374" s="32" t="str">
        <f t="shared" si="50"/>
        <v/>
      </c>
      <c r="C374" s="25"/>
      <c r="D374" s="25"/>
      <c r="E374" s="34"/>
      <c r="F374" s="24"/>
      <c r="G374" s="34"/>
      <c r="H374" s="34"/>
      <c r="I374" s="26"/>
      <c r="J374" s="64"/>
      <c r="K374" s="24"/>
      <c r="L374" s="27"/>
      <c r="M374" s="26"/>
      <c r="N374" s="46"/>
      <c r="O374" s="25"/>
    </row>
    <row r="375" spans="1:15" ht="15.75" x14ac:dyDescent="0.25">
      <c r="A375" s="32" t="str">
        <f>IF(C375="","",COUNTA($C$4:C375))</f>
        <v/>
      </c>
      <c r="B375" s="32" t="str">
        <f t="shared" si="50"/>
        <v/>
      </c>
      <c r="C375" s="25"/>
      <c r="D375" s="25"/>
      <c r="E375" s="34"/>
      <c r="F375" s="24"/>
      <c r="G375" s="34"/>
      <c r="H375" s="34"/>
      <c r="I375" s="26"/>
      <c r="J375" s="64"/>
      <c r="K375" s="24"/>
      <c r="L375" s="27"/>
      <c r="M375" s="26"/>
      <c r="N375" s="46"/>
      <c r="O375" s="25"/>
    </row>
    <row r="376" spans="1:15" ht="15.75" x14ac:dyDescent="0.25">
      <c r="A376" s="32" t="str">
        <f>IF(C376="","",COUNTA($C$4:C376))</f>
        <v/>
      </c>
      <c r="B376" s="32" t="str">
        <f t="shared" si="50"/>
        <v/>
      </c>
      <c r="C376" s="25"/>
      <c r="D376" s="25"/>
      <c r="E376" s="34"/>
      <c r="F376" s="24"/>
      <c r="G376" s="34"/>
      <c r="H376" s="34"/>
      <c r="I376" s="26"/>
      <c r="J376" s="64"/>
      <c r="K376" s="24"/>
      <c r="L376" s="27"/>
      <c r="M376" s="26"/>
      <c r="N376" s="46"/>
      <c r="O376" s="25"/>
    </row>
    <row r="377" spans="1:15" ht="15.75" x14ac:dyDescent="0.25">
      <c r="A377" s="32" t="str">
        <f>IF(C377="","",COUNTA($C$4:C377))</f>
        <v/>
      </c>
      <c r="B377" s="32" t="str">
        <f t="shared" si="50"/>
        <v/>
      </c>
      <c r="C377" s="25"/>
      <c r="D377" s="25"/>
      <c r="E377" s="34"/>
      <c r="F377" s="24"/>
      <c r="G377" s="34"/>
      <c r="H377" s="34"/>
      <c r="I377" s="26"/>
      <c r="J377" s="64"/>
      <c r="K377" s="24"/>
      <c r="L377" s="27"/>
      <c r="M377" s="26"/>
      <c r="N377" s="46"/>
      <c r="O377" s="25"/>
    </row>
    <row r="378" spans="1:15" ht="15.75" x14ac:dyDescent="0.25">
      <c r="A378" s="32" t="str">
        <f>IF(C378="","",COUNTA($C$4:C378))</f>
        <v/>
      </c>
      <c r="B378" s="32" t="str">
        <f t="shared" si="50"/>
        <v/>
      </c>
      <c r="C378" s="25"/>
      <c r="D378" s="25"/>
      <c r="E378" s="34"/>
      <c r="F378" s="24"/>
      <c r="G378" s="34"/>
      <c r="H378" s="34"/>
      <c r="I378" s="26"/>
      <c r="J378" s="64"/>
      <c r="K378" s="24"/>
      <c r="L378" s="27"/>
      <c r="M378" s="26"/>
      <c r="N378" s="46"/>
      <c r="O378" s="25"/>
    </row>
    <row r="379" spans="1:15" ht="15.75" x14ac:dyDescent="0.25">
      <c r="A379" s="32" t="str">
        <f>IF(C379="","",COUNTA($C$4:C379))</f>
        <v/>
      </c>
      <c r="B379" s="32" t="str">
        <f t="shared" si="50"/>
        <v/>
      </c>
      <c r="C379" s="25"/>
      <c r="D379" s="25"/>
      <c r="E379" s="34"/>
      <c r="F379" s="24"/>
      <c r="G379" s="34"/>
      <c r="H379" s="34"/>
      <c r="I379" s="26"/>
      <c r="J379" s="64"/>
      <c r="K379" s="24"/>
      <c r="L379" s="27"/>
      <c r="M379" s="26"/>
      <c r="N379" s="46"/>
      <c r="O379" s="25"/>
    </row>
    <row r="380" spans="1:15" ht="15.75" x14ac:dyDescent="0.25">
      <c r="A380" s="32" t="str">
        <f>IF(C380="","",COUNTA($C$4:C380))</f>
        <v/>
      </c>
      <c r="B380" s="32" t="str">
        <f t="shared" si="50"/>
        <v/>
      </c>
      <c r="C380" s="25"/>
      <c r="D380" s="25"/>
      <c r="E380" s="34"/>
      <c r="F380" s="24"/>
      <c r="G380" s="34"/>
      <c r="H380" s="34"/>
      <c r="I380" s="26"/>
      <c r="J380" s="64"/>
      <c r="K380" s="24"/>
      <c r="L380" s="27"/>
      <c r="M380" s="26"/>
      <c r="N380" s="46"/>
      <c r="O380" s="25"/>
    </row>
    <row r="381" spans="1:15" ht="15.75" x14ac:dyDescent="0.25">
      <c r="A381" s="32" t="str">
        <f>IF(C381="","",COUNTA($C$4:C381))</f>
        <v/>
      </c>
      <c r="B381" s="32" t="str">
        <f t="shared" si="50"/>
        <v/>
      </c>
      <c r="C381" s="25"/>
      <c r="D381" s="25"/>
      <c r="E381" s="34"/>
      <c r="F381" s="24"/>
      <c r="G381" s="34"/>
      <c r="H381" s="34"/>
      <c r="I381" s="26"/>
      <c r="J381" s="64"/>
      <c r="K381" s="24"/>
      <c r="L381" s="27"/>
      <c r="M381" s="26"/>
      <c r="N381" s="46"/>
      <c r="O381" s="25"/>
    </row>
    <row r="382" spans="1:15" ht="15.75" x14ac:dyDescent="0.25">
      <c r="A382" s="32" t="str">
        <f>IF(C382="","",COUNTA($C$4:C382))</f>
        <v/>
      </c>
      <c r="B382" s="32" t="str">
        <f t="shared" si="50"/>
        <v/>
      </c>
      <c r="C382" s="25"/>
      <c r="D382" s="25"/>
      <c r="E382" s="34"/>
      <c r="F382" s="24"/>
      <c r="G382" s="34"/>
      <c r="H382" s="34"/>
      <c r="I382" s="26"/>
      <c r="J382" s="64"/>
      <c r="K382" s="24"/>
      <c r="L382" s="27"/>
      <c r="M382" s="26"/>
      <c r="N382" s="46"/>
      <c r="O382" s="25"/>
    </row>
    <row r="383" spans="1:15" ht="15.75" x14ac:dyDescent="0.25">
      <c r="A383" s="32" t="str">
        <f>IF(C383="","",COUNTA($C$4:C383))</f>
        <v/>
      </c>
      <c r="B383" s="32" t="str">
        <f t="shared" si="50"/>
        <v/>
      </c>
      <c r="C383" s="25"/>
      <c r="D383" s="25"/>
      <c r="E383" s="34"/>
      <c r="F383" s="24"/>
      <c r="G383" s="34"/>
      <c r="H383" s="34"/>
      <c r="I383" s="26"/>
      <c r="J383" s="64"/>
      <c r="K383" s="24"/>
      <c r="L383" s="27"/>
      <c r="M383" s="26"/>
      <c r="N383" s="46"/>
      <c r="O383" s="25"/>
    </row>
    <row r="384" spans="1:15" ht="15.75" x14ac:dyDescent="0.25">
      <c r="A384" s="32" t="str">
        <f>IF(C384="","",COUNTA($C$4:C384))</f>
        <v/>
      </c>
      <c r="B384" s="32" t="str">
        <f t="shared" si="50"/>
        <v/>
      </c>
      <c r="C384" s="25"/>
      <c r="D384" s="25"/>
      <c r="E384" s="34"/>
      <c r="F384" s="24"/>
      <c r="G384" s="34"/>
      <c r="H384" s="34"/>
      <c r="I384" s="26"/>
      <c r="J384" s="64"/>
      <c r="K384" s="24"/>
      <c r="L384" s="27"/>
      <c r="M384" s="26"/>
      <c r="N384" s="46"/>
      <c r="O384" s="25"/>
    </row>
    <row r="385" spans="1:15" ht="15.75" x14ac:dyDescent="0.25">
      <c r="A385" s="32" t="str">
        <f>IF(C385="","",COUNTA($C$4:C385))</f>
        <v/>
      </c>
      <c r="B385" s="32" t="str">
        <f t="shared" si="50"/>
        <v/>
      </c>
      <c r="C385" s="25"/>
      <c r="D385" s="25"/>
      <c r="E385" s="34"/>
      <c r="F385" s="24"/>
      <c r="G385" s="34"/>
      <c r="H385" s="34"/>
      <c r="I385" s="26"/>
      <c r="J385" s="64"/>
      <c r="K385" s="24"/>
      <c r="L385" s="27"/>
      <c r="M385" s="26"/>
      <c r="N385" s="46"/>
      <c r="O385" s="25"/>
    </row>
    <row r="386" spans="1:15" ht="15.75" x14ac:dyDescent="0.25">
      <c r="A386" s="32" t="str">
        <f>IF(C386="","",COUNTA($C$4:C386))</f>
        <v/>
      </c>
      <c r="B386" s="32" t="str">
        <f t="shared" si="50"/>
        <v/>
      </c>
      <c r="C386" s="25"/>
      <c r="D386" s="25"/>
      <c r="E386" s="34"/>
      <c r="F386" s="24"/>
      <c r="G386" s="34"/>
      <c r="H386" s="34"/>
      <c r="I386" s="26"/>
      <c r="J386" s="64"/>
      <c r="K386" s="24"/>
      <c r="L386" s="27"/>
      <c r="M386" s="26"/>
      <c r="N386" s="46"/>
      <c r="O386" s="25"/>
    </row>
    <row r="387" spans="1:15" ht="15.75" x14ac:dyDescent="0.25">
      <c r="A387" s="32" t="str">
        <f>IF(C387="","",COUNTA($C$4:C387))</f>
        <v/>
      </c>
      <c r="B387" s="32" t="str">
        <f t="shared" si="50"/>
        <v/>
      </c>
      <c r="C387" s="25"/>
      <c r="D387" s="25"/>
      <c r="E387" s="34"/>
      <c r="F387" s="24"/>
      <c r="G387" s="34"/>
      <c r="H387" s="34"/>
      <c r="I387" s="26"/>
      <c r="J387" s="64"/>
      <c r="K387" s="24"/>
      <c r="L387" s="27"/>
      <c r="M387" s="26"/>
      <c r="N387" s="46"/>
      <c r="O387" s="25"/>
    </row>
    <row r="388" spans="1:15" ht="15.75" x14ac:dyDescent="0.25">
      <c r="A388" s="32" t="str">
        <f>IF(C388="","",COUNTA($C$4:C388))</f>
        <v/>
      </c>
      <c r="B388" s="32" t="str">
        <f t="shared" si="50"/>
        <v/>
      </c>
      <c r="C388" s="25"/>
      <c r="D388" s="25"/>
      <c r="E388" s="34"/>
      <c r="F388" s="24"/>
      <c r="G388" s="34"/>
      <c r="H388" s="34"/>
      <c r="I388" s="26"/>
      <c r="J388" s="64"/>
      <c r="K388" s="24"/>
      <c r="L388" s="27"/>
      <c r="M388" s="26"/>
      <c r="N388" s="46"/>
      <c r="O388" s="25"/>
    </row>
    <row r="389" spans="1:15" ht="15.75" x14ac:dyDescent="0.25">
      <c r="A389" s="32" t="str">
        <f>IF(C389="","",COUNTA($C$4:C389))</f>
        <v/>
      </c>
      <c r="B389" s="32" t="str">
        <f t="shared" si="50"/>
        <v/>
      </c>
      <c r="C389" s="25"/>
      <c r="D389" s="25"/>
      <c r="E389" s="34"/>
      <c r="F389" s="24"/>
      <c r="G389" s="34"/>
      <c r="H389" s="34"/>
      <c r="I389" s="26"/>
      <c r="J389" s="64"/>
      <c r="K389" s="24"/>
      <c r="L389" s="27"/>
      <c r="M389" s="26"/>
      <c r="N389" s="46"/>
      <c r="O389" s="25"/>
    </row>
    <row r="390" spans="1:15" ht="15.75" x14ac:dyDescent="0.25">
      <c r="A390" s="32" t="str">
        <f>IF(C390="","",COUNTA($C$4:C390))</f>
        <v/>
      </c>
      <c r="B390" s="32" t="str">
        <f t="shared" si="50"/>
        <v/>
      </c>
      <c r="C390" s="25"/>
      <c r="D390" s="25"/>
      <c r="E390" s="34"/>
      <c r="F390" s="24"/>
      <c r="G390" s="34"/>
      <c r="H390" s="34"/>
      <c r="I390" s="26"/>
      <c r="J390" s="64"/>
      <c r="K390" s="24"/>
      <c r="L390" s="27"/>
      <c r="M390" s="26"/>
      <c r="N390" s="46"/>
      <c r="O390" s="25"/>
    </row>
    <row r="391" spans="1:15" ht="15.75" x14ac:dyDescent="0.25">
      <c r="A391" s="32" t="str">
        <f>IF(C391="","",COUNTA($C$4:C391))</f>
        <v/>
      </c>
      <c r="B391" s="32" t="str">
        <f t="shared" si="50"/>
        <v/>
      </c>
      <c r="C391" s="25"/>
      <c r="D391" s="25"/>
      <c r="E391" s="34"/>
      <c r="F391" s="24"/>
      <c r="G391" s="34"/>
      <c r="H391" s="34"/>
      <c r="I391" s="26"/>
      <c r="J391" s="64"/>
      <c r="K391" s="24"/>
      <c r="L391" s="27"/>
      <c r="M391" s="26"/>
      <c r="N391" s="46"/>
      <c r="O391" s="25"/>
    </row>
    <row r="392" spans="1:15" ht="15.75" x14ac:dyDescent="0.25">
      <c r="A392" s="32" t="str">
        <f>IF(C392="","",COUNTA($C$4:C392))</f>
        <v/>
      </c>
      <c r="B392" s="32" t="str">
        <f t="shared" si="50"/>
        <v/>
      </c>
      <c r="C392" s="25"/>
      <c r="D392" s="25"/>
      <c r="E392" s="34"/>
      <c r="F392" s="24"/>
      <c r="G392" s="34"/>
      <c r="H392" s="34"/>
      <c r="I392" s="26"/>
      <c r="J392" s="64"/>
      <c r="K392" s="24"/>
      <c r="L392" s="27"/>
      <c r="M392" s="26"/>
      <c r="N392" s="46"/>
      <c r="O392" s="25"/>
    </row>
    <row r="393" spans="1:15" x14ac:dyDescent="0.25">
      <c r="A393" s="32" t="str">
        <f>IF(C393="","",COUNTA($C$4:C393))</f>
        <v/>
      </c>
      <c r="B393" s="32" t="str">
        <f t="shared" si="50"/>
        <v/>
      </c>
      <c r="C393" s="25"/>
      <c r="D393" s="25"/>
      <c r="E393" s="34"/>
      <c r="F393" s="24"/>
      <c r="G393" s="34"/>
      <c r="H393" s="34"/>
      <c r="I393" s="25"/>
      <c r="J393" s="25"/>
      <c r="K393" s="25"/>
      <c r="L393" s="25"/>
      <c r="M393" s="25"/>
      <c r="N393" s="25"/>
      <c r="O393" s="25"/>
    </row>
    <row r="394" spans="1:15" x14ac:dyDescent="0.25">
      <c r="A394" s="32" t="str">
        <f>IF(C394="","",COUNTA($C$4:C394))</f>
        <v/>
      </c>
      <c r="B394" s="32" t="str">
        <f t="shared" si="50"/>
        <v/>
      </c>
      <c r="C394" s="25"/>
      <c r="D394" s="25"/>
      <c r="E394" s="34"/>
      <c r="F394" s="24"/>
      <c r="G394" s="34"/>
      <c r="H394" s="34"/>
      <c r="I394" s="25"/>
      <c r="J394" s="25"/>
      <c r="K394" s="25"/>
      <c r="L394" s="25"/>
      <c r="M394" s="25"/>
      <c r="N394" s="25"/>
      <c r="O394" s="25"/>
    </row>
    <row r="395" spans="1:15" x14ac:dyDescent="0.25">
      <c r="A395" s="32" t="str">
        <f>IF(C395="","",COUNTA($C$4:C395))</f>
        <v/>
      </c>
      <c r="B395" s="32" t="str">
        <f t="shared" si="50"/>
        <v/>
      </c>
      <c r="C395" s="25"/>
      <c r="D395" s="25"/>
      <c r="E395" s="34"/>
      <c r="F395" s="24"/>
      <c r="G395" s="34"/>
      <c r="H395" s="34"/>
      <c r="I395" s="25"/>
      <c r="J395" s="25"/>
      <c r="K395" s="25"/>
      <c r="L395" s="25"/>
      <c r="M395" s="25"/>
      <c r="N395" s="25"/>
      <c r="O395" s="25"/>
    </row>
    <row r="396" spans="1:15" x14ac:dyDescent="0.25">
      <c r="A396" s="32" t="str">
        <f>IF(C396="","",COUNTA($C$4:C396))</f>
        <v/>
      </c>
      <c r="B396" s="32" t="str">
        <f t="shared" si="50"/>
        <v/>
      </c>
      <c r="C396" s="25"/>
      <c r="D396" s="25"/>
      <c r="E396" s="34"/>
      <c r="F396" s="24"/>
      <c r="G396" s="34"/>
      <c r="H396" s="34"/>
      <c r="I396" s="25"/>
      <c r="J396" s="25"/>
      <c r="K396" s="25"/>
      <c r="L396" s="25"/>
      <c r="M396" s="25"/>
      <c r="N396" s="25"/>
      <c r="O396" s="25"/>
    </row>
    <row r="397" spans="1:15" x14ac:dyDescent="0.25">
      <c r="A397" s="25"/>
      <c r="B397" s="25"/>
      <c r="C397" s="25"/>
      <c r="D397" s="25"/>
      <c r="E397" s="34"/>
      <c r="F397" s="24"/>
      <c r="G397" s="34"/>
      <c r="H397" s="34"/>
      <c r="I397" s="25"/>
      <c r="J397" s="25"/>
      <c r="K397" s="25"/>
      <c r="L397" s="25"/>
      <c r="M397" s="25"/>
      <c r="N397" s="25"/>
      <c r="O397" s="25"/>
    </row>
    <row r="398" spans="1:15" x14ac:dyDescent="0.25">
      <c r="A398" s="25"/>
      <c r="B398" s="25"/>
      <c r="C398" s="25"/>
      <c r="D398" s="25"/>
      <c r="E398" s="34"/>
      <c r="F398" s="24"/>
      <c r="G398" s="34"/>
      <c r="H398" s="34"/>
      <c r="I398" s="25"/>
      <c r="J398" s="25"/>
      <c r="K398" s="25"/>
      <c r="L398" s="25"/>
      <c r="M398" s="25"/>
      <c r="N398" s="25"/>
      <c r="O398" s="25"/>
    </row>
    <row r="399" spans="1:15" x14ac:dyDescent="0.25">
      <c r="A399" s="25"/>
      <c r="B399" s="25"/>
      <c r="C399" s="25"/>
      <c r="D399" s="25"/>
      <c r="E399" s="34"/>
      <c r="F399" s="24"/>
      <c r="G399" s="34"/>
      <c r="H399" s="34"/>
      <c r="I399" s="25"/>
      <c r="J399" s="25"/>
      <c r="K399" s="25"/>
      <c r="L399" s="25"/>
      <c r="M399" s="25"/>
      <c r="N399" s="25"/>
      <c r="O399" s="25"/>
    </row>
    <row r="400" spans="1:15" x14ac:dyDescent="0.25">
      <c r="A400" s="33"/>
      <c r="B400" s="33"/>
      <c r="C400" s="33"/>
      <c r="D400" s="33"/>
      <c r="E400" s="50"/>
      <c r="F400" s="43"/>
      <c r="G400" s="50"/>
      <c r="H400" s="50"/>
      <c r="I400" s="33"/>
      <c r="J400" s="33"/>
      <c r="K400" s="33"/>
      <c r="L400" s="33"/>
      <c r="M400" s="33"/>
      <c r="N400" s="33"/>
      <c r="O400" s="33"/>
    </row>
  </sheetData>
  <autoFilter ref="A3:O396"/>
  <mergeCells count="1">
    <mergeCell ref="A1:O1"/>
  </mergeCells>
  <pageMargins left="0.7" right="0.7" top="0.75" bottom="0.75" header="0.3" footer="0.3"/>
  <pageSetup orientation="portrait" r:id="rId1"/>
  <ignoredErrors>
    <ignoredError sqref="A125:B125 A127:A139 A140:B141 P214:XFD214 A237 A249:A361 A13:A32 A35:A67 A71:A124 A142:A235 A239:A247 A5:A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40th week</vt:lpstr>
      <vt:lpstr>Home</vt:lpstr>
      <vt:lpstr>IGR</vt:lpstr>
      <vt:lpstr>BPR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2023-07-31T05:52:51Z</dcterms:modified>
</cp:coreProperties>
</file>
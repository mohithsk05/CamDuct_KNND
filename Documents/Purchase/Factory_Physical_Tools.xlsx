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D107E72-51BD-4EDB-9BEE-DA5DD8BA4A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5" r:id="rId1"/>
    <sheet name="Coil &amp; Raw Materials" sheetId="9" r:id="rId2"/>
    <sheet name="Insulation" sheetId="10" r:id="rId3"/>
    <sheet name="Finished Goods" sheetId="13" r:id="rId4"/>
    <sheet name="Consumables " sheetId="11" r:id="rId5"/>
    <sheet name="Tools &amp; Electrical" sheetId="12" r:id="rId6"/>
    <sheet name="PIR and PVC Materials" sheetId="14" r:id="rId7"/>
    <sheet name="Others" sheetId="15" r:id="rId8"/>
  </sheets>
  <externalReferences>
    <externalReference r:id="rId9"/>
  </externalReferences>
  <definedNames>
    <definedName name="_xlnm.Print_Area" localSheetId="1">'Coil &amp; Raw Materials'!$A$92:$E$170</definedName>
    <definedName name="_xlnm.Print_Area" localSheetId="6">'PIR and PVC Materials'!$A$1:$E$27</definedName>
    <definedName name="_xlnm.Print_Area" localSheetId="5">'Tools &amp; Electrical'!#REF!</definedName>
    <definedName name="Raw_Material">OFFSET('[1]Raw material'!$D$2,,,COUNTIF('[1]Raw material'!$D:$D,"*?")-1)</definedName>
  </definedNames>
  <calcPr calcId="191029"/>
</workbook>
</file>

<file path=xl/calcChain.xml><?xml version="1.0" encoding="utf-8"?>
<calcChain xmlns="http://schemas.openxmlformats.org/spreadsheetml/2006/main">
  <c r="G14" i="12" l="1"/>
  <c r="G25" i="12" s="1"/>
  <c r="C3" i="12" s="1"/>
  <c r="G12" i="12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H58" i="11" s="1"/>
  <c r="G59" i="11"/>
  <c r="H59" i="11" s="1"/>
  <c r="I59" i="11" s="1"/>
  <c r="J59" i="11" s="1"/>
  <c r="G60" i="11"/>
  <c r="H60" i="11" s="1"/>
  <c r="I60" i="11" s="1"/>
  <c r="J60" i="11" s="1"/>
  <c r="G61" i="11"/>
  <c r="H61" i="11" s="1"/>
  <c r="G62" i="11"/>
  <c r="H62" i="11" s="1"/>
  <c r="G63" i="11"/>
  <c r="H63" i="11" s="1"/>
  <c r="G64" i="11"/>
  <c r="G65" i="11"/>
  <c r="H65" i="11" s="1"/>
  <c r="G66" i="11"/>
  <c r="H66" i="11" s="1"/>
  <c r="G67" i="11"/>
  <c r="H67" i="11" s="1"/>
  <c r="G68" i="11"/>
  <c r="H68" i="11" s="1"/>
  <c r="G69" i="11"/>
  <c r="G70" i="11"/>
  <c r="H70" i="11" s="1"/>
  <c r="G71" i="11"/>
  <c r="H71" i="11" s="1"/>
  <c r="G72" i="11"/>
  <c r="G73" i="11"/>
  <c r="H73" i="11" s="1"/>
  <c r="G74" i="11"/>
  <c r="H74" i="11" s="1"/>
  <c r="G75" i="11"/>
  <c r="G76" i="11"/>
  <c r="H76" i="11" s="1"/>
  <c r="G77" i="11"/>
  <c r="G78" i="11"/>
  <c r="H78" i="11" s="1"/>
  <c r="G79" i="11"/>
  <c r="G80" i="11"/>
  <c r="H80" i="11" s="1"/>
  <c r="I80" i="11" s="1"/>
  <c r="J80" i="11" s="1"/>
  <c r="G81" i="11"/>
  <c r="H81" i="11" s="1"/>
  <c r="G82" i="11"/>
  <c r="H82" i="11" s="1"/>
  <c r="G83" i="11"/>
  <c r="H83" i="11" s="1"/>
  <c r="G84" i="11"/>
  <c r="H84" i="11" s="1"/>
  <c r="G85" i="11"/>
  <c r="G86" i="11"/>
  <c r="H86" i="11" s="1"/>
  <c r="G87" i="11"/>
  <c r="H87" i="11" s="1"/>
  <c r="I87" i="11" s="1"/>
  <c r="G88" i="11"/>
  <c r="H88" i="11" s="1"/>
  <c r="G89" i="11"/>
  <c r="H89" i="11" s="1"/>
  <c r="G90" i="11"/>
  <c r="G91" i="11"/>
  <c r="G92" i="11"/>
  <c r="G93" i="11"/>
  <c r="G94" i="11"/>
  <c r="G95" i="11"/>
  <c r="G96" i="11"/>
  <c r="H96" i="11" s="1"/>
  <c r="I96" i="11" s="1"/>
  <c r="J96" i="11" s="1"/>
  <c r="G97" i="11"/>
  <c r="H97" i="11" s="1"/>
  <c r="I97" i="11" s="1"/>
  <c r="J97" i="11" s="1"/>
  <c r="G98" i="11"/>
  <c r="H98" i="11" s="1"/>
  <c r="G99" i="11"/>
  <c r="H99" i="11" s="1"/>
  <c r="G100" i="11"/>
  <c r="H100" i="11" s="1"/>
  <c r="G101" i="11"/>
  <c r="H101" i="11" s="1"/>
  <c r="G102" i="11"/>
  <c r="H102" i="11" s="1"/>
  <c r="G103" i="11"/>
  <c r="G104" i="11"/>
  <c r="G105" i="11"/>
  <c r="G106" i="11"/>
  <c r="G107" i="11"/>
  <c r="G108" i="11"/>
  <c r="G109" i="11"/>
  <c r="G110" i="11"/>
  <c r="G111" i="11"/>
  <c r="H111" i="11" s="1"/>
  <c r="G112" i="11"/>
  <c r="H112" i="11" s="1"/>
  <c r="I112" i="11" s="1"/>
  <c r="J112" i="11" s="1"/>
  <c r="G113" i="11"/>
  <c r="H113" i="11" s="1"/>
  <c r="I113" i="11" s="1"/>
  <c r="G114" i="11"/>
  <c r="H114" i="11" s="1"/>
  <c r="G115" i="11"/>
  <c r="H115" i="11" s="1"/>
  <c r="G116" i="11"/>
  <c r="H116" i="11" s="1"/>
  <c r="G117" i="11"/>
  <c r="G4" i="11"/>
  <c r="H117" i="11"/>
  <c r="H110" i="11"/>
  <c r="H109" i="11"/>
  <c r="H108" i="11"/>
  <c r="H107" i="11"/>
  <c r="H106" i="11"/>
  <c r="H105" i="11"/>
  <c r="H104" i="11"/>
  <c r="H103" i="11"/>
  <c r="H95" i="11"/>
  <c r="H94" i="11"/>
  <c r="H93" i="11"/>
  <c r="H92" i="11"/>
  <c r="I91" i="11"/>
  <c r="J91" i="11" s="1"/>
  <c r="H91" i="11"/>
  <c r="H90" i="11"/>
  <c r="H85" i="11"/>
  <c r="H79" i="11"/>
  <c r="H77" i="11"/>
  <c r="H75" i="11"/>
  <c r="I75" i="11" s="1"/>
  <c r="J75" i="11" s="1"/>
  <c r="H72" i="11"/>
  <c r="H69" i="11"/>
  <c r="H64" i="11"/>
  <c r="I64" i="11" s="1"/>
  <c r="J64" i="11" s="1"/>
  <c r="H57" i="11"/>
  <c r="G24" i="12"/>
  <c r="G23" i="12"/>
  <c r="G22" i="12"/>
  <c r="G21" i="12"/>
  <c r="G20" i="12"/>
  <c r="G19" i="12"/>
  <c r="G18" i="12"/>
  <c r="G17" i="12"/>
  <c r="G16" i="12"/>
  <c r="G15" i="12"/>
  <c r="G13" i="12"/>
  <c r="G11" i="12"/>
  <c r="G10" i="12"/>
  <c r="G11" i="15"/>
  <c r="C3" i="15" s="1"/>
  <c r="C4" i="15" s="1"/>
  <c r="D11" i="5" s="1"/>
  <c r="H11" i="15"/>
  <c r="I11" i="15"/>
  <c r="J11" i="15"/>
  <c r="J12" i="14"/>
  <c r="J11" i="14"/>
  <c r="I11" i="14"/>
  <c r="H11" i="14"/>
  <c r="G12" i="14"/>
  <c r="G11" i="14"/>
  <c r="G10" i="14"/>
  <c r="I107" i="11" l="1"/>
  <c r="J107" i="11" s="1"/>
  <c r="I61" i="11"/>
  <c r="J61" i="11" s="1"/>
  <c r="I81" i="11"/>
  <c r="J81" i="11" s="1"/>
  <c r="I102" i="11"/>
  <c r="J102" i="11" s="1"/>
  <c r="I98" i="11"/>
  <c r="J98" i="11" s="1"/>
  <c r="I108" i="11"/>
  <c r="J108" i="11" s="1"/>
  <c r="I70" i="11"/>
  <c r="J70" i="11" s="1"/>
  <c r="J109" i="11"/>
  <c r="I71" i="11"/>
  <c r="J71" i="11" s="1"/>
  <c r="I82" i="11"/>
  <c r="J82" i="11" s="1"/>
  <c r="I92" i="11"/>
  <c r="J92" i="11" s="1"/>
  <c r="I103" i="11"/>
  <c r="J103" i="11" s="1"/>
  <c r="J85" i="11"/>
  <c r="J113" i="11"/>
  <c r="I65" i="11"/>
  <c r="J65" i="11" s="1"/>
  <c r="J101" i="11"/>
  <c r="J105" i="11"/>
  <c r="I114" i="11"/>
  <c r="J114" i="11" s="1"/>
  <c r="I86" i="11"/>
  <c r="J86" i="11" s="1"/>
  <c r="I66" i="11"/>
  <c r="J66" i="11" s="1"/>
  <c r="I76" i="11"/>
  <c r="J76" i="11" s="1"/>
  <c r="J87" i="11"/>
  <c r="I77" i="11"/>
  <c r="J77" i="11" s="1"/>
  <c r="I93" i="11"/>
  <c r="J93" i="11" s="1"/>
  <c r="I109" i="11"/>
  <c r="I72" i="11"/>
  <c r="J72" i="11" s="1"/>
  <c r="I88" i="11"/>
  <c r="J88" i="11" s="1"/>
  <c r="I104" i="11"/>
  <c r="J104" i="11" s="1"/>
  <c r="I67" i="11"/>
  <c r="J67" i="11" s="1"/>
  <c r="I83" i="11"/>
  <c r="J83" i="11" s="1"/>
  <c r="I99" i="11"/>
  <c r="J99" i="11" s="1"/>
  <c r="I115" i="11"/>
  <c r="J115" i="11" s="1"/>
  <c r="I62" i="11"/>
  <c r="J62" i="11" s="1"/>
  <c r="I78" i="11"/>
  <c r="J78" i="11" s="1"/>
  <c r="I94" i="11"/>
  <c r="J94" i="11" s="1"/>
  <c r="I110" i="11"/>
  <c r="J110" i="11" s="1"/>
  <c r="I57" i="11"/>
  <c r="J57" i="11" s="1"/>
  <c r="I73" i="11"/>
  <c r="J73" i="11" s="1"/>
  <c r="I89" i="11"/>
  <c r="J89" i="11" s="1"/>
  <c r="I105" i="11"/>
  <c r="I68" i="11"/>
  <c r="J68" i="11" s="1"/>
  <c r="I84" i="11"/>
  <c r="J84" i="11" s="1"/>
  <c r="I100" i="11"/>
  <c r="J100" i="11" s="1"/>
  <c r="I116" i="11"/>
  <c r="J116" i="11" s="1"/>
  <c r="I63" i="11"/>
  <c r="J63" i="11" s="1"/>
  <c r="I79" i="11"/>
  <c r="J79" i="11" s="1"/>
  <c r="I95" i="11"/>
  <c r="J95" i="11" s="1"/>
  <c r="I111" i="11"/>
  <c r="J111" i="11" s="1"/>
  <c r="I58" i="11"/>
  <c r="J58" i="11" s="1"/>
  <c r="I74" i="11"/>
  <c r="J74" i="11" s="1"/>
  <c r="I90" i="11"/>
  <c r="J90" i="11" s="1"/>
  <c r="I106" i="11"/>
  <c r="J106" i="11" s="1"/>
  <c r="I69" i="11"/>
  <c r="J69" i="11" s="1"/>
  <c r="I85" i="11"/>
  <c r="I101" i="11"/>
  <c r="I117" i="11"/>
  <c r="J117" i="11" s="1"/>
  <c r="I10" i="14"/>
  <c r="J10" i="14" s="1"/>
  <c r="H10" i="14"/>
  <c r="H88" i="9" l="1"/>
  <c r="I88" i="9"/>
  <c r="J88" i="9"/>
  <c r="K88" i="9"/>
  <c r="E6" i="14" l="1"/>
  <c r="F38" i="13"/>
  <c r="F37" i="13"/>
  <c r="F36" i="13"/>
  <c r="F35" i="13"/>
  <c r="F34" i="13"/>
  <c r="F33" i="13"/>
  <c r="F24" i="13"/>
  <c r="F23" i="13"/>
  <c r="F37" i="9"/>
  <c r="F36" i="9"/>
  <c r="F34" i="9"/>
  <c r="F35" i="9" l="1"/>
  <c r="F14" i="13"/>
  <c r="F13" i="13"/>
  <c r="F12" i="13"/>
  <c r="H161" i="9" l="1"/>
  <c r="H160" i="9"/>
  <c r="H159" i="9"/>
  <c r="H158" i="9"/>
  <c r="G43" i="13"/>
  <c r="G42" i="13"/>
  <c r="H42" i="13" s="1"/>
  <c r="I160" i="9" l="1"/>
  <c r="J160" i="9"/>
  <c r="I161" i="9"/>
  <c r="K161" i="9" s="1"/>
  <c r="J161" i="9"/>
  <c r="I159" i="9"/>
  <c r="J159" i="9"/>
  <c r="I158" i="9"/>
  <c r="J158" i="9"/>
  <c r="H43" i="13"/>
  <c r="I42" i="13"/>
  <c r="J42" i="13" s="1"/>
  <c r="I43" i="13"/>
  <c r="G44" i="13"/>
  <c r="G41" i="13"/>
  <c r="G38" i="13"/>
  <c r="E39" i="13"/>
  <c r="E37" i="13"/>
  <c r="G37" i="13" s="1"/>
  <c r="E36" i="13"/>
  <c r="G36" i="13" s="1"/>
  <c r="E35" i="13"/>
  <c r="G35" i="13" s="1"/>
  <c r="E34" i="13"/>
  <c r="G34" i="13" s="1"/>
  <c r="E33" i="13"/>
  <c r="G33" i="13" s="1"/>
  <c r="E32" i="13"/>
  <c r="E31" i="13"/>
  <c r="E30" i="13"/>
  <c r="E28" i="13"/>
  <c r="E25" i="13"/>
  <c r="E24" i="13"/>
  <c r="E22" i="13"/>
  <c r="E20" i="13"/>
  <c r="E14" i="13"/>
  <c r="E13" i="13"/>
  <c r="F40" i="13"/>
  <c r="G40" i="13" s="1"/>
  <c r="F39" i="13"/>
  <c r="M153" i="9"/>
  <c r="M149" i="9"/>
  <c r="M144" i="9"/>
  <c r="M143" i="9"/>
  <c r="M142" i="9"/>
  <c r="M140" i="9"/>
  <c r="M139" i="9"/>
  <c r="M138" i="9"/>
  <c r="M137" i="9"/>
  <c r="E67" i="10"/>
  <c r="K160" i="9" l="1"/>
  <c r="K158" i="9"/>
  <c r="K159" i="9"/>
  <c r="J43" i="13"/>
  <c r="G39" i="13"/>
  <c r="H36" i="13"/>
  <c r="H39" i="13"/>
  <c r="I36" i="13"/>
  <c r="I39" i="13"/>
  <c r="H33" i="13"/>
  <c r="H37" i="13"/>
  <c r="H40" i="13"/>
  <c r="I33" i="13"/>
  <c r="I37" i="13"/>
  <c r="I40" i="13"/>
  <c r="H34" i="13"/>
  <c r="H38" i="13"/>
  <c r="H41" i="13"/>
  <c r="I34" i="13"/>
  <c r="I38" i="13"/>
  <c r="I41" i="13"/>
  <c r="H35" i="13"/>
  <c r="H44" i="13"/>
  <c r="I35" i="13"/>
  <c r="I44" i="13"/>
  <c r="J38" i="13" l="1"/>
  <c r="J40" i="13"/>
  <c r="J37" i="13"/>
  <c r="J33" i="13"/>
  <c r="J35" i="13"/>
  <c r="J34" i="13"/>
  <c r="J44" i="13"/>
  <c r="J39" i="13"/>
  <c r="J36" i="13"/>
  <c r="J41" i="13"/>
  <c r="D78" i="10" l="1"/>
  <c r="D20" i="10"/>
  <c r="F20" i="10" s="1"/>
  <c r="G20" i="10" l="1"/>
  <c r="H20" i="10" s="1"/>
  <c r="I20" i="10" l="1"/>
  <c r="H128" i="9" l="1"/>
  <c r="I128" i="9" s="1"/>
  <c r="J128" i="9" l="1"/>
  <c r="K128" i="9" s="1"/>
  <c r="F115" i="9"/>
  <c r="D85" i="10"/>
  <c r="H78" i="9"/>
  <c r="I78" i="9" s="1"/>
  <c r="J78" i="9" s="1"/>
  <c r="F80" i="9"/>
  <c r="H80" i="9" s="1"/>
  <c r="I80" i="9" s="1"/>
  <c r="J80" i="9" s="1"/>
  <c r="F79" i="9"/>
  <c r="F77" i="9"/>
  <c r="H49" i="9"/>
  <c r="I49" i="9" s="1"/>
  <c r="H47" i="9"/>
  <c r="I47" i="9" s="1"/>
  <c r="F59" i="9"/>
  <c r="K80" i="9" l="1"/>
  <c r="K78" i="9"/>
  <c r="J49" i="9"/>
  <c r="K49" i="9" s="1"/>
  <c r="J47" i="9"/>
  <c r="K47" i="9"/>
  <c r="F57" i="9"/>
  <c r="F56" i="9"/>
  <c r="F48" i="9"/>
  <c r="H48" i="9" s="1"/>
  <c r="F54" i="9"/>
  <c r="H54" i="9" s="1"/>
  <c r="F55" i="9"/>
  <c r="F53" i="9"/>
  <c r="F52" i="9"/>
  <c r="F51" i="9"/>
  <c r="F43" i="9"/>
  <c r="F44" i="9"/>
  <c r="H44" i="9" s="1"/>
  <c r="I54" i="9" l="1"/>
  <c r="J54" i="9" s="1"/>
  <c r="I48" i="9"/>
  <c r="J48" i="9" s="1"/>
  <c r="K48" i="9"/>
  <c r="I44" i="9"/>
  <c r="J44" i="9" s="1"/>
  <c r="K54" i="9" l="1"/>
  <c r="K44" i="9"/>
  <c r="F46" i="9" l="1"/>
  <c r="F45" i="9"/>
  <c r="H37" i="9"/>
  <c r="I37" i="9" s="1"/>
  <c r="H33" i="9"/>
  <c r="I33" i="9" s="1"/>
  <c r="J33" i="9" s="1"/>
  <c r="H32" i="9"/>
  <c r="I32" i="9" s="1"/>
  <c r="J32" i="9" s="1"/>
  <c r="H31" i="9"/>
  <c r="I31" i="9" s="1"/>
  <c r="J37" i="9" l="1"/>
  <c r="K37" i="9" s="1"/>
  <c r="K32" i="9"/>
  <c r="K33" i="9"/>
  <c r="J31" i="9"/>
  <c r="K31" i="9" s="1"/>
  <c r="H38" i="9"/>
  <c r="H36" i="9"/>
  <c r="H35" i="9"/>
  <c r="H34" i="9"/>
  <c r="H30" i="9"/>
  <c r="H29" i="9"/>
  <c r="H28" i="9"/>
  <c r="I28" i="9" s="1"/>
  <c r="J28" i="9" s="1"/>
  <c r="H27" i="9"/>
  <c r="I27" i="9" s="1"/>
  <c r="J27" i="9" s="1"/>
  <c r="H26" i="9"/>
  <c r="H25" i="9"/>
  <c r="I25" i="9" s="1"/>
  <c r="J25" i="9" s="1"/>
  <c r="H24" i="9"/>
  <c r="H23" i="9"/>
  <c r="I23" i="9" s="1"/>
  <c r="J23" i="9" s="1"/>
  <c r="H22" i="9"/>
  <c r="H21" i="9"/>
  <c r="K23" i="9" l="1"/>
  <c r="I24" i="9"/>
  <c r="J24" i="9" s="1"/>
  <c r="K28" i="9"/>
  <c r="I21" i="9"/>
  <c r="J21" i="9" s="1"/>
  <c r="K25" i="9"/>
  <c r="I22" i="9"/>
  <c r="J22" i="9" s="1"/>
  <c r="I30" i="9"/>
  <c r="J30" i="9" s="1"/>
  <c r="I38" i="9"/>
  <c r="J38" i="9" s="1"/>
  <c r="I34" i="9"/>
  <c r="J34" i="9" s="1"/>
  <c r="K27" i="9"/>
  <c r="I36" i="9"/>
  <c r="J36" i="9" s="1"/>
  <c r="I26" i="9"/>
  <c r="J26" i="9" s="1"/>
  <c r="I35" i="9"/>
  <c r="J35" i="9" s="1"/>
  <c r="I29" i="9"/>
  <c r="J29" i="9" s="1"/>
  <c r="K35" i="9" l="1"/>
  <c r="K36" i="9"/>
  <c r="K34" i="9"/>
  <c r="K30" i="9"/>
  <c r="K38" i="9"/>
  <c r="K29" i="9"/>
  <c r="K26" i="9"/>
  <c r="K22" i="9"/>
  <c r="K24" i="9"/>
  <c r="K21" i="9"/>
  <c r="H51" i="9" l="1"/>
  <c r="I51" i="9" s="1"/>
  <c r="J51" i="9" s="1"/>
  <c r="K51" i="9" l="1"/>
  <c r="F24" i="10"/>
  <c r="G24" i="10" s="1"/>
  <c r="H24" i="10" s="1"/>
  <c r="I24" i="10" l="1"/>
  <c r="F85" i="10"/>
  <c r="F84" i="10"/>
  <c r="F86" i="10" s="1"/>
  <c r="C11" i="10" s="1"/>
  <c r="F79" i="10"/>
  <c r="F78" i="10"/>
  <c r="F73" i="10"/>
  <c r="F72" i="10"/>
  <c r="G67" i="10"/>
  <c r="H67" i="10" s="1"/>
  <c r="F67" i="10"/>
  <c r="I67" i="10" s="1"/>
  <c r="G66" i="10"/>
  <c r="H66" i="10" s="1"/>
  <c r="F66" i="10"/>
  <c r="I66" i="10" s="1"/>
  <c r="F65" i="10"/>
  <c r="F60" i="10"/>
  <c r="F59" i="10"/>
  <c r="F58" i="10"/>
  <c r="G58" i="10" s="1"/>
  <c r="H58" i="10" s="1"/>
  <c r="F57" i="10"/>
  <c r="F52" i="10"/>
  <c r="F51" i="10"/>
  <c r="F50" i="10"/>
  <c r="F49" i="10"/>
  <c r="F48" i="10"/>
  <c r="F47" i="10"/>
  <c r="F46" i="10"/>
  <c r="F45" i="10"/>
  <c r="F44" i="10"/>
  <c r="F43" i="10"/>
  <c r="F38" i="10"/>
  <c r="F37" i="10"/>
  <c r="G37" i="10" s="1"/>
  <c r="H37" i="10" s="1"/>
  <c r="F36" i="10"/>
  <c r="G36" i="10" s="1"/>
  <c r="F35" i="10"/>
  <c r="F34" i="10"/>
  <c r="F33" i="10"/>
  <c r="F28" i="10"/>
  <c r="F27" i="10"/>
  <c r="F26" i="10"/>
  <c r="F25" i="10"/>
  <c r="F23" i="10"/>
  <c r="F22" i="10"/>
  <c r="F21" i="10"/>
  <c r="F19" i="10"/>
  <c r="G19" i="10" s="1"/>
  <c r="F18" i="10"/>
  <c r="F74" i="10" l="1"/>
  <c r="C9" i="10" s="1"/>
  <c r="F29" i="10"/>
  <c r="C4" i="10" s="1"/>
  <c r="H19" i="10"/>
  <c r="I19" i="10" s="1"/>
  <c r="H36" i="10"/>
  <c r="I36" i="10" s="1"/>
  <c r="G48" i="10"/>
  <c r="H48" i="10" s="1"/>
  <c r="G59" i="10"/>
  <c r="H59" i="10" s="1"/>
  <c r="F39" i="10"/>
  <c r="C5" i="10" s="1"/>
  <c r="G26" i="10"/>
  <c r="H26" i="10" s="1"/>
  <c r="F53" i="10"/>
  <c r="C6" i="10" s="1"/>
  <c r="G72" i="10"/>
  <c r="G33" i="10"/>
  <c r="H33" i="10" s="1"/>
  <c r="F61" i="10"/>
  <c r="C7" i="10" s="1"/>
  <c r="G78" i="10"/>
  <c r="G57" i="10"/>
  <c r="G43" i="10"/>
  <c r="G50" i="10"/>
  <c r="H50" i="10" s="1"/>
  <c r="F80" i="10"/>
  <c r="C10" i="10" s="1"/>
  <c r="G35" i="10"/>
  <c r="H35" i="10" s="1"/>
  <c r="H43" i="10"/>
  <c r="G60" i="10"/>
  <c r="H60" i="10" s="1"/>
  <c r="G73" i="10"/>
  <c r="H73" i="10" s="1"/>
  <c r="G47" i="10"/>
  <c r="H47" i="10" s="1"/>
  <c r="F68" i="10"/>
  <c r="C8" i="10" s="1"/>
  <c r="G27" i="10"/>
  <c r="H27" i="10" s="1"/>
  <c r="H44" i="10"/>
  <c r="G51" i="10"/>
  <c r="H51" i="10" s="1"/>
  <c r="G65" i="10"/>
  <c r="G22" i="10"/>
  <c r="H22" i="10" s="1"/>
  <c r="G44" i="10"/>
  <c r="G18" i="10"/>
  <c r="G84" i="10"/>
  <c r="I58" i="10"/>
  <c r="G21" i="10"/>
  <c r="H21" i="10" s="1"/>
  <c r="G23" i="10"/>
  <c r="H23" i="10" s="1"/>
  <c r="I37" i="10"/>
  <c r="G85" i="10"/>
  <c r="H85" i="10" s="1"/>
  <c r="G25" i="10"/>
  <c r="H25" i="10" s="1"/>
  <c r="G28" i="10"/>
  <c r="H28" i="10" s="1"/>
  <c r="G34" i="10"/>
  <c r="H34" i="10" s="1"/>
  <c r="G38" i="10"/>
  <c r="H38" i="10" s="1"/>
  <c r="G45" i="10"/>
  <c r="H45" i="10" s="1"/>
  <c r="G46" i="10"/>
  <c r="H46" i="10" s="1"/>
  <c r="G49" i="10"/>
  <c r="H49" i="10" s="1"/>
  <c r="G52" i="10"/>
  <c r="H52" i="10" s="1"/>
  <c r="G79" i="10"/>
  <c r="H79" i="10" s="1"/>
  <c r="I38" i="10" l="1"/>
  <c r="I60" i="10"/>
  <c r="I43" i="10"/>
  <c r="I26" i="10"/>
  <c r="I50" i="10"/>
  <c r="C12" i="10"/>
  <c r="I25" i="10"/>
  <c r="I85" i="10"/>
  <c r="H53" i="10"/>
  <c r="I47" i="10"/>
  <c r="I35" i="10"/>
  <c r="I52" i="10"/>
  <c r="I44" i="10"/>
  <c r="I28" i="10"/>
  <c r="I46" i="10"/>
  <c r="G53" i="10"/>
  <c r="I59" i="10"/>
  <c r="H18" i="10"/>
  <c r="I18" i="10" s="1"/>
  <c r="I48" i="10"/>
  <c r="H78" i="10"/>
  <c r="H80" i="10" s="1"/>
  <c r="G80" i="10"/>
  <c r="I23" i="10"/>
  <c r="G68" i="10"/>
  <c r="H65" i="10"/>
  <c r="H68" i="10" s="1"/>
  <c r="I73" i="10"/>
  <c r="I21" i="10"/>
  <c r="H72" i="10"/>
  <c r="H74" i="10" s="1"/>
  <c r="G74" i="10"/>
  <c r="I51" i="10"/>
  <c r="G86" i="10"/>
  <c r="H84" i="10"/>
  <c r="H86" i="10" s="1"/>
  <c r="I49" i="10"/>
  <c r="I79" i="10"/>
  <c r="I33" i="10"/>
  <c r="I22" i="10"/>
  <c r="G61" i="10"/>
  <c r="H57" i="10"/>
  <c r="H39" i="10"/>
  <c r="I45" i="10"/>
  <c r="G39" i="10"/>
  <c r="G29" i="10"/>
  <c r="I34" i="10"/>
  <c r="I27" i="10"/>
  <c r="I65" i="10" l="1"/>
  <c r="I68" i="10" s="1"/>
  <c r="I53" i="10"/>
  <c r="I39" i="10"/>
  <c r="I84" i="10"/>
  <c r="I86" i="10" s="1"/>
  <c r="H29" i="10"/>
  <c r="I29" i="10"/>
  <c r="I72" i="10"/>
  <c r="I74" i="10" s="1"/>
  <c r="H61" i="10"/>
  <c r="I57" i="10"/>
  <c r="I61" i="10" s="1"/>
  <c r="I78" i="10"/>
  <c r="I80" i="10" s="1"/>
  <c r="G32" i="13" l="1"/>
  <c r="G31" i="13"/>
  <c r="G29" i="13"/>
  <c r="G28" i="13"/>
  <c r="G27" i="13"/>
  <c r="I27" i="13" s="1"/>
  <c r="G26" i="13"/>
  <c r="G25" i="13"/>
  <c r="G24" i="13"/>
  <c r="I24" i="13" s="1"/>
  <c r="G23" i="13"/>
  <c r="I23" i="13" s="1"/>
  <c r="G22" i="13"/>
  <c r="G21" i="13"/>
  <c r="G20" i="13"/>
  <c r="G19" i="13"/>
  <c r="G18" i="13"/>
  <c r="H18" i="13" s="1"/>
  <c r="G17" i="13"/>
  <c r="G16" i="13"/>
  <c r="H16" i="13" s="1"/>
  <c r="G15" i="13"/>
  <c r="I15" i="13" s="1"/>
  <c r="G14" i="13"/>
  <c r="H31" i="13" l="1"/>
  <c r="I31" i="13"/>
  <c r="H32" i="13"/>
  <c r="I32" i="13"/>
  <c r="H15" i="13"/>
  <c r="J15" i="13" s="1"/>
  <c r="I26" i="13"/>
  <c r="H26" i="13"/>
  <c r="I22" i="13"/>
  <c r="H27" i="13"/>
  <c r="J27" i="13" s="1"/>
  <c r="I19" i="13"/>
  <c r="H24" i="13"/>
  <c r="I16" i="13"/>
  <c r="J16" i="13" s="1"/>
  <c r="I20" i="13"/>
  <c r="J24" i="13"/>
  <c r="H14" i="13"/>
  <c r="H17" i="13"/>
  <c r="H21" i="13"/>
  <c r="H25" i="13"/>
  <c r="H29" i="13"/>
  <c r="H22" i="13"/>
  <c r="I18" i="13"/>
  <c r="J18" i="13" s="1"/>
  <c r="H23" i="13"/>
  <c r="J23" i="13" s="1"/>
  <c r="H28" i="13"/>
  <c r="I28" i="13"/>
  <c r="I14" i="13"/>
  <c r="I17" i="13"/>
  <c r="I21" i="13"/>
  <c r="I25" i="13"/>
  <c r="I29" i="13"/>
  <c r="H19" i="13"/>
  <c r="H20" i="13"/>
  <c r="J26" i="13" l="1"/>
  <c r="J29" i="13"/>
  <c r="J21" i="13"/>
  <c r="J31" i="13"/>
  <c r="J20" i="13"/>
  <c r="J17" i="13"/>
  <c r="J14" i="13"/>
  <c r="J19" i="13"/>
  <c r="J22" i="13"/>
  <c r="J25" i="13"/>
  <c r="J32" i="13"/>
  <c r="J28" i="13"/>
  <c r="E50" i="13"/>
  <c r="G30" i="13"/>
  <c r="I30" i="13" l="1"/>
  <c r="H30" i="13"/>
  <c r="J30" i="13" l="1"/>
  <c r="H72" i="9"/>
  <c r="H71" i="9"/>
  <c r="H70" i="9"/>
  <c r="H69" i="9"/>
  <c r="H68" i="9"/>
  <c r="G60" i="9"/>
  <c r="H60" i="9" s="1"/>
  <c r="G59" i="9"/>
  <c r="G58" i="9"/>
  <c r="H58" i="9" s="1"/>
  <c r="G57" i="9"/>
  <c r="H56" i="9"/>
  <c r="H59" i="9" l="1"/>
  <c r="I59" i="9" s="1"/>
  <c r="J59" i="9" s="1"/>
  <c r="H57" i="9"/>
  <c r="I57" i="9" s="1"/>
  <c r="J57" i="9" s="1"/>
  <c r="I69" i="9"/>
  <c r="J69" i="9" s="1"/>
  <c r="I70" i="9"/>
  <c r="J70" i="9" s="1"/>
  <c r="I71" i="9"/>
  <c r="J71" i="9" s="1"/>
  <c r="I68" i="9"/>
  <c r="J68" i="9" s="1"/>
  <c r="I72" i="9"/>
  <c r="J72" i="9" s="1"/>
  <c r="I56" i="9"/>
  <c r="J56" i="9" s="1"/>
  <c r="I58" i="9"/>
  <c r="J58" i="9" s="1"/>
  <c r="I60" i="9"/>
  <c r="J60" i="9" s="1"/>
  <c r="K72" i="9" l="1"/>
  <c r="K71" i="9"/>
  <c r="K70" i="9"/>
  <c r="K69" i="9"/>
  <c r="K68" i="9"/>
  <c r="K60" i="9"/>
  <c r="K59" i="9"/>
  <c r="K58" i="9"/>
  <c r="K57" i="9"/>
  <c r="K56" i="9"/>
  <c r="H19" i="9" l="1"/>
  <c r="H101" i="9"/>
  <c r="H96" i="9"/>
  <c r="I96" i="9" s="1"/>
  <c r="J96" i="9" s="1"/>
  <c r="K96" i="9" s="1"/>
  <c r="H95" i="9"/>
  <c r="H162" i="9"/>
  <c r="I162" i="9" s="1"/>
  <c r="H157" i="9"/>
  <c r="I157" i="9" s="1"/>
  <c r="H151" i="9"/>
  <c r="I151" i="9" s="1"/>
  <c r="H150" i="9"/>
  <c r="J150" i="9" s="1"/>
  <c r="H149" i="9"/>
  <c r="I149" i="9" s="1"/>
  <c r="H148" i="9"/>
  <c r="I148" i="9" s="1"/>
  <c r="H147" i="9"/>
  <c r="I147" i="9" s="1"/>
  <c r="H146" i="9"/>
  <c r="I146" i="9" s="1"/>
  <c r="H145" i="9"/>
  <c r="I145" i="9" s="1"/>
  <c r="H144" i="9"/>
  <c r="I144" i="9" s="1"/>
  <c r="H143" i="9"/>
  <c r="H142" i="9"/>
  <c r="I142" i="9" s="1"/>
  <c r="H141" i="9"/>
  <c r="H140" i="9"/>
  <c r="I140" i="9" s="1"/>
  <c r="H139" i="9"/>
  <c r="I139" i="9" s="1"/>
  <c r="H138" i="9"/>
  <c r="I138" i="9" s="1"/>
  <c r="H81" i="9"/>
  <c r="H20" i="9"/>
  <c r="J145" i="9" l="1"/>
  <c r="K145" i="9" s="1"/>
  <c r="I19" i="9"/>
  <c r="J19" i="9" s="1"/>
  <c r="I101" i="9"/>
  <c r="J101" i="9" s="1"/>
  <c r="J140" i="9"/>
  <c r="K140" i="9" s="1"/>
  <c r="I95" i="9"/>
  <c r="J95" i="9" s="1"/>
  <c r="J149" i="9"/>
  <c r="K149" i="9" s="1"/>
  <c r="J139" i="9"/>
  <c r="K139" i="9" s="1"/>
  <c r="J147" i="9"/>
  <c r="K147" i="9" s="1"/>
  <c r="J148" i="9"/>
  <c r="K148" i="9" s="1"/>
  <c r="J162" i="9"/>
  <c r="K162" i="9" s="1"/>
  <c r="J157" i="9"/>
  <c r="K157" i="9" s="1"/>
  <c r="J144" i="9"/>
  <c r="K144" i="9" s="1"/>
  <c r="J146" i="9"/>
  <c r="K146" i="9" s="1"/>
  <c r="J138" i="9"/>
  <c r="K138" i="9" s="1"/>
  <c r="J142" i="9"/>
  <c r="K142" i="9" s="1"/>
  <c r="J151" i="9"/>
  <c r="K151" i="9" s="1"/>
  <c r="I150" i="9"/>
  <c r="K150" i="9" s="1"/>
  <c r="J143" i="9"/>
  <c r="I143" i="9"/>
  <c r="I141" i="9"/>
  <c r="J141" i="9"/>
  <c r="I81" i="9"/>
  <c r="J81" i="9" s="1"/>
  <c r="I20" i="9"/>
  <c r="J20" i="9" s="1"/>
  <c r="K19" i="9" l="1"/>
  <c r="K101" i="9"/>
  <c r="K95" i="9"/>
  <c r="K143" i="9"/>
  <c r="K141" i="9"/>
  <c r="K81" i="9"/>
  <c r="K20" i="9"/>
  <c r="H52" i="9" l="1"/>
  <c r="I52" i="9" s="1"/>
  <c r="J52" i="9" s="1"/>
  <c r="K52" i="9" l="1"/>
  <c r="H50" i="9"/>
  <c r="I50" i="9" l="1"/>
  <c r="J50" i="9" s="1"/>
  <c r="K50" i="9" l="1"/>
  <c r="H156" i="9" l="1"/>
  <c r="I156" i="9" s="1"/>
  <c r="H155" i="9"/>
  <c r="I155" i="9" s="1"/>
  <c r="H154" i="9"/>
  <c r="J154" i="9" s="1"/>
  <c r="H153" i="9"/>
  <c r="I153" i="9" s="1"/>
  <c r="H126" i="9"/>
  <c r="J156" i="9" l="1"/>
  <c r="K156" i="9" s="1"/>
  <c r="I154" i="9"/>
  <c r="K154" i="9" s="1"/>
  <c r="J155" i="9"/>
  <c r="K155" i="9" s="1"/>
  <c r="J153" i="9"/>
  <c r="K153" i="9" s="1"/>
  <c r="I126" i="9"/>
  <c r="J126" i="9"/>
  <c r="K126" i="9" l="1"/>
  <c r="H79" i="9"/>
  <c r="I79" i="9" l="1"/>
  <c r="J79" i="9" s="1"/>
  <c r="K79" i="9" l="1"/>
  <c r="H125" i="9"/>
  <c r="J125" i="9" l="1"/>
  <c r="I125" i="9"/>
  <c r="K125" i="9" l="1"/>
  <c r="H99" i="9"/>
  <c r="I99" i="9" s="1"/>
  <c r="J99" i="9" s="1"/>
  <c r="K99" i="9" l="1"/>
  <c r="H152" i="9" l="1"/>
  <c r="I152" i="9" s="1"/>
  <c r="H137" i="9"/>
  <c r="J137" i="9" s="1"/>
  <c r="J152" i="9" l="1"/>
  <c r="K152" i="9" s="1"/>
  <c r="I137" i="9"/>
  <c r="K137" i="9" s="1"/>
  <c r="H136" i="9" l="1"/>
  <c r="I136" i="9" s="1"/>
  <c r="H135" i="9"/>
  <c r="I135" i="9" s="1"/>
  <c r="H134" i="9"/>
  <c r="I134" i="9" s="1"/>
  <c r="H133" i="9"/>
  <c r="I133" i="9" s="1"/>
  <c r="H132" i="9"/>
  <c r="I132" i="9" s="1"/>
  <c r="H131" i="9"/>
  <c r="H129" i="9"/>
  <c r="H130" i="9"/>
  <c r="I130" i="9" s="1"/>
  <c r="J136" i="9" l="1"/>
  <c r="K136" i="9" s="1"/>
  <c r="I131" i="9"/>
  <c r="J131" i="9"/>
  <c r="J135" i="9"/>
  <c r="K135" i="9" s="1"/>
  <c r="J134" i="9"/>
  <c r="K134" i="9" s="1"/>
  <c r="J133" i="9"/>
  <c r="K133" i="9" s="1"/>
  <c r="J132" i="9"/>
  <c r="K132" i="9" s="1"/>
  <c r="J129" i="9"/>
  <c r="I129" i="9"/>
  <c r="J130" i="9"/>
  <c r="K130" i="9" s="1"/>
  <c r="K131" i="9" l="1"/>
  <c r="K129" i="9"/>
  <c r="H55" i="9" l="1"/>
  <c r="I55" i="9" s="1"/>
  <c r="J55" i="9" s="1"/>
  <c r="K55" i="9" s="1"/>
  <c r="H5" i="11" l="1"/>
  <c r="H17" i="11"/>
  <c r="I17" i="11" s="1"/>
  <c r="H16" i="11"/>
  <c r="I16" i="11" s="1"/>
  <c r="N17" i="12"/>
  <c r="N16" i="12"/>
  <c r="H48" i="11"/>
  <c r="I48" i="11" s="1"/>
  <c r="I5" i="11" l="1"/>
  <c r="J5" i="11" s="1"/>
  <c r="J16" i="11"/>
  <c r="J17" i="11"/>
  <c r="J48" i="11"/>
  <c r="H18" i="11"/>
  <c r="I18" i="11" s="1"/>
  <c r="J18" i="11" l="1"/>
  <c r="H43" i="9" l="1"/>
  <c r="I43" i="9" l="1"/>
  <c r="J43" i="9" s="1"/>
  <c r="G50" i="13"/>
  <c r="E45" i="13"/>
  <c r="E51" i="13" l="1"/>
  <c r="K43" i="9"/>
  <c r="H50" i="13"/>
  <c r="I50" i="13"/>
  <c r="H46" i="9"/>
  <c r="I46" i="9" s="1"/>
  <c r="I51" i="13" l="1"/>
  <c r="G51" i="13"/>
  <c r="C5" i="13" s="1"/>
  <c r="J46" i="9"/>
  <c r="K46" i="9" s="1"/>
  <c r="J50" i="13"/>
  <c r="H51" i="13"/>
  <c r="J51" i="13" l="1"/>
  <c r="G12" i="13" l="1"/>
  <c r="G13" i="13"/>
  <c r="F170" i="9" l="1"/>
  <c r="H53" i="9" l="1"/>
  <c r="I53" i="9" l="1"/>
  <c r="J53" i="9" s="1"/>
  <c r="K53" i="9" l="1"/>
  <c r="H123" i="9" l="1"/>
  <c r="I123" i="9" l="1"/>
  <c r="J123" i="9"/>
  <c r="K123" i="9" l="1"/>
  <c r="H100" i="9" l="1"/>
  <c r="I100" i="9" l="1"/>
  <c r="J100" i="9" s="1"/>
  <c r="K100" i="9" l="1"/>
  <c r="F39" i="9" l="1"/>
  <c r="H28" i="11" l="1"/>
  <c r="H52" i="11"/>
  <c r="H13" i="11"/>
  <c r="I13" i="11" s="1"/>
  <c r="I28" i="11" l="1"/>
  <c r="J28" i="11" s="1"/>
  <c r="H26" i="11"/>
  <c r="I26" i="11" s="1"/>
  <c r="H29" i="11"/>
  <c r="I29" i="11" s="1"/>
  <c r="H27" i="11"/>
  <c r="I27" i="11" s="1"/>
  <c r="H30" i="11"/>
  <c r="I30" i="11" s="1"/>
  <c r="H31" i="11"/>
  <c r="I31" i="11" s="1"/>
  <c r="H32" i="11"/>
  <c r="I32" i="11" s="1"/>
  <c r="I52" i="11"/>
  <c r="J52" i="11" s="1"/>
  <c r="H33" i="11"/>
  <c r="I33" i="11" s="1"/>
  <c r="J13" i="11"/>
  <c r="J31" i="11" l="1"/>
  <c r="J27" i="11"/>
  <c r="J26" i="11"/>
  <c r="J30" i="11"/>
  <c r="J29" i="11"/>
  <c r="J32" i="11"/>
  <c r="J33" i="11"/>
  <c r="H34" i="11" l="1"/>
  <c r="I34" i="11" s="1"/>
  <c r="J34" i="11" l="1"/>
  <c r="N19" i="12" l="1"/>
  <c r="N18" i="12"/>
  <c r="N15" i="12"/>
  <c r="N14" i="12"/>
  <c r="N13" i="12"/>
  <c r="N12" i="12"/>
  <c r="N11" i="12"/>
  <c r="N10" i="12"/>
  <c r="H8" i="11"/>
  <c r="I8" i="11" s="1"/>
  <c r="H11" i="11"/>
  <c r="I11" i="11" s="1"/>
  <c r="H12" i="11"/>
  <c r="I12" i="11" s="1"/>
  <c r="N20" i="12" l="1"/>
  <c r="C4" i="12" s="1"/>
  <c r="J8" i="11"/>
  <c r="J12" i="11"/>
  <c r="J11" i="11"/>
  <c r="E4" i="12" l="1"/>
  <c r="D4" i="12"/>
  <c r="H110" i="9"/>
  <c r="I110" i="9" l="1"/>
  <c r="J110" i="9" s="1"/>
  <c r="F4" i="12"/>
  <c r="H115" i="9"/>
  <c r="I115" i="9" l="1"/>
  <c r="J115" i="9" s="1"/>
  <c r="K110" i="9"/>
  <c r="K115" i="9" l="1"/>
  <c r="F163" i="9" l="1"/>
  <c r="F61" i="9" l="1"/>
  <c r="H49" i="11" l="1"/>
  <c r="I49" i="11" s="1"/>
  <c r="H51" i="11"/>
  <c r="I51" i="11" s="1"/>
  <c r="H53" i="11"/>
  <c r="H54" i="11"/>
  <c r="I54" i="11" s="1"/>
  <c r="J54" i="11" s="1"/>
  <c r="H55" i="11"/>
  <c r="H56" i="11"/>
  <c r="I56" i="11" s="1"/>
  <c r="H43" i="11"/>
  <c r="I43" i="11" s="1"/>
  <c r="H44" i="11"/>
  <c r="H45" i="11"/>
  <c r="I45" i="11" s="1"/>
  <c r="H46" i="11"/>
  <c r="I46" i="11" s="1"/>
  <c r="H47" i="11"/>
  <c r="I47" i="11" s="1"/>
  <c r="J47" i="11" l="1"/>
  <c r="J49" i="11"/>
  <c r="H50" i="11"/>
  <c r="I50" i="11" s="1"/>
  <c r="J56" i="11"/>
  <c r="J51" i="11"/>
  <c r="I44" i="11"/>
  <c r="J44" i="11" s="1"/>
  <c r="J43" i="11"/>
  <c r="J45" i="11"/>
  <c r="I55" i="11"/>
  <c r="J55" i="11" s="1"/>
  <c r="I53" i="11"/>
  <c r="J53" i="11" s="1"/>
  <c r="J46" i="11"/>
  <c r="H89" i="9"/>
  <c r="I89" i="9" s="1"/>
  <c r="J89" i="9" s="1"/>
  <c r="J50" i="11" l="1"/>
  <c r="K89" i="9"/>
  <c r="H122" i="9"/>
  <c r="J122" i="9" s="1"/>
  <c r="I122" i="9" l="1"/>
  <c r="K122" i="9" s="1"/>
  <c r="H98" i="9" l="1"/>
  <c r="I98" i="9" l="1"/>
  <c r="J98" i="9" s="1"/>
  <c r="K98" i="9" l="1"/>
  <c r="H22" i="11" l="1"/>
  <c r="I22" i="11" s="1"/>
  <c r="H38" i="11"/>
  <c r="I38" i="11" s="1"/>
  <c r="H10" i="11"/>
  <c r="I10" i="11" s="1"/>
  <c r="H168" i="9"/>
  <c r="J22" i="11" l="1"/>
  <c r="J38" i="11"/>
  <c r="J10" i="11"/>
  <c r="I168" i="9"/>
  <c r="J168" i="9"/>
  <c r="K168" i="9" l="1"/>
  <c r="H124" i="9" l="1"/>
  <c r="I124" i="9" s="1"/>
  <c r="H127" i="9"/>
  <c r="J124" i="9" l="1"/>
  <c r="K124" i="9" s="1"/>
  <c r="H163" i="9"/>
  <c r="C10" i="9" s="1"/>
  <c r="J127" i="9"/>
  <c r="I127" i="9"/>
  <c r="K127" i="9" l="1"/>
  <c r="J163" i="9"/>
  <c r="I163" i="9"/>
  <c r="K163" i="9" l="1"/>
  <c r="H12" i="13" l="1"/>
  <c r="I12" i="13"/>
  <c r="H116" i="9"/>
  <c r="I116" i="9" s="1"/>
  <c r="J116" i="9" s="1"/>
  <c r="H109" i="9"/>
  <c r="H114" i="9"/>
  <c r="I114" i="9" s="1"/>
  <c r="H112" i="9"/>
  <c r="I112" i="9" s="1"/>
  <c r="J112" i="9" s="1"/>
  <c r="J114" i="9" l="1"/>
  <c r="K114" i="9" s="1"/>
  <c r="J12" i="13"/>
  <c r="K112" i="9"/>
  <c r="I109" i="9"/>
  <c r="J109" i="9" s="1"/>
  <c r="K116" i="9"/>
  <c r="K109" i="9" l="1"/>
  <c r="H107" i="9" l="1"/>
  <c r="I107" i="9" l="1"/>
  <c r="J107" i="9" s="1"/>
  <c r="F82" i="9" l="1"/>
  <c r="K107" i="9"/>
  <c r="H35" i="11" l="1"/>
  <c r="I35" i="11" s="1"/>
  <c r="H36" i="11"/>
  <c r="I36" i="11" s="1"/>
  <c r="H37" i="11"/>
  <c r="I37" i="11" s="1"/>
  <c r="H39" i="11"/>
  <c r="I39" i="11" s="1"/>
  <c r="H40" i="11"/>
  <c r="I40" i="11" s="1"/>
  <c r="H41" i="11"/>
  <c r="I41" i="11" s="1"/>
  <c r="H42" i="11"/>
  <c r="I42" i="11" s="1"/>
  <c r="J40" i="11" l="1"/>
  <c r="J39" i="11"/>
  <c r="J35" i="11"/>
  <c r="J41" i="11"/>
  <c r="J37" i="11"/>
  <c r="J36" i="11"/>
  <c r="J42" i="11"/>
  <c r="H15" i="11"/>
  <c r="I15" i="11" s="1"/>
  <c r="J15" i="11" l="1"/>
  <c r="H77" i="9" l="1"/>
  <c r="H65" i="9"/>
  <c r="H64" i="9"/>
  <c r="I64" i="9" s="1"/>
  <c r="J64" i="9" s="1"/>
  <c r="H82" i="9" l="1"/>
  <c r="C6" i="9" s="1"/>
  <c r="I77" i="9"/>
  <c r="I82" i="9" s="1"/>
  <c r="K64" i="9"/>
  <c r="I65" i="9"/>
  <c r="J65" i="9" s="1"/>
  <c r="J77" i="9" l="1"/>
  <c r="J82" i="9" s="1"/>
  <c r="K65" i="9"/>
  <c r="K77" i="9" l="1"/>
  <c r="K82" i="9" s="1"/>
  <c r="H87" i="9" l="1"/>
  <c r="I87" i="9" l="1"/>
  <c r="J87" i="9" s="1"/>
  <c r="K87" i="9" l="1"/>
  <c r="H39" i="9" l="1"/>
  <c r="C3" i="9" s="1"/>
  <c r="J39" i="9" l="1"/>
  <c r="I39" i="9"/>
  <c r="K39" i="9" l="1"/>
  <c r="H45" i="9" l="1"/>
  <c r="H61" i="9" l="1"/>
  <c r="C4" i="9" s="1"/>
  <c r="I45" i="9"/>
  <c r="J45" i="9" s="1"/>
  <c r="I61" i="9" l="1"/>
  <c r="K45" i="9"/>
  <c r="J61" i="9"/>
  <c r="K61" i="9" l="1"/>
  <c r="H13" i="13" l="1"/>
  <c r="G45" i="13"/>
  <c r="I13" i="13"/>
  <c r="J13" i="13" l="1"/>
  <c r="J45" i="13" s="1"/>
  <c r="I45" i="13"/>
  <c r="H45" i="13"/>
  <c r="C4" i="13" l="1"/>
  <c r="C6" i="13" l="1"/>
  <c r="D7" i="5" s="1"/>
  <c r="H111" i="9"/>
  <c r="I111" i="9" l="1"/>
  <c r="J111" i="9" s="1"/>
  <c r="K111" i="9" l="1"/>
  <c r="H117" i="9" l="1"/>
  <c r="H113" i="9"/>
  <c r="H108" i="9"/>
  <c r="H106" i="9"/>
  <c r="H118" i="9" l="1"/>
  <c r="C9" i="9" s="1"/>
  <c r="I108" i="9"/>
  <c r="J108" i="9" s="1"/>
  <c r="I117" i="9"/>
  <c r="J117" i="9" s="1"/>
  <c r="I106" i="9"/>
  <c r="I113" i="9"/>
  <c r="J113" i="9" s="1"/>
  <c r="K113" i="9" l="1"/>
  <c r="K117" i="9"/>
  <c r="K108" i="9"/>
  <c r="J106" i="9"/>
  <c r="J118" i="9" s="1"/>
  <c r="I118" i="9"/>
  <c r="K106" i="9" l="1"/>
  <c r="K118" i="9" s="1"/>
  <c r="F25" i="12" l="1"/>
  <c r="G118" i="11"/>
  <c r="H25" i="11" l="1"/>
  <c r="I25" i="11" s="1"/>
  <c r="J25" i="11" s="1"/>
  <c r="H24" i="11"/>
  <c r="H23" i="11"/>
  <c r="I23" i="11" s="1"/>
  <c r="H21" i="11"/>
  <c r="I21" i="11" s="1"/>
  <c r="J21" i="11" s="1"/>
  <c r="H20" i="11"/>
  <c r="H19" i="11"/>
  <c r="I19" i="11" s="1"/>
  <c r="H14" i="11"/>
  <c r="H9" i="11"/>
  <c r="I9" i="11" s="1"/>
  <c r="J9" i="11" s="1"/>
  <c r="H7" i="11"/>
  <c r="I7" i="11" s="1"/>
  <c r="H6" i="11"/>
  <c r="H4" i="11"/>
  <c r="I4" i="11" s="1"/>
  <c r="I24" i="11" l="1"/>
  <c r="J24" i="11" s="1"/>
  <c r="J7" i="11"/>
  <c r="I14" i="11"/>
  <c r="J14" i="11" s="1"/>
  <c r="J4" i="11"/>
  <c r="J23" i="11"/>
  <c r="J19" i="11"/>
  <c r="I6" i="11"/>
  <c r="J6" i="11" s="1"/>
  <c r="I20" i="11"/>
  <c r="J20" i="11" s="1"/>
  <c r="F73" i="9"/>
  <c r="H169" i="9"/>
  <c r="H170" i="9" l="1"/>
  <c r="C11" i="9" s="1"/>
  <c r="J169" i="9"/>
  <c r="J170" i="9" s="1"/>
  <c r="I169" i="9"/>
  <c r="I170" i="9" s="1"/>
  <c r="K169" i="9" l="1"/>
  <c r="K170" i="9" s="1"/>
  <c r="H73" i="9" l="1"/>
  <c r="H97" i="9"/>
  <c r="I97" i="9" s="1"/>
  <c r="J97" i="9" s="1"/>
  <c r="H94" i="9"/>
  <c r="G8" i="14"/>
  <c r="I8" i="14" s="1"/>
  <c r="G7" i="14"/>
  <c r="I7" i="14" s="1"/>
  <c r="I94" i="9" l="1"/>
  <c r="I102" i="9" s="1"/>
  <c r="H102" i="9"/>
  <c r="C8" i="9" s="1"/>
  <c r="H90" i="9"/>
  <c r="C7" i="9" s="1"/>
  <c r="F90" i="9"/>
  <c r="H8" i="14"/>
  <c r="J8" i="14" s="1"/>
  <c r="H7" i="14"/>
  <c r="J7" i="14" s="1"/>
  <c r="K97" i="9"/>
  <c r="J73" i="9" l="1"/>
  <c r="I73" i="9"/>
  <c r="J94" i="9"/>
  <c r="J102" i="9" s="1"/>
  <c r="C5" i="9"/>
  <c r="C12" i="9" l="1"/>
  <c r="K73" i="9"/>
  <c r="K94" i="9"/>
  <c r="K102" i="9" s="1"/>
  <c r="I90" i="9"/>
  <c r="J90" i="9"/>
  <c r="K90" i="9"/>
  <c r="G9" i="14" l="1"/>
  <c r="G6" i="14"/>
  <c r="D10" i="5" l="1"/>
  <c r="I6" i="14"/>
  <c r="H6" i="14"/>
  <c r="H9" i="14"/>
  <c r="I9" i="14"/>
  <c r="H12" i="14" l="1"/>
  <c r="I12" i="14"/>
  <c r="J6" i="14"/>
  <c r="J9" i="14"/>
  <c r="D6" i="5"/>
  <c r="C5" i="12" l="1"/>
  <c r="D3" i="12" l="1"/>
  <c r="D5" i="12" s="1"/>
  <c r="E3" i="12"/>
  <c r="E5" i="12" s="1"/>
  <c r="D9" i="5"/>
  <c r="D8" i="5"/>
  <c r="D5" i="5"/>
  <c r="F3" i="12" l="1"/>
  <c r="F5" i="12" s="1"/>
  <c r="H118" i="11"/>
  <c r="I118" i="11" s="1"/>
  <c r="J118" i="11" l="1"/>
  <c r="D12" i="5" s="1"/>
</calcChain>
</file>

<file path=xl/sharedStrings.xml><?xml version="1.0" encoding="utf-8"?>
<sst xmlns="http://schemas.openxmlformats.org/spreadsheetml/2006/main" count="1295" uniqueCount="517">
  <si>
    <t>Sl. No.</t>
  </si>
  <si>
    <t>Category</t>
  </si>
  <si>
    <t>Coil ID</t>
  </si>
  <si>
    <t>Guage</t>
  </si>
  <si>
    <t>UOM</t>
  </si>
  <si>
    <t>Qty</t>
  </si>
  <si>
    <t>Rate</t>
  </si>
  <si>
    <t>Sub Total</t>
  </si>
  <si>
    <t>Total</t>
  </si>
  <si>
    <t>Make</t>
  </si>
  <si>
    <t>JSW</t>
  </si>
  <si>
    <t>SL</t>
  </si>
  <si>
    <t>Discription</t>
  </si>
  <si>
    <t>Remarks</t>
  </si>
  <si>
    <t>Nos</t>
  </si>
  <si>
    <t>Packed GI coil</t>
  </si>
  <si>
    <t>CGST @9%</t>
  </si>
  <si>
    <t>SGST @ 9%</t>
  </si>
  <si>
    <t>Stock QTY</t>
  </si>
  <si>
    <t>Amount</t>
  </si>
  <si>
    <t>Spares</t>
  </si>
  <si>
    <t>GI Scrap</t>
  </si>
  <si>
    <t>CAMDUCT INDIA PVT LTD</t>
  </si>
  <si>
    <t xml:space="preserve">Description </t>
  </si>
  <si>
    <t>Total value</t>
  </si>
  <si>
    <t>Grand Total</t>
  </si>
  <si>
    <t>TOOLS</t>
  </si>
  <si>
    <t>Sl No</t>
  </si>
  <si>
    <t>Rate/Unit (Rs)</t>
  </si>
  <si>
    <t>Total Value</t>
  </si>
  <si>
    <t>Drilling Bit (10MM)</t>
  </si>
  <si>
    <t>Drilling Bit (3.5MM)</t>
  </si>
  <si>
    <t>Drilling Bit (05MM)</t>
  </si>
  <si>
    <t>Consumable Items</t>
  </si>
  <si>
    <t>Tools</t>
  </si>
  <si>
    <t>Insulation Materials</t>
  </si>
  <si>
    <t>Other Materials</t>
  </si>
  <si>
    <t>KG</t>
  </si>
  <si>
    <t>SLITTED COIL 137mm</t>
  </si>
  <si>
    <t>Open coil</t>
  </si>
  <si>
    <t>Packing Material</t>
  </si>
  <si>
    <t>Type</t>
  </si>
  <si>
    <t>LDPE Stetch Role</t>
  </si>
  <si>
    <t>Sl</t>
  </si>
  <si>
    <t>Party Name</t>
  </si>
  <si>
    <t>Site Name</t>
  </si>
  <si>
    <t>CGST</t>
  </si>
  <si>
    <t>SGST</t>
  </si>
  <si>
    <t>Value</t>
  </si>
  <si>
    <t>Description</t>
  </si>
  <si>
    <t>Packed GI Regular Coil</t>
  </si>
  <si>
    <t>GI Sheets</t>
  </si>
  <si>
    <t>Summary for Coils &amp; Raw Materials</t>
  </si>
  <si>
    <t>Finished Goods for KNND</t>
  </si>
  <si>
    <t>Summary of Insulation Materials</t>
  </si>
  <si>
    <t>Packing and wrapping Materials</t>
  </si>
  <si>
    <t>Coils and Raw Materials</t>
  </si>
  <si>
    <t>Finished Goods</t>
  </si>
  <si>
    <t>Remark</t>
  </si>
  <si>
    <t>Coil Width</t>
  </si>
  <si>
    <t xml:space="preserve">Regular 275 GSM Open GI Coil  </t>
  </si>
  <si>
    <t>GI Sheet</t>
  </si>
  <si>
    <t>GI SHEET</t>
  </si>
  <si>
    <t>K Flex Insulation</t>
  </si>
  <si>
    <t>Stock QTY in SQMT</t>
  </si>
  <si>
    <t>DESCRIPTIONS</t>
  </si>
  <si>
    <t>TYPE OF INSULATION</t>
  </si>
  <si>
    <t>Orient Thermobreak Insulation</t>
  </si>
  <si>
    <t>Supreme Insulation</t>
  </si>
  <si>
    <t>Armaflex Insulation</t>
  </si>
  <si>
    <t>Armasound Insulaion</t>
  </si>
  <si>
    <t>Unit</t>
  </si>
  <si>
    <t>Stock</t>
  </si>
  <si>
    <t>Roll</t>
  </si>
  <si>
    <t xml:space="preserve">Air Bubble </t>
  </si>
  <si>
    <t>QTY</t>
  </si>
  <si>
    <t>TDC Corner</t>
  </si>
  <si>
    <t>32 mm</t>
  </si>
  <si>
    <t>TDC Gasket</t>
  </si>
  <si>
    <t>nos</t>
  </si>
  <si>
    <t xml:space="preserve">Type </t>
  </si>
  <si>
    <t>20 mm</t>
  </si>
  <si>
    <t>30 mm</t>
  </si>
  <si>
    <t>PIR and PVC Materials</t>
  </si>
  <si>
    <t>PIR PVC U FLANGE</t>
  </si>
  <si>
    <t>PIR PVC H CLEATS</t>
  </si>
  <si>
    <t>PIR PVC F FLANGE</t>
  </si>
  <si>
    <t>PIR PVC DUCT SUPPORT</t>
  </si>
  <si>
    <t>PIR AlUMINIUM H FLANGE</t>
  </si>
  <si>
    <t>PIR ALUMINIUM F FLANGE</t>
  </si>
  <si>
    <t>PIR ALUMINIUM U FLANGE</t>
  </si>
  <si>
    <t>PVC CLEATS</t>
  </si>
  <si>
    <t>Kgs</t>
  </si>
  <si>
    <t>MS L- Angle and Threaded Rod</t>
  </si>
  <si>
    <t>Scrap</t>
  </si>
  <si>
    <t>Kg</t>
  </si>
  <si>
    <t>Tools &amp; Electrical Items</t>
  </si>
  <si>
    <t>Sqm</t>
  </si>
  <si>
    <t>PIR SHEET (With Accessories)</t>
  </si>
  <si>
    <t>PIR SHEET ( with Accessories)</t>
  </si>
  <si>
    <t>Accessories</t>
  </si>
  <si>
    <t>PIR &amp; PVC Materials</t>
  </si>
  <si>
    <t xml:space="preserve">Others </t>
  </si>
  <si>
    <t>Summary for Other Materials</t>
  </si>
  <si>
    <t>Cgst 9%</t>
  </si>
  <si>
    <t>Sgst 9%</t>
  </si>
  <si>
    <t xml:space="preserve">Sub Total </t>
  </si>
  <si>
    <t>CONSUMABLE ITEMS</t>
  </si>
  <si>
    <t>VCD Spares</t>
  </si>
  <si>
    <t>VCD Material</t>
  </si>
  <si>
    <t>VCD Handle</t>
  </si>
  <si>
    <t>VCD Round Bush</t>
  </si>
  <si>
    <t>VCD Square Bush</t>
  </si>
  <si>
    <t>Aluminium Square Rod</t>
  </si>
  <si>
    <t>Oil Gun</t>
  </si>
  <si>
    <t>Sealant Gun</t>
  </si>
  <si>
    <t>PIR PVC U CLEATS</t>
  </si>
  <si>
    <t>25mm</t>
  </si>
  <si>
    <t>KNND Associates Pvt Ltd</t>
  </si>
  <si>
    <t>Aerocell Insulation</t>
  </si>
  <si>
    <t xml:space="preserve">Regular 275 GSM Regular &amp; Open GI Coil  </t>
  </si>
  <si>
    <t>KG2A1I1085</t>
  </si>
  <si>
    <t>Slitted Packed &amp; Open GI Coil</t>
  </si>
  <si>
    <t>Paramount Insulation</t>
  </si>
  <si>
    <t>Taxable Value</t>
  </si>
  <si>
    <t>Thermal Tape</t>
  </si>
  <si>
    <t xml:space="preserve"> </t>
  </si>
  <si>
    <t>F825171000</t>
  </si>
  <si>
    <t>Oil Coil</t>
  </si>
  <si>
    <t>H748462000</t>
  </si>
  <si>
    <t>Water Mark Coil</t>
  </si>
  <si>
    <t>KG2A1I1084</t>
  </si>
  <si>
    <t>Open Aluminium Coil</t>
  </si>
  <si>
    <t>1.6mm</t>
  </si>
  <si>
    <t>275 GSM (2500x1250)</t>
  </si>
  <si>
    <t>Summary for Finshed and Semi finished Goods</t>
  </si>
  <si>
    <t xml:space="preserve">Packed and Open Aluminium Coil  </t>
  </si>
  <si>
    <t>Packed and Open Coil</t>
  </si>
  <si>
    <t>Jindal</t>
  </si>
  <si>
    <t>10mm</t>
  </si>
  <si>
    <t>VCD Gear Wheel</t>
  </si>
  <si>
    <t>12.7mm</t>
  </si>
  <si>
    <t>Aluminium  Rod</t>
  </si>
  <si>
    <t>9mm</t>
  </si>
  <si>
    <t>3mm</t>
  </si>
  <si>
    <t>Alu Scrap</t>
  </si>
  <si>
    <t>Drilling Bit (12MM)</t>
  </si>
  <si>
    <t>Drilling Bit (8MM)</t>
  </si>
  <si>
    <t>Soldring Gun</t>
  </si>
  <si>
    <t>Drilling Bit (06MM)</t>
  </si>
  <si>
    <t>Cutting Plier</t>
  </si>
  <si>
    <t>5mmx20mmx10Mtr</t>
  </si>
  <si>
    <t>SS Sheet</t>
  </si>
  <si>
    <t>13mm</t>
  </si>
  <si>
    <t>50 mm</t>
  </si>
  <si>
    <t>1.0mm</t>
  </si>
  <si>
    <t>10x10 mmx 10Mtr</t>
  </si>
  <si>
    <t xml:space="preserve">25 mm </t>
  </si>
  <si>
    <t>GLASS WOOL</t>
  </si>
  <si>
    <t>Regular Packed &amp; Open GI Coil</t>
  </si>
  <si>
    <t>1300x2500</t>
  </si>
  <si>
    <t>SLITTED COIL 100mm</t>
  </si>
  <si>
    <t>19mm</t>
  </si>
  <si>
    <t xml:space="preserve">13mm </t>
  </si>
  <si>
    <t xml:space="preserve">19mm </t>
  </si>
  <si>
    <t>Thermal ( Al. Foil )</t>
  </si>
  <si>
    <t>Thermal</t>
  </si>
  <si>
    <t>Acoustic</t>
  </si>
  <si>
    <t>15mm</t>
  </si>
  <si>
    <t>Acoustic ( Al. Foil )</t>
  </si>
  <si>
    <t>Thermal ( Flange - 150mm Slit )</t>
  </si>
  <si>
    <t xml:space="preserve">24mm </t>
  </si>
  <si>
    <t xml:space="preserve">15mm </t>
  </si>
  <si>
    <t xml:space="preserve">32mm </t>
  </si>
  <si>
    <t>Thermal ( 1100mm Width )</t>
  </si>
  <si>
    <t>Thermal ( GC-CLOTH )</t>
  </si>
  <si>
    <t xml:space="preserve">VCD Gear Wheel </t>
  </si>
  <si>
    <t>150 Dia</t>
  </si>
  <si>
    <t>100 Dia</t>
  </si>
  <si>
    <t>Aluminium Tape</t>
  </si>
  <si>
    <t>150 mm</t>
  </si>
  <si>
    <t>Electrical Material</t>
  </si>
  <si>
    <t>Measurement Tape 7.5mm</t>
  </si>
  <si>
    <t>Electrical</t>
  </si>
  <si>
    <t>Thermal ( GC Cloth)</t>
  </si>
  <si>
    <t>Sealant Tube</t>
  </si>
  <si>
    <t>31 nos x 1.5 Kg</t>
  </si>
  <si>
    <t>KG2A1I1310</t>
  </si>
  <si>
    <t>25MM</t>
  </si>
  <si>
    <t>Thermal ( Al. Foil )- Nitrile Rubber</t>
  </si>
  <si>
    <t>Thermal (Al. Foil ) Nitrile Rubber</t>
  </si>
  <si>
    <t>19MM</t>
  </si>
  <si>
    <t xml:space="preserve">Arma Flex Nitrile Rubber Tape </t>
  </si>
  <si>
    <t>Semi Finished for KNND</t>
  </si>
  <si>
    <t>300mm Dia Butterfly Damper In Sqm</t>
  </si>
  <si>
    <t>Drilling Bit (8.2MM)</t>
  </si>
  <si>
    <t>Makita Heat Gun (HG6530V-HG6531C)</t>
  </si>
  <si>
    <t>Stanley Tester</t>
  </si>
  <si>
    <t>28 nos</t>
  </si>
  <si>
    <t>Completed</t>
  </si>
  <si>
    <t>Insulation</t>
  </si>
  <si>
    <t>Neoprene Gasket</t>
  </si>
  <si>
    <t xml:space="preserve">Material Ready to dispatch </t>
  </si>
  <si>
    <t>Annexure</t>
  </si>
  <si>
    <t>Long Nut</t>
  </si>
  <si>
    <t>24g TDF with 13mm Thermal Insu</t>
  </si>
  <si>
    <t>22G</t>
  </si>
  <si>
    <t>20G</t>
  </si>
  <si>
    <t>1250 Width</t>
  </si>
  <si>
    <t>18G</t>
  </si>
  <si>
    <t xml:space="preserve">Packed </t>
  </si>
  <si>
    <t>Packed</t>
  </si>
  <si>
    <t>120 GSM</t>
  </si>
  <si>
    <t>1220 Width</t>
  </si>
  <si>
    <t>24B6QV1000</t>
  </si>
  <si>
    <t>Aluminium Hollow profile (Leaf)</t>
  </si>
  <si>
    <t>Threaded Rod</t>
  </si>
  <si>
    <t>145mm</t>
  </si>
  <si>
    <t>245mm</t>
  </si>
  <si>
    <t>345mm</t>
  </si>
  <si>
    <t>445mm</t>
  </si>
  <si>
    <t>195mm</t>
  </si>
  <si>
    <t>295mm</t>
  </si>
  <si>
    <t>300mm</t>
  </si>
  <si>
    <t>Bright Rod</t>
  </si>
  <si>
    <t>8mm</t>
  </si>
  <si>
    <t>350mm</t>
  </si>
  <si>
    <t>395mm</t>
  </si>
  <si>
    <t>400mm</t>
  </si>
  <si>
    <t>450mm</t>
  </si>
  <si>
    <t>495mm</t>
  </si>
  <si>
    <t>500mm</t>
  </si>
  <si>
    <t>GI Angle</t>
  </si>
  <si>
    <t>375mm</t>
  </si>
  <si>
    <t>475mm</t>
  </si>
  <si>
    <t>525mm</t>
  </si>
  <si>
    <t>550mm</t>
  </si>
  <si>
    <t>625mm</t>
  </si>
  <si>
    <t>650mm</t>
  </si>
  <si>
    <t>700mm</t>
  </si>
  <si>
    <t>775mm</t>
  </si>
  <si>
    <t>800mm</t>
  </si>
  <si>
    <t>850mm</t>
  </si>
  <si>
    <t>925mm</t>
  </si>
  <si>
    <t>1000mm</t>
  </si>
  <si>
    <t>1100mm</t>
  </si>
  <si>
    <t>1075mm</t>
  </si>
  <si>
    <t>1175mm</t>
  </si>
  <si>
    <t>1250mm</t>
  </si>
  <si>
    <t>1325mm</t>
  </si>
  <si>
    <t>Sealant ( Bucket) 2 Nos</t>
  </si>
  <si>
    <t>SLITTED COIL 220mm</t>
  </si>
  <si>
    <t>SLITTED COIL 240mm</t>
  </si>
  <si>
    <t>SLITTED COIL 200mm</t>
  </si>
  <si>
    <t>SLITTED COIL 228mm</t>
  </si>
  <si>
    <t>SLITTED COIL 305mm</t>
  </si>
  <si>
    <t>Market Of India chennai Ground Floor Part-1 &amp; Part-2</t>
  </si>
  <si>
    <t>24G TDF TDF with 15mm Acoustic</t>
  </si>
  <si>
    <t>24G Plain duct</t>
  </si>
  <si>
    <t>Production Completed</t>
  </si>
  <si>
    <t>Wip</t>
  </si>
  <si>
    <t>SLITTED COIL 120mm</t>
  </si>
  <si>
    <t>24G TDF with 10mm Acou.</t>
  </si>
  <si>
    <t>22G TDF with 10mm Acou.</t>
  </si>
  <si>
    <t>24G TDF PLAIN DUCT  (L-TYPE )</t>
  </si>
  <si>
    <t>Finished Goods As on 31.03.26</t>
  </si>
  <si>
    <t>Semi Finished Goods As on 31.03.26</t>
  </si>
  <si>
    <t>TG5AFB5284</t>
  </si>
  <si>
    <t>25COUNZ2000</t>
  </si>
  <si>
    <t>262ARQ1000</t>
  </si>
  <si>
    <t>262AJB1000</t>
  </si>
  <si>
    <t>25A35T2000</t>
  </si>
  <si>
    <t>25A60X2000</t>
  </si>
  <si>
    <t>26107L1000</t>
  </si>
  <si>
    <t>26111T1000</t>
  </si>
  <si>
    <t>262ARW1000</t>
  </si>
  <si>
    <t>25C2GG1000</t>
  </si>
  <si>
    <t>SG3AEB1329</t>
  </si>
  <si>
    <t>26237P2000</t>
  </si>
  <si>
    <t>Open Coil</t>
  </si>
  <si>
    <t>26235YZ000</t>
  </si>
  <si>
    <t>TG3AFA5675</t>
  </si>
  <si>
    <t>TG3AEB5437</t>
  </si>
  <si>
    <t>25C2GG1000(2)</t>
  </si>
  <si>
    <t>TG3AB5437</t>
  </si>
  <si>
    <t>600 mm Width</t>
  </si>
  <si>
    <t>120 mm</t>
  </si>
  <si>
    <t>80 mm</t>
  </si>
  <si>
    <t>Packed/Open GI coil</t>
  </si>
  <si>
    <t>180 GSM</t>
  </si>
  <si>
    <t>165 mm</t>
  </si>
  <si>
    <t>SLITTED COIL 124mm</t>
  </si>
  <si>
    <t>NALCO</t>
  </si>
  <si>
    <t>Hindalco</t>
  </si>
  <si>
    <t>40 nos x 5.4</t>
  </si>
  <si>
    <t>122 nos x 5.5 Kg</t>
  </si>
  <si>
    <t>200 mm</t>
  </si>
  <si>
    <t>220 mm</t>
  </si>
  <si>
    <t>130 mm</t>
  </si>
  <si>
    <t>1250 Width (190 mm)</t>
  </si>
  <si>
    <t>940 mm Width (50 mm)</t>
  </si>
  <si>
    <t xml:space="preserve">250 mm </t>
  </si>
  <si>
    <t xml:space="preserve">TDC Corner </t>
  </si>
  <si>
    <t>105 Roll</t>
  </si>
  <si>
    <t>305 Roll</t>
  </si>
  <si>
    <t>3 Roll</t>
  </si>
  <si>
    <t>7 Roll</t>
  </si>
  <si>
    <t>11 Roll</t>
  </si>
  <si>
    <t>139 Roll</t>
  </si>
  <si>
    <t>Thermal AM</t>
  </si>
  <si>
    <t>23 Roll</t>
  </si>
  <si>
    <t>63 Roll</t>
  </si>
  <si>
    <t>Thermal ( IC-Clad Black ) AM</t>
  </si>
  <si>
    <t>35 Box</t>
  </si>
  <si>
    <t>18 Roll</t>
  </si>
  <si>
    <t>67 Roll</t>
  </si>
  <si>
    <t>228 Roll</t>
  </si>
  <si>
    <t>161 Roll</t>
  </si>
  <si>
    <t>87 Roll</t>
  </si>
  <si>
    <t>Thermobreak Insulation</t>
  </si>
  <si>
    <t>2 Roll</t>
  </si>
  <si>
    <t>10 Box</t>
  </si>
  <si>
    <t>28 Box</t>
  </si>
  <si>
    <t>30 Roll</t>
  </si>
  <si>
    <t>6 Box</t>
  </si>
  <si>
    <t>33 Box</t>
  </si>
  <si>
    <t>141 Box</t>
  </si>
  <si>
    <t>33 Roll</t>
  </si>
  <si>
    <t>53 Roll</t>
  </si>
  <si>
    <t>TCS Noida SDB-2 Second Floor Ahu-1&amp;2 to 7&amp;8 oval duct</t>
  </si>
  <si>
    <t>24G SPIRAL OVAL DUCT   WITH 9 MM THERMAL</t>
  </si>
  <si>
    <t>22G SPIRAL OVAL DUCT   WITH 9 MM THERMAL</t>
  </si>
  <si>
    <t>20G SPIRAL OVAL DUCT   WITH 9 MM THERMAL</t>
  </si>
  <si>
    <t>20g Oval VCd</t>
  </si>
  <si>
    <t>GDGM Hospital Raipur First Floor part-2</t>
  </si>
  <si>
    <t>26G TDF PLAIN DUCT   (L-TYPE )</t>
  </si>
  <si>
    <t>22G TDF PLAIN DUCT  (L-TYPE )</t>
  </si>
  <si>
    <t>Lakshmi Fabrication</t>
  </si>
  <si>
    <t>Lenovo Bangalore 5th floor Oval duct</t>
  </si>
  <si>
    <t xml:space="preserve">24G TDF PLAIN DUCT </t>
  </si>
  <si>
    <t>24G TDF with 19mm Thermal Insu ( GC Cloth )</t>
  </si>
  <si>
    <t>24G TDF with 25mm Acou.</t>
  </si>
  <si>
    <t>24G Spiral Oval Duct with 13mm Thermal Insu</t>
  </si>
  <si>
    <t>22G Spiral Oval Duct with 13mm Thermal Insu</t>
  </si>
  <si>
    <t>22G TDF with 19mm Thermal Insu ( GC Cloth )</t>
  </si>
  <si>
    <t>22G TDF with 25mm Acou.</t>
  </si>
  <si>
    <t>20G TDF with 19mm Thermal Insu ( GC Cloth )</t>
  </si>
  <si>
    <t>20G TDF with 25mm Acou.</t>
  </si>
  <si>
    <t>18G TDF with 19mm Thermal Insu ( GC Cloth )</t>
  </si>
  <si>
    <t>18G TTDF with 25mm Acou.</t>
  </si>
  <si>
    <t>BlackStone 6th Floor AHU-1 &amp; AHU-2</t>
  </si>
  <si>
    <t>24G Plain Duct</t>
  </si>
  <si>
    <t>24G TDF with 9mm Thermal Insu</t>
  </si>
  <si>
    <t>24G TDF with 15mm Acou.</t>
  </si>
  <si>
    <t>22G TDF with 9mm Thermal Insu</t>
  </si>
  <si>
    <t>150mm Dia Butterfly Damper In Nos</t>
  </si>
  <si>
    <t>200mm Dia Butterfly Damper In Nos</t>
  </si>
  <si>
    <t>250mm Dia Butterfly Damper In Nos</t>
  </si>
  <si>
    <t>Ahu-1 complete / ahu-2 Wip</t>
  </si>
  <si>
    <t>Slotted Truss HD Screw</t>
  </si>
  <si>
    <t>M8 x 32</t>
  </si>
  <si>
    <t>M8 x 25</t>
  </si>
  <si>
    <t>M8 x 16</t>
  </si>
  <si>
    <t>Washer</t>
  </si>
  <si>
    <t>M8</t>
  </si>
  <si>
    <t>Small Nut</t>
  </si>
  <si>
    <t>M8 x 24mm</t>
  </si>
  <si>
    <t>389 Kgs * 56 nos</t>
  </si>
  <si>
    <t>7 nos</t>
  </si>
  <si>
    <t>54 nos</t>
  </si>
  <si>
    <t>2.5 mm</t>
  </si>
  <si>
    <t>2 nos</t>
  </si>
  <si>
    <t>13 nos</t>
  </si>
  <si>
    <t>144 Roll</t>
  </si>
  <si>
    <t>NOS</t>
  </si>
  <si>
    <t>Pipe Rinch</t>
  </si>
  <si>
    <t>Taparia</t>
  </si>
  <si>
    <t>Angle Grinder 100mm</t>
  </si>
  <si>
    <t>Makita</t>
  </si>
  <si>
    <t>Hammaring Drilling Machine 16mm (5/8)</t>
  </si>
  <si>
    <t>Hammer with handle</t>
  </si>
  <si>
    <t>Ball Pein Hammer with Handle</t>
  </si>
  <si>
    <t>Air Hydraulic Rivit Gun (4.8mm)</t>
  </si>
  <si>
    <t>Sumake</t>
  </si>
  <si>
    <t xml:space="preserve">Carbon Dioxide Regulator </t>
  </si>
  <si>
    <t>Yamato</t>
  </si>
  <si>
    <t>Nose plier (Long Nose)/Taparia</t>
  </si>
  <si>
    <t>Nose plier (Straight) /Taparia</t>
  </si>
  <si>
    <t xml:space="preserve">Tin Snip Straight Cutter </t>
  </si>
  <si>
    <t>Dayton</t>
  </si>
  <si>
    <t xml:space="preserve">Snip Straight Cutter </t>
  </si>
  <si>
    <t>Jetech</t>
  </si>
  <si>
    <t xml:space="preserve">Pin Sheet Cutter (snips) </t>
  </si>
  <si>
    <t>Stanley Fatmax</t>
  </si>
  <si>
    <t>BOX</t>
  </si>
  <si>
    <t>Box</t>
  </si>
  <si>
    <t>Scissors</t>
  </si>
  <si>
    <t>Stanley</t>
  </si>
  <si>
    <t>Ear plug (8.90 Rs per one)</t>
  </si>
  <si>
    <t>Digital Clamp Meter</t>
  </si>
  <si>
    <t>Spray Paint Gun Type 59</t>
  </si>
  <si>
    <t>Measurement Tape 5mm (19mm)</t>
  </si>
  <si>
    <t>Freemans</t>
  </si>
  <si>
    <t>Marker (Bold - E)</t>
  </si>
  <si>
    <t>Marker (Fine Tip)</t>
  </si>
  <si>
    <t>Adjustable Spanner</t>
  </si>
  <si>
    <t>Ring Spanner Set</t>
  </si>
  <si>
    <t>SET</t>
  </si>
  <si>
    <t>Hammer with handle Ball Pein(WH500B)</t>
  </si>
  <si>
    <t xml:space="preserve">Opne Jaw Spanner Set </t>
  </si>
  <si>
    <t>Screw Drivers (Size 8*300mm)</t>
  </si>
  <si>
    <t>Hacksaw Blades (300*25) 50 Nos Each (2 Box)</t>
  </si>
  <si>
    <t>Flat Files</t>
  </si>
  <si>
    <t>Socket Set (12.7mm Drive)</t>
  </si>
  <si>
    <t xml:space="preserve">16mm Allen Key </t>
  </si>
  <si>
    <t xml:space="preserve">12mm Allen Key </t>
  </si>
  <si>
    <t>Digimatic Micrometer</t>
  </si>
  <si>
    <t>Mitutoyo</t>
  </si>
  <si>
    <t>Ball Pein Hammer with Handle (WH800B)</t>
  </si>
  <si>
    <t>Paint Flat Brush 14 (20 Each) 3 Packet</t>
  </si>
  <si>
    <t>Paint Brush 1" (2 Box) 12 Each</t>
  </si>
  <si>
    <t>Paint Brush 2" (1 Box) 12 Each</t>
  </si>
  <si>
    <t>Electric Cable Ties (ET250*4.8)</t>
  </si>
  <si>
    <t>Pocket</t>
  </si>
  <si>
    <t>Electric Cable Ties (ET200*3.8)</t>
  </si>
  <si>
    <t>Electric Cable Ties (ET300*4.8)</t>
  </si>
  <si>
    <t>GE- Lock Tie Closure (250*3.2)</t>
  </si>
  <si>
    <t>Electric Cable Tie (ET150x3.6)</t>
  </si>
  <si>
    <t>Electric Cable Tie (2.2x100mm)</t>
  </si>
  <si>
    <t>Round files</t>
  </si>
  <si>
    <t>Eye Protection Glasses (White)</t>
  </si>
  <si>
    <t>Karam</t>
  </si>
  <si>
    <t>Safety Goggles (White)</t>
  </si>
  <si>
    <t>Emery Sheets (E4 80)</t>
  </si>
  <si>
    <t>Long Length Allen Key Set</t>
  </si>
  <si>
    <t xml:space="preserve">Wire Cutter </t>
  </si>
  <si>
    <t>Teflon Tape (Thread Seal)</t>
  </si>
  <si>
    <t>Insulation Tape (PVC &amp; Electric)</t>
  </si>
  <si>
    <t xml:space="preserve">Allen Key Set </t>
  </si>
  <si>
    <t>Allen Key Set  (Inches)</t>
  </si>
  <si>
    <t>Jaw Spanners (12*13mm)</t>
  </si>
  <si>
    <t>Spanners (14*15mm)</t>
  </si>
  <si>
    <t>Spanners (16*17mm)</t>
  </si>
  <si>
    <t>Family Screwdrivers Set</t>
  </si>
  <si>
    <t xml:space="preserve">Fatmax Retractable Knife </t>
  </si>
  <si>
    <t>Locking Grip Pliers (175mm)</t>
  </si>
  <si>
    <t>Tapping Bit Set</t>
  </si>
  <si>
    <t>Measurement Tape (10MTR) 33FT</t>
  </si>
  <si>
    <t>Toptul</t>
  </si>
  <si>
    <t>Hacksaw Frames</t>
  </si>
  <si>
    <t>HP Blind Rivets (Size 4.8*13mm) 1000 Nos each</t>
  </si>
  <si>
    <t>HP Blind Rivets (Size 3.2*13mm) 1000 Nos each</t>
  </si>
  <si>
    <t>Blind Rivets (3.2*6)(1/8"*1/4") 1000 Nos each</t>
  </si>
  <si>
    <t>Real Fastners (Size 4.8*12mm) 500 Pcs each</t>
  </si>
  <si>
    <t>Blind Pop Rivets (Size 1/8 * 1/4)</t>
  </si>
  <si>
    <t>WD - 40 (420 Ml)</t>
  </si>
  <si>
    <t>Tin</t>
  </si>
  <si>
    <t xml:space="preserve">CO2 Welding Spray </t>
  </si>
  <si>
    <t>Grease (1Kg)</t>
  </si>
  <si>
    <t>Castrol</t>
  </si>
  <si>
    <t>Cutting Wheel (100mm) 25 Nos Each (10 Packet)4"</t>
  </si>
  <si>
    <t>Bosch</t>
  </si>
  <si>
    <t>Buffing Wheel (100*16mm) 10 Nos 4"</t>
  </si>
  <si>
    <t>Grinding Wheel (100*60x16mm) 4"</t>
  </si>
  <si>
    <t>Cutting Wheel (125*1.2*22mm) WA465</t>
  </si>
  <si>
    <t>Yuri</t>
  </si>
  <si>
    <t xml:space="preserve">Buffing Wheel (125*22 23mm) * 430 80 </t>
  </si>
  <si>
    <t>ESAB-CO2  Welding Coil (Solid Wire)</t>
  </si>
  <si>
    <t xml:space="preserve">Ador Welding Rods </t>
  </si>
  <si>
    <t>.</t>
  </si>
  <si>
    <t>Cutting Wheel 14" (355*28*25.4mm) 20 Each</t>
  </si>
  <si>
    <t xml:space="preserve">Leather Hand Gloves </t>
  </si>
  <si>
    <t>Pair</t>
  </si>
  <si>
    <t>Welding Helmets</t>
  </si>
  <si>
    <t>Coil Belt 6 Ton (6*5)</t>
  </si>
  <si>
    <t>Coil Belt 3 Ton (3*3 MTR)</t>
  </si>
  <si>
    <t>Coil Belt 2 Ton (2*3 MTR)</t>
  </si>
  <si>
    <t xml:space="preserve">NC Thinner </t>
  </si>
  <si>
    <t>Ltr</t>
  </si>
  <si>
    <t>Yellow PU Enemel Paint (4 Ltr Each)</t>
  </si>
  <si>
    <t>Berger</t>
  </si>
  <si>
    <t>Black Paint (4 Ltr)</t>
  </si>
  <si>
    <t>Zinc Yellow Primer Paint (4 Ltr)</t>
  </si>
  <si>
    <t xml:space="preserve">Blue Paint </t>
  </si>
  <si>
    <t>Asian</t>
  </si>
  <si>
    <t>Gem Aluminium Paint</t>
  </si>
  <si>
    <t xml:space="preserve">Gear Oil </t>
  </si>
  <si>
    <t>HP</t>
  </si>
  <si>
    <t>Cloth Waste</t>
  </si>
  <si>
    <t>Nachi Bearings (51205G)230512</t>
  </si>
  <si>
    <t>Nachi Bearings (NJ203Y)200608</t>
  </si>
  <si>
    <t>NTN Ball Bearings (6904LLU/2As)</t>
  </si>
  <si>
    <t>FAG Bearings (6306-2RSR)</t>
  </si>
  <si>
    <t>SKF Bearings (6007-2RS1)</t>
  </si>
  <si>
    <t>Aluminium Cutting Wheel</t>
  </si>
  <si>
    <t>Hikoki</t>
  </si>
  <si>
    <t>Paint Roller Handle</t>
  </si>
  <si>
    <t>Paint Roller Refills</t>
  </si>
  <si>
    <t>Paint Brush (3" (75mm)</t>
  </si>
  <si>
    <t>Helmet Welding Glass (White)</t>
  </si>
  <si>
    <t>Helmet Welding Glass (Black)</t>
  </si>
  <si>
    <t>Hand Gloves (Blue Cotton)</t>
  </si>
  <si>
    <t>Hypertherm Electrode ( 5 per Pack) 6 Pocket</t>
  </si>
  <si>
    <t>Hypertherm Nozzel (5 Per Pack) 6 Pocket</t>
  </si>
  <si>
    <t>Garnet LED Flood Lights (100W)</t>
  </si>
  <si>
    <t>Wipro</t>
  </si>
  <si>
    <t>Wooden Hammer Sticks</t>
  </si>
  <si>
    <t>Trolley Wheel (150" MM) Solid Nylon</t>
  </si>
  <si>
    <t>Trolley Wheel (400" MM) Rubber</t>
  </si>
  <si>
    <t>Pipe Wrench</t>
  </si>
  <si>
    <t>U Groove 3" (Wheel)</t>
  </si>
  <si>
    <t>V Groove 3" (Wheel)</t>
  </si>
  <si>
    <t>C Clamp (Big)</t>
  </si>
  <si>
    <t>C Clamp (Small)</t>
  </si>
  <si>
    <t>Sealer</t>
  </si>
  <si>
    <t>Wooden Hammer (Only Hammer)</t>
  </si>
  <si>
    <t>Factory Physical Stock Summary as on 31.03.2026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</si>
</sst>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0.0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9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Book Antiqua"/>
      <family val="1"/>
    </font>
    <font>
      <b/>
      <sz val="12"/>
      <color theme="0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4"/>
      <color rgb="FFFF0000"/>
      <name val="Cambria"/>
      <family val="1"/>
      <scheme val="major"/>
    </font>
    <font>
      <b/>
      <sz val="18"/>
      <color theme="0"/>
      <name val="Cambria"/>
      <family val="1"/>
      <scheme val="major"/>
    </font>
    <font>
      <b/>
      <sz val="14"/>
      <color theme="4" tint="-0.499984740745262"/>
      <name val="Cambria"/>
      <family val="1"/>
      <scheme val="major"/>
    </font>
    <font>
      <b/>
      <sz val="14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0"/>
      <name val="Cambria"/>
      <family val="1"/>
      <scheme val="major"/>
    </font>
    <font>
      <sz val="11"/>
      <color rgb="FFFF0000"/>
      <name val="Cambria"/>
      <family val="1"/>
      <scheme val="major"/>
    </font>
    <font>
      <b/>
      <sz val="22"/>
      <color theme="0"/>
      <name val="Calibri"/>
      <family val="2"/>
      <scheme val="minor"/>
    </font>
    <font>
      <b/>
      <sz val="16"/>
      <color rgb="FFFF0000"/>
      <name val="Cambria"/>
      <family val="1"/>
      <scheme val="major"/>
    </font>
    <font>
      <sz val="11"/>
      <color theme="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0" fillId="0" borderId="0" applyFont="0" applyFill="0" applyBorder="0" applyAlignment="0" applyProtection="0"/>
    <xf numFmtId="0" fontId="27" fillId="7" borderId="0" applyNumberFormat="0" applyBorder="0" applyAlignment="0" applyProtection="0"/>
    <xf numFmtId="0" fontId="28" fillId="8" borderId="0" applyNumberFormat="0" applyBorder="0" applyAlignment="0" applyProtection="0"/>
    <xf numFmtId="43" fontId="10" fillId="0" borderId="0" applyFont="0" applyFill="0" applyBorder="0" applyAlignment="0" applyProtection="0"/>
  </cellStyleXfs>
  <cellXfs count="379">
    <xf numFmtId="0" fontId="0" fillId="0" borderId="0" xfId="0"/>
    <xf numFmtId="0" fontId="0" fillId="0" borderId="7" xfId="0" applyBorder="1"/>
    <xf numFmtId="0" fontId="0" fillId="0" borderId="9" xfId="0" applyBorder="1"/>
    <xf numFmtId="0" fontId="0" fillId="0" borderId="10" xfId="0" applyBorder="1"/>
    <xf numFmtId="2" fontId="0" fillId="0" borderId="0" xfId="0" applyNumberFormat="1"/>
    <xf numFmtId="0" fontId="0" fillId="0" borderId="4" xfId="0" applyBorder="1"/>
    <xf numFmtId="0" fontId="0" fillId="0" borderId="3" xfId="0" applyBorder="1"/>
    <xf numFmtId="49" fontId="4" fillId="0" borderId="0" xfId="0" applyNumberFormat="1" applyFont="1" applyAlignment="1">
      <alignment horizontal="left" vertical="top" indent="3"/>
    </xf>
    <xf numFmtId="2" fontId="4" fillId="0" borderId="0" xfId="0" applyNumberFormat="1" applyFont="1" applyAlignment="1">
      <alignment horizontal="right" vertical="top"/>
    </xf>
    <xf numFmtId="164" fontId="6" fillId="0" borderId="0" xfId="1" applyFont="1" applyFill="1" applyBorder="1"/>
    <xf numFmtId="0" fontId="0" fillId="0" borderId="8" xfId="0" applyBorder="1"/>
    <xf numFmtId="2" fontId="0" fillId="0" borderId="9" xfId="0" applyNumberFormat="1" applyBorder="1"/>
    <xf numFmtId="0" fontId="13" fillId="0" borderId="0" xfId="0" applyFont="1"/>
    <xf numFmtId="0" fontId="0" fillId="0" borderId="13" xfId="0" applyBorder="1"/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49" fontId="4" fillId="0" borderId="0" xfId="0" applyNumberFormat="1" applyFont="1" applyAlignment="1">
      <alignment horizontal="left" vertical="top"/>
    </xf>
    <xf numFmtId="164" fontId="1" fillId="0" borderId="0" xfId="1" applyFont="1" applyFill="1" applyBorder="1"/>
    <xf numFmtId="164" fontId="0" fillId="0" borderId="0" xfId="1" applyFont="1"/>
    <xf numFmtId="0" fontId="0" fillId="0" borderId="0" xfId="0" applyAlignment="1">
      <alignment wrapText="1"/>
    </xf>
    <xf numFmtId="0" fontId="11" fillId="0" borderId="0" xfId="0" applyFont="1"/>
    <xf numFmtId="0" fontId="7" fillId="0" borderId="14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49" fontId="12" fillId="0" borderId="0" xfId="0" applyNumberFormat="1" applyFont="1" applyAlignment="1">
      <alignment horizontal="left" vertical="top"/>
    </xf>
    <xf numFmtId="164" fontId="0" fillId="0" borderId="0" xfId="1" applyFont="1" applyFill="1"/>
    <xf numFmtId="0" fontId="3" fillId="0" borderId="4" xfId="0" applyFont="1" applyBorder="1" applyAlignment="1">
      <alignment horizontal="center" vertical="center" wrapText="1"/>
    </xf>
    <xf numFmtId="0" fontId="14" fillId="0" borderId="2" xfId="0" applyFont="1" applyBorder="1"/>
    <xf numFmtId="49" fontId="12" fillId="0" borderId="4" xfId="0" applyNumberFormat="1" applyFont="1" applyBorder="1" applyAlignment="1">
      <alignment horizontal="left" vertical="top"/>
    </xf>
    <xf numFmtId="0" fontId="7" fillId="0" borderId="4" xfId="0" applyFont="1" applyBorder="1"/>
    <xf numFmtId="164" fontId="6" fillId="0" borderId="2" xfId="1" applyFont="1" applyFill="1" applyBorder="1"/>
    <xf numFmtId="0" fontId="11" fillId="0" borderId="4" xfId="0" applyFont="1" applyBorder="1"/>
    <xf numFmtId="0" fontId="14" fillId="0" borderId="19" xfId="0" applyFont="1" applyBorder="1"/>
    <xf numFmtId="164" fontId="6" fillId="0" borderId="19" xfId="1" applyFont="1" applyFill="1" applyBorder="1"/>
    <xf numFmtId="0" fontId="1" fillId="0" borderId="2" xfId="0" applyFont="1" applyBorder="1"/>
    <xf numFmtId="49" fontId="4" fillId="0" borderId="4" xfId="0" applyNumberFormat="1" applyFont="1" applyBorder="1" applyAlignment="1">
      <alignment horizontal="left" vertical="top"/>
    </xf>
    <xf numFmtId="164" fontId="10" fillId="0" borderId="2" xfId="1" applyFont="1" applyFill="1" applyBorder="1"/>
    <xf numFmtId="2" fontId="12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8" fillId="0" borderId="14" xfId="1" applyFont="1" applyBorder="1"/>
    <xf numFmtId="0" fontId="22" fillId="0" borderId="0" xfId="0" applyFont="1"/>
    <xf numFmtId="164" fontId="0" fillId="0" borderId="0" xfId="1" applyFont="1" applyFill="1" applyBorder="1"/>
    <xf numFmtId="0" fontId="0" fillId="0" borderId="19" xfId="0" applyBorder="1"/>
    <xf numFmtId="49" fontId="4" fillId="0" borderId="4" xfId="0" applyNumberFormat="1" applyFont="1" applyBorder="1" applyAlignment="1">
      <alignment horizontal="left" vertical="top" indent="3"/>
    </xf>
    <xf numFmtId="2" fontId="6" fillId="0" borderId="19" xfId="0" applyNumberFormat="1" applyFont="1" applyBorder="1"/>
    <xf numFmtId="0" fontId="0" fillId="0" borderId="12" xfId="0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22" xfId="0" applyFont="1" applyBorder="1" applyAlignment="1">
      <alignment horizontal="center"/>
    </xf>
    <xf numFmtId="164" fontId="6" fillId="0" borderId="0" xfId="0" applyNumberFormat="1" applyFont="1"/>
    <xf numFmtId="0" fontId="1" fillId="0" borderId="29" xfId="0" applyFont="1" applyBorder="1"/>
    <xf numFmtId="0" fontId="24" fillId="0" borderId="0" xfId="0" applyFont="1"/>
    <xf numFmtId="0" fontId="0" fillId="6" borderId="19" xfId="0" applyFill="1" applyBorder="1"/>
    <xf numFmtId="0" fontId="7" fillId="0" borderId="2" xfId="0" applyFont="1" applyBorder="1" applyAlignment="1">
      <alignment horizontal="right" vertical="center"/>
    </xf>
    <xf numFmtId="0" fontId="18" fillId="0" borderId="0" xfId="0" applyFont="1"/>
    <xf numFmtId="0" fontId="17" fillId="0" borderId="0" xfId="0" applyFont="1"/>
    <xf numFmtId="0" fontId="19" fillId="0" borderId="8" xfId="0" applyFont="1" applyBorder="1" applyAlignment="1">
      <alignment vertical="top"/>
    </xf>
    <xf numFmtId="49" fontId="25" fillId="0" borderId="9" xfId="0" applyNumberFormat="1" applyFont="1" applyBorder="1" applyAlignment="1">
      <alignment vertical="top"/>
    </xf>
    <xf numFmtId="0" fontId="19" fillId="0" borderId="8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9" fillId="0" borderId="9" xfId="0" applyFont="1" applyBorder="1" applyAlignment="1">
      <alignment vertical="top" wrapText="1"/>
    </xf>
    <xf numFmtId="0" fontId="25" fillId="0" borderId="7" xfId="0" applyFont="1" applyBorder="1"/>
    <xf numFmtId="0" fontId="25" fillId="0" borderId="9" xfId="0" applyFont="1" applyBorder="1"/>
    <xf numFmtId="2" fontId="25" fillId="0" borderId="9" xfId="0" applyNumberFormat="1" applyFont="1" applyBorder="1" applyAlignment="1">
      <alignment vertical="top"/>
    </xf>
    <xf numFmtId="164" fontId="19" fillId="0" borderId="7" xfId="1" applyFont="1" applyFill="1" applyBorder="1" applyAlignment="1"/>
    <xf numFmtId="164" fontId="19" fillId="0" borderId="9" xfId="1" applyFont="1" applyFill="1" applyBorder="1" applyAlignment="1"/>
    <xf numFmtId="49" fontId="19" fillId="0" borderId="9" xfId="0" applyNumberFormat="1" applyFont="1" applyBorder="1" applyAlignment="1">
      <alignment vertical="top"/>
    </xf>
    <xf numFmtId="0" fontId="19" fillId="0" borderId="9" xfId="0" applyFont="1" applyBorder="1"/>
    <xf numFmtId="164" fontId="19" fillId="0" borderId="17" xfId="1" applyFont="1" applyFill="1" applyBorder="1" applyAlignment="1"/>
    <xf numFmtId="164" fontId="19" fillId="0" borderId="8" xfId="1" applyFont="1" applyFill="1" applyBorder="1" applyAlignment="1"/>
    <xf numFmtId="0" fontId="25" fillId="0" borderId="8" xfId="0" applyFont="1" applyBorder="1" applyAlignment="1">
      <alignment vertical="top"/>
    </xf>
    <xf numFmtId="0" fontId="25" fillId="0" borderId="13" xfId="0" applyFont="1" applyBorder="1"/>
    <xf numFmtId="164" fontId="19" fillId="0" borderId="13" xfId="1" applyFont="1" applyFill="1" applyBorder="1" applyAlignment="1"/>
    <xf numFmtId="0" fontId="19" fillId="0" borderId="6" xfId="0" applyFont="1" applyBorder="1" applyAlignment="1">
      <alignment vertical="center"/>
    </xf>
    <xf numFmtId="0" fontId="19" fillId="0" borderId="6" xfId="0" applyFont="1" applyBorder="1" applyAlignment="1">
      <alignment vertical="center" wrapText="1"/>
    </xf>
    <xf numFmtId="0" fontId="19" fillId="0" borderId="8" xfId="0" applyFont="1" applyBorder="1"/>
    <xf numFmtId="164" fontId="19" fillId="0" borderId="6" xfId="1" applyFont="1" applyFill="1" applyBorder="1" applyAlignment="1"/>
    <xf numFmtId="164" fontId="19" fillId="0" borderId="12" xfId="1" applyFont="1" applyFill="1" applyBorder="1" applyAlignment="1"/>
    <xf numFmtId="0" fontId="25" fillId="0" borderId="10" xfId="0" applyFont="1" applyBorder="1"/>
    <xf numFmtId="0" fontId="19" fillId="0" borderId="33" xfId="0" applyFont="1" applyBorder="1"/>
    <xf numFmtId="0" fontId="19" fillId="0" borderId="18" xfId="0" applyFont="1" applyBorder="1"/>
    <xf numFmtId="0" fontId="19" fillId="6" borderId="8" xfId="0" applyFont="1" applyFill="1" applyBorder="1"/>
    <xf numFmtId="0" fontId="19" fillId="6" borderId="17" xfId="0" applyFont="1" applyFill="1" applyBorder="1"/>
    <xf numFmtId="0" fontId="19" fillId="0" borderId="17" xfId="0" applyFont="1" applyBorder="1"/>
    <xf numFmtId="164" fontId="19" fillId="6" borderId="17" xfId="1" applyFont="1" applyFill="1" applyBorder="1" applyAlignment="1"/>
    <xf numFmtId="0" fontId="19" fillId="6" borderId="9" xfId="0" applyFont="1" applyFill="1" applyBorder="1"/>
    <xf numFmtId="0" fontId="19" fillId="6" borderId="13" xfId="0" applyFont="1" applyFill="1" applyBorder="1"/>
    <xf numFmtId="0" fontId="19" fillId="0" borderId="13" xfId="0" applyFont="1" applyBorder="1"/>
    <xf numFmtId="164" fontId="19" fillId="6" borderId="13" xfId="1" applyFont="1" applyFill="1" applyBorder="1" applyAlignment="1"/>
    <xf numFmtId="164" fontId="19" fillId="0" borderId="33" xfId="1" applyFont="1" applyFill="1" applyBorder="1" applyAlignment="1"/>
    <xf numFmtId="164" fontId="19" fillId="0" borderId="35" xfId="1" applyFont="1" applyFill="1" applyBorder="1" applyAlignment="1"/>
    <xf numFmtId="2" fontId="19" fillId="0" borderId="10" xfId="0" applyNumberFormat="1" applyFont="1" applyBorder="1" applyAlignment="1">
      <alignment vertical="center"/>
    </xf>
    <xf numFmtId="0" fontId="2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164" fontId="0" fillId="0" borderId="29" xfId="1" applyFont="1" applyBorder="1"/>
    <xf numFmtId="164" fontId="0" fillId="0" borderId="29" xfId="0" applyNumberFormat="1" applyBorder="1"/>
    <xf numFmtId="0" fontId="2" fillId="0" borderId="1" xfId="0" applyFont="1" applyBorder="1"/>
    <xf numFmtId="0" fontId="2" fillId="0" borderId="2" xfId="0" applyFont="1" applyBorder="1"/>
    <xf numFmtId="0" fontId="0" fillId="0" borderId="31" xfId="0" applyBorder="1"/>
    <xf numFmtId="0" fontId="19" fillId="0" borderId="7" xfId="0" applyFont="1" applyBorder="1" applyAlignment="1">
      <alignment horizontal="center"/>
    </xf>
    <xf numFmtId="1" fontId="0" fillId="0" borderId="0" xfId="0" applyNumberFormat="1"/>
    <xf numFmtId="43" fontId="0" fillId="0" borderId="0" xfId="0" applyNumberFormat="1"/>
    <xf numFmtId="2" fontId="22" fillId="0" borderId="9" xfId="0" applyNumberFormat="1" applyFont="1" applyBorder="1" applyAlignment="1">
      <alignment vertical="top"/>
    </xf>
    <xf numFmtId="0" fontId="0" fillId="0" borderId="29" xfId="0" applyBorder="1"/>
    <xf numFmtId="0" fontId="11" fillId="6" borderId="0" xfId="0" applyFont="1" applyFill="1"/>
    <xf numFmtId="0" fontId="27" fillId="0" borderId="0" xfId="2" applyFill="1"/>
    <xf numFmtId="0" fontId="22" fillId="0" borderId="6" xfId="0" applyFont="1" applyBorder="1" applyAlignment="1">
      <alignment vertical="center"/>
    </xf>
    <xf numFmtId="0" fontId="22" fillId="0" borderId="8" xfId="0" applyFont="1" applyBorder="1" applyAlignment="1">
      <alignment horizontal="left" vertical="top"/>
    </xf>
    <xf numFmtId="0" fontId="22" fillId="0" borderId="6" xfId="0" applyFont="1" applyBorder="1" applyAlignment="1">
      <alignment vertical="center" wrapText="1"/>
    </xf>
    <xf numFmtId="0" fontId="22" fillId="0" borderId="8" xfId="0" applyFont="1" applyBorder="1"/>
    <xf numFmtId="2" fontId="21" fillId="0" borderId="6" xfId="3" applyNumberFormat="1" applyFont="1" applyFill="1" applyBorder="1" applyAlignment="1">
      <alignment vertical="center"/>
    </xf>
    <xf numFmtId="164" fontId="22" fillId="0" borderId="6" xfId="1" applyFont="1" applyFill="1" applyBorder="1" applyAlignment="1"/>
    <xf numFmtId="164" fontId="22" fillId="0" borderId="8" xfId="1" applyFont="1" applyFill="1" applyBorder="1" applyAlignment="1"/>
    <xf numFmtId="164" fontId="22" fillId="0" borderId="7" xfId="1" applyFont="1" applyFill="1" applyBorder="1" applyAlignment="1"/>
    <xf numFmtId="0" fontId="22" fillId="0" borderId="8" xfId="0" applyFont="1" applyBorder="1" applyAlignment="1">
      <alignment vertical="center" wrapText="1"/>
    </xf>
    <xf numFmtId="0" fontId="19" fillId="6" borderId="7" xfId="0" applyFont="1" applyFill="1" applyBorder="1"/>
    <xf numFmtId="0" fontId="7" fillId="0" borderId="9" xfId="0" applyFont="1" applyBorder="1"/>
    <xf numFmtId="2" fontId="7" fillId="0" borderId="0" xfId="0" applyNumberFormat="1" applyFont="1" applyAlignment="1">
      <alignment horizontal="right" vertical="center"/>
    </xf>
    <xf numFmtId="164" fontId="10" fillId="0" borderId="0" xfId="1" applyFont="1" applyFill="1" applyBorder="1"/>
    <xf numFmtId="0" fontId="19" fillId="0" borderId="18" xfId="0" applyFont="1" applyBorder="1" applyAlignment="1">
      <alignment horizontal="left"/>
    </xf>
    <xf numFmtId="0" fontId="19" fillId="0" borderId="29" xfId="0" applyFont="1" applyBorder="1" applyAlignment="1">
      <alignment horizontal="center"/>
    </xf>
    <xf numFmtId="0" fontId="25" fillId="0" borderId="29" xfId="0" applyFont="1" applyBorder="1"/>
    <xf numFmtId="164" fontId="9" fillId="0" borderId="29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right"/>
    </xf>
    <xf numFmtId="0" fontId="7" fillId="0" borderId="29" xfId="0" applyFont="1" applyBorder="1"/>
    <xf numFmtId="164" fontId="20" fillId="2" borderId="29" xfId="0" applyNumberFormat="1" applyFont="1" applyFill="1" applyBorder="1"/>
    <xf numFmtId="0" fontId="0" fillId="0" borderId="29" xfId="0" applyBorder="1" applyAlignment="1">
      <alignment horizontal="center"/>
    </xf>
    <xf numFmtId="0" fontId="19" fillId="0" borderId="29" xfId="0" applyFont="1" applyBorder="1"/>
    <xf numFmtId="2" fontId="0" fillId="0" borderId="29" xfId="0" applyNumberFormat="1" applyBorder="1"/>
    <xf numFmtId="0" fontId="11" fillId="6" borderId="29" xfId="0" applyFont="1" applyFill="1" applyBorder="1"/>
    <xf numFmtId="0" fontId="11" fillId="6" borderId="29" xfId="0" applyFont="1" applyFill="1" applyBorder="1" applyAlignment="1">
      <alignment horizontal="center"/>
    </xf>
    <xf numFmtId="2" fontId="11" fillId="6" borderId="29" xfId="0" applyNumberFormat="1" applyFont="1" applyFill="1" applyBorder="1"/>
    <xf numFmtId="166" fontId="0" fillId="0" borderId="0" xfId="0" applyNumberFormat="1"/>
    <xf numFmtId="0" fontId="0" fillId="6" borderId="31" xfId="0" applyFill="1" applyBorder="1"/>
    <xf numFmtId="164" fontId="0" fillId="6" borderId="9" xfId="1" applyFont="1" applyFill="1" applyBorder="1"/>
    <xf numFmtId="0" fontId="0" fillId="6" borderId="9" xfId="0" applyFill="1" applyBorder="1"/>
    <xf numFmtId="0" fontId="0" fillId="6" borderId="5" xfId="0" applyFill="1" applyBorder="1"/>
    <xf numFmtId="164" fontId="0" fillId="6" borderId="7" xfId="1" applyFont="1" applyFill="1" applyBorder="1"/>
    <xf numFmtId="0" fontId="19" fillId="6" borderId="31" xfId="0" applyFont="1" applyFill="1" applyBorder="1"/>
    <xf numFmtId="164" fontId="19" fillId="6" borderId="9" xfId="1" applyFont="1" applyFill="1" applyBorder="1" applyAlignment="1"/>
    <xf numFmtId="0" fontId="19" fillId="6" borderId="6" xfId="0" applyFont="1" applyFill="1" applyBorder="1"/>
    <xf numFmtId="164" fontId="19" fillId="6" borderId="8" xfId="1" applyFont="1" applyFill="1" applyBorder="1" applyAlignment="1"/>
    <xf numFmtId="0" fontId="19" fillId="6" borderId="28" xfId="0" applyFont="1" applyFill="1" applyBorder="1"/>
    <xf numFmtId="0" fontId="0" fillId="0" borderId="29" xfId="0" applyBorder="1" applyAlignment="1">
      <alignment horizontal="left"/>
    </xf>
    <xf numFmtId="0" fontId="31" fillId="9" borderId="4" xfId="0" applyFont="1" applyFill="1" applyBorder="1" applyAlignment="1">
      <alignment horizontal="center" vertical="center" wrapText="1"/>
    </xf>
    <xf numFmtId="0" fontId="31" fillId="9" borderId="4" xfId="0" applyFont="1" applyFill="1" applyBorder="1" applyAlignment="1">
      <alignment horizontal="left" vertical="center" indent="1"/>
    </xf>
    <xf numFmtId="0" fontId="31" fillId="9" borderId="2" xfId="0" applyFont="1" applyFill="1" applyBorder="1" applyAlignment="1">
      <alignment horizontal="center" vertical="center" wrapText="1"/>
    </xf>
    <xf numFmtId="0" fontId="32" fillId="9" borderId="4" xfId="0" applyFont="1" applyFill="1" applyBorder="1"/>
    <xf numFmtId="0" fontId="32" fillId="9" borderId="2" xfId="0" applyFont="1" applyFill="1" applyBorder="1"/>
    <xf numFmtId="164" fontId="32" fillId="9" borderId="4" xfId="1" applyFont="1" applyFill="1" applyBorder="1"/>
    <xf numFmtId="0" fontId="32" fillId="9" borderId="2" xfId="0" applyFont="1" applyFill="1" applyBorder="1" applyAlignment="1">
      <alignment horizontal="right" vertical="center"/>
    </xf>
    <xf numFmtId="0" fontId="31" fillId="9" borderId="3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0" fontId="32" fillId="9" borderId="4" xfId="0" applyFont="1" applyFill="1" applyBorder="1" applyAlignment="1">
      <alignment horizontal="center"/>
    </xf>
    <xf numFmtId="0" fontId="32" fillId="9" borderId="2" xfId="0" applyFont="1" applyFill="1" applyBorder="1" applyAlignment="1">
      <alignment horizontal="center" vertical="center"/>
    </xf>
    <xf numFmtId="0" fontId="32" fillId="9" borderId="2" xfId="0" applyFont="1" applyFill="1" applyBorder="1" applyAlignment="1">
      <alignment horizontal="center"/>
    </xf>
    <xf numFmtId="164" fontId="32" fillId="9" borderId="4" xfId="1" applyFont="1" applyFill="1" applyBorder="1" applyAlignment="1">
      <alignment horizontal="center"/>
    </xf>
    <xf numFmtId="0" fontId="32" fillId="9" borderId="3" xfId="0" applyFont="1" applyFill="1" applyBorder="1" applyAlignment="1">
      <alignment horizontal="center"/>
    </xf>
    <xf numFmtId="0" fontId="31" fillId="9" borderId="2" xfId="0" applyFont="1" applyFill="1" applyBorder="1" applyAlignment="1">
      <alignment horizontal="left" vertical="center" indent="1"/>
    </xf>
    <xf numFmtId="0" fontId="31" fillId="9" borderId="2" xfId="0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 wrapText="1"/>
    </xf>
    <xf numFmtId="0" fontId="32" fillId="9" borderId="3" xfId="0" applyFont="1" applyFill="1" applyBorder="1" applyAlignment="1">
      <alignment horizontal="center" vertical="center"/>
    </xf>
    <xf numFmtId="164" fontId="32" fillId="9" borderId="2" xfId="1" applyFont="1" applyFill="1" applyBorder="1" applyAlignment="1">
      <alignment horizontal="center"/>
    </xf>
    <xf numFmtId="0" fontId="30" fillId="9" borderId="4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30" fillId="9" borderId="2" xfId="0" applyFont="1" applyFill="1" applyBorder="1" applyAlignment="1">
      <alignment horizontal="center"/>
    </xf>
    <xf numFmtId="0" fontId="32" fillId="9" borderId="21" xfId="0" applyFont="1" applyFill="1" applyBorder="1" applyAlignment="1">
      <alignment horizontal="center"/>
    </xf>
    <xf numFmtId="0" fontId="32" fillId="9" borderId="15" xfId="0" applyFont="1" applyFill="1" applyBorder="1" applyAlignment="1">
      <alignment horizontal="center"/>
    </xf>
    <xf numFmtId="0" fontId="32" fillId="9" borderId="22" xfId="0" applyFont="1" applyFill="1" applyBorder="1" applyAlignment="1">
      <alignment horizontal="center"/>
    </xf>
    <xf numFmtId="0" fontId="32" fillId="9" borderId="22" xfId="0" applyFont="1" applyFill="1" applyBorder="1" applyAlignment="1">
      <alignment horizontal="center" vertical="center"/>
    </xf>
    <xf numFmtId="164" fontId="32" fillId="9" borderId="15" xfId="1" applyFont="1" applyFill="1" applyBorder="1" applyAlignment="1">
      <alignment horizontal="center"/>
    </xf>
    <xf numFmtId="0" fontId="32" fillId="9" borderId="23" xfId="0" applyFont="1" applyFill="1" applyBorder="1" applyAlignment="1">
      <alignment horizontal="center"/>
    </xf>
    <xf numFmtId="0" fontId="2" fillId="11" borderId="15" xfId="0" applyFont="1" applyFill="1" applyBorder="1"/>
    <xf numFmtId="0" fontId="2" fillId="11" borderId="15" xfId="0" applyFont="1" applyFill="1" applyBorder="1" applyAlignment="1">
      <alignment wrapText="1"/>
    </xf>
    <xf numFmtId="0" fontId="2" fillId="11" borderId="4" xfId="0" applyFont="1" applyFill="1" applyBorder="1"/>
    <xf numFmtId="0" fontId="13" fillId="11" borderId="4" xfId="0" applyFont="1" applyFill="1" applyBorder="1"/>
    <xf numFmtId="0" fontId="0" fillId="6" borderId="29" xfId="0" applyFill="1" applyBorder="1" applyAlignment="1">
      <alignment horizontal="left"/>
    </xf>
    <xf numFmtId="0" fontId="0" fillId="6" borderId="29" xfId="0" applyFill="1" applyBorder="1"/>
    <xf numFmtId="0" fontId="35" fillId="0" borderId="5" xfId="0" applyFont="1" applyBorder="1" applyAlignment="1">
      <alignment horizontal="center"/>
    </xf>
    <xf numFmtId="0" fontId="35" fillId="0" borderId="9" xfId="0" applyFont="1" applyBorder="1"/>
    <xf numFmtId="164" fontId="36" fillId="0" borderId="31" xfId="1" applyFont="1" applyBorder="1"/>
    <xf numFmtId="2" fontId="34" fillId="0" borderId="9" xfId="0" applyNumberFormat="1" applyFont="1" applyBorder="1"/>
    <xf numFmtId="164" fontId="36" fillId="0" borderId="31" xfId="0" applyNumberFormat="1" applyFont="1" applyBorder="1"/>
    <xf numFmtId="0" fontId="35" fillId="0" borderId="11" xfId="0" applyFont="1" applyBorder="1"/>
    <xf numFmtId="164" fontId="36" fillId="0" borderId="32" xfId="0" applyNumberFormat="1" applyFont="1" applyBorder="1"/>
    <xf numFmtId="0" fontId="41" fillId="0" borderId="36" xfId="0" applyFont="1" applyBorder="1"/>
    <xf numFmtId="0" fontId="42" fillId="9" borderId="21" xfId="0" applyFont="1" applyFill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40" fillId="9" borderId="15" xfId="0" applyFont="1" applyFill="1" applyBorder="1" applyAlignment="1">
      <alignment horizontal="center" vertical="center"/>
    </xf>
    <xf numFmtId="0" fontId="40" fillId="9" borderId="23" xfId="0" applyFont="1" applyFill="1" applyBorder="1" applyAlignment="1">
      <alignment horizontal="center" vertical="center"/>
    </xf>
    <xf numFmtId="0" fontId="0" fillId="6" borderId="37" xfId="0" applyFill="1" applyBorder="1"/>
    <xf numFmtId="0" fontId="7" fillId="0" borderId="10" xfId="0" applyFont="1" applyBorder="1"/>
    <xf numFmtId="0" fontId="0" fillId="6" borderId="10" xfId="0" applyFill="1" applyBorder="1"/>
    <xf numFmtId="0" fontId="19" fillId="6" borderId="10" xfId="0" applyFont="1" applyFill="1" applyBorder="1"/>
    <xf numFmtId="164" fontId="0" fillId="6" borderId="12" xfId="1" applyFont="1" applyFill="1" applyBorder="1"/>
    <xf numFmtId="164" fontId="0" fillId="6" borderId="10" xfId="1" applyFont="1" applyFill="1" applyBorder="1"/>
    <xf numFmtId="0" fontId="0" fillId="6" borderId="33" xfId="0" applyFill="1" applyBorder="1"/>
    <xf numFmtId="0" fontId="0" fillId="0" borderId="1" xfId="0" applyBorder="1"/>
    <xf numFmtId="0" fontId="29" fillId="12" borderId="29" xfId="0" applyFont="1" applyFill="1" applyBorder="1" applyAlignment="1">
      <alignment horizontal="center" vertical="center"/>
    </xf>
    <xf numFmtId="2" fontId="29" fillId="12" borderId="29" xfId="0" applyNumberFormat="1" applyFont="1" applyFill="1" applyBorder="1" applyAlignment="1">
      <alignment horizontal="center" vertical="center" wrapText="1"/>
    </xf>
    <xf numFmtId="0" fontId="28" fillId="12" borderId="29" xfId="0" applyFont="1" applyFill="1" applyBorder="1" applyAlignment="1">
      <alignment horizontal="center" vertical="center"/>
    </xf>
    <xf numFmtId="0" fontId="30" fillId="12" borderId="29" xfId="0" applyFont="1" applyFill="1" applyBorder="1" applyAlignment="1">
      <alignment horizontal="center"/>
    </xf>
    <xf numFmtId="0" fontId="28" fillId="12" borderId="29" xfId="0" applyFont="1" applyFill="1" applyBorder="1" applyAlignment="1">
      <alignment horizontal="center"/>
    </xf>
    <xf numFmtId="0" fontId="29" fillId="9" borderId="29" xfId="0" applyFont="1" applyFill="1" applyBorder="1" applyAlignment="1">
      <alignment horizontal="center" wrapText="1"/>
    </xf>
    <xf numFmtId="2" fontId="29" fillId="9" borderId="29" xfId="0" applyNumberFormat="1" applyFont="1" applyFill="1" applyBorder="1" applyAlignment="1">
      <alignment horizontal="center" wrapText="1"/>
    </xf>
    <xf numFmtId="0" fontId="25" fillId="0" borderId="29" xfId="0" applyFont="1" applyBorder="1" applyAlignment="1">
      <alignment horizontal="center"/>
    </xf>
    <xf numFmtId="0" fontId="29" fillId="9" borderId="29" xfId="0" applyFont="1" applyFill="1" applyBorder="1" applyAlignment="1">
      <alignment horizontal="center" vertical="center"/>
    </xf>
    <xf numFmtId="0" fontId="30" fillId="9" borderId="29" xfId="0" applyFont="1" applyFill="1" applyBorder="1" applyAlignment="1">
      <alignment horizontal="center" vertical="center"/>
    </xf>
    <xf numFmtId="0" fontId="30" fillId="9" borderId="29" xfId="0" applyFont="1" applyFill="1" applyBorder="1" applyAlignment="1">
      <alignment horizontal="center" vertical="center" wrapText="1"/>
    </xf>
    <xf numFmtId="0" fontId="29" fillId="9" borderId="29" xfId="0" applyFont="1" applyFill="1" applyBorder="1" applyAlignment="1">
      <alignment horizontal="center"/>
    </xf>
    <xf numFmtId="0" fontId="30" fillId="9" borderId="29" xfId="0" applyFont="1" applyFill="1" applyBorder="1" applyAlignment="1">
      <alignment horizontal="center"/>
    </xf>
    <xf numFmtId="164" fontId="8" fillId="0" borderId="29" xfId="1" applyFont="1" applyBorder="1"/>
    <xf numFmtId="0" fontId="7" fillId="0" borderId="29" xfId="0" applyFont="1" applyBorder="1" applyAlignment="1">
      <alignment horizontal="center"/>
    </xf>
    <xf numFmtId="0" fontId="28" fillId="9" borderId="4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8" fillId="11" borderId="4" xfId="0" applyFont="1" applyFill="1" applyBorder="1"/>
    <xf numFmtId="164" fontId="5" fillId="5" borderId="4" xfId="1" applyFont="1" applyFill="1" applyBorder="1"/>
    <xf numFmtId="164" fontId="5" fillId="5" borderId="19" xfId="1" applyFont="1" applyFill="1" applyBorder="1"/>
    <xf numFmtId="164" fontId="5" fillId="5" borderId="4" xfId="0" applyNumberFormat="1" applyFont="1" applyFill="1" applyBorder="1"/>
    <xf numFmtId="0" fontId="16" fillId="5" borderId="4" xfId="0" applyFont="1" applyFill="1" applyBorder="1"/>
    <xf numFmtId="164" fontId="6" fillId="5" borderId="29" xfId="1" applyFont="1" applyFill="1" applyBorder="1"/>
    <xf numFmtId="164" fontId="20" fillId="5" borderId="29" xfId="0" applyNumberFormat="1" applyFont="1" applyFill="1" applyBorder="1" applyAlignment="1">
      <alignment horizontal="center"/>
    </xf>
    <xf numFmtId="0" fontId="5" fillId="5" borderId="29" xfId="0" applyFont="1" applyFill="1" applyBorder="1"/>
    <xf numFmtId="164" fontId="5" fillId="5" borderId="29" xfId="1" applyFont="1" applyFill="1" applyBorder="1" applyAlignment="1">
      <alignment horizontal="center" vertical="center"/>
    </xf>
    <xf numFmtId="164" fontId="5" fillId="5" borderId="29" xfId="1" applyFont="1" applyFill="1" applyBorder="1" applyAlignment="1">
      <alignment vertical="center"/>
    </xf>
    <xf numFmtId="164" fontId="20" fillId="5" borderId="29" xfId="1" applyFont="1" applyFill="1" applyBorder="1"/>
    <xf numFmtId="164" fontId="37" fillId="5" borderId="20" xfId="0" applyNumberFormat="1" applyFont="1" applyFill="1" applyBorder="1"/>
    <xf numFmtId="0" fontId="45" fillId="5" borderId="24" xfId="0" applyFont="1" applyFill="1" applyBorder="1"/>
    <xf numFmtId="164" fontId="6" fillId="13" borderId="2" xfId="1" applyFont="1" applyFill="1" applyBorder="1"/>
    <xf numFmtId="164" fontId="6" fillId="13" borderId="4" xfId="1" applyFont="1" applyFill="1" applyBorder="1"/>
    <xf numFmtId="2" fontId="5" fillId="13" borderId="2" xfId="0" applyNumberFormat="1" applyFont="1" applyFill="1" applyBorder="1" applyAlignment="1">
      <alignment horizontal="right" vertical="center"/>
    </xf>
    <xf numFmtId="0" fontId="5" fillId="13" borderId="4" xfId="0" applyFont="1" applyFill="1" applyBorder="1"/>
    <xf numFmtId="164" fontId="6" fillId="13" borderId="19" xfId="1" applyFont="1" applyFill="1" applyBorder="1"/>
    <xf numFmtId="2" fontId="5" fillId="13" borderId="19" xfId="0" applyNumberFormat="1" applyFont="1" applyFill="1" applyBorder="1" applyAlignment="1">
      <alignment horizontal="right" vertical="center"/>
    </xf>
    <xf numFmtId="164" fontId="5" fillId="13" borderId="4" xfId="1" applyFont="1" applyFill="1" applyBorder="1"/>
    <xf numFmtId="0" fontId="16" fillId="13" borderId="4" xfId="0" applyFont="1" applyFill="1" applyBorder="1"/>
    <xf numFmtId="0" fontId="16" fillId="13" borderId="3" xfId="0" applyFont="1" applyFill="1" applyBorder="1"/>
    <xf numFmtId="164" fontId="5" fillId="13" borderId="19" xfId="1" applyFont="1" applyFill="1" applyBorder="1"/>
    <xf numFmtId="2" fontId="6" fillId="13" borderId="4" xfId="0" applyNumberFormat="1" applyFont="1" applyFill="1" applyBorder="1"/>
    <xf numFmtId="0" fontId="5" fillId="13" borderId="2" xfId="0" applyFont="1" applyFill="1" applyBorder="1" applyAlignment="1">
      <alignment horizontal="right" vertical="center"/>
    </xf>
    <xf numFmtId="164" fontId="5" fillId="5" borderId="29" xfId="1" applyFont="1" applyFill="1" applyBorder="1"/>
    <xf numFmtId="0" fontId="30" fillId="9" borderId="30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vertical="center" wrapText="1"/>
    </xf>
    <xf numFmtId="164" fontId="0" fillId="0" borderId="13" xfId="0" applyNumberFormat="1" applyBorder="1"/>
    <xf numFmtId="0" fontId="0" fillId="0" borderId="29" xfId="0" applyBorder="1" applyAlignment="1">
      <alignment wrapText="1"/>
    </xf>
    <xf numFmtId="0" fontId="1" fillId="0" borderId="29" xfId="0" applyFont="1" applyBorder="1" applyAlignment="1">
      <alignment horizontal="center"/>
    </xf>
    <xf numFmtId="164" fontId="1" fillId="0" borderId="29" xfId="1" applyFont="1" applyBorder="1"/>
    <xf numFmtId="0" fontId="21" fillId="5" borderId="29" xfId="0" applyFont="1" applyFill="1" applyBorder="1" applyAlignment="1">
      <alignment horizontal="center"/>
    </xf>
    <xf numFmtId="0" fontId="6" fillId="5" borderId="29" xfId="0" applyFont="1" applyFill="1" applyBorder="1"/>
    <xf numFmtId="164" fontId="6" fillId="5" borderId="29" xfId="0" applyNumberFormat="1" applyFont="1" applyFill="1" applyBorder="1"/>
    <xf numFmtId="0" fontId="39" fillId="6" borderId="29" xfId="0" applyFont="1" applyFill="1" applyBorder="1" applyAlignment="1">
      <alignment horizontal="center" vertical="center"/>
    </xf>
    <xf numFmtId="0" fontId="35" fillId="0" borderId="29" xfId="0" applyFont="1" applyBorder="1" applyAlignment="1">
      <alignment horizontal="center"/>
    </xf>
    <xf numFmtId="0" fontId="35" fillId="0" borderId="29" xfId="0" applyFont="1" applyBorder="1"/>
    <xf numFmtId="164" fontId="36" fillId="0" borderId="29" xfId="1" applyFont="1" applyBorder="1"/>
    <xf numFmtId="0" fontId="43" fillId="13" borderId="29" xfId="0" applyFont="1" applyFill="1" applyBorder="1"/>
    <xf numFmtId="0" fontId="37" fillId="13" borderId="29" xfId="0" applyFont="1" applyFill="1" applyBorder="1" applyAlignment="1">
      <alignment horizontal="center"/>
    </xf>
    <xf numFmtId="164" fontId="37" fillId="13" borderId="29" xfId="1" applyFont="1" applyFill="1" applyBorder="1"/>
    <xf numFmtId="0" fontId="5" fillId="13" borderId="4" xfId="0" applyFont="1" applyFill="1" applyBorder="1" applyAlignment="1">
      <alignment horizontal="center"/>
    </xf>
    <xf numFmtId="0" fontId="0" fillId="0" borderId="35" xfId="0" applyBorder="1"/>
    <xf numFmtId="164" fontId="20" fillId="5" borderId="35" xfId="1" applyFont="1" applyFill="1" applyBorder="1"/>
    <xf numFmtId="164" fontId="20" fillId="4" borderId="35" xfId="0" applyNumberFormat="1" applyFont="1" applyFill="1" applyBorder="1"/>
    <xf numFmtId="0" fontId="25" fillId="0" borderId="8" xfId="0" applyFont="1" applyBorder="1"/>
    <xf numFmtId="0" fontId="19" fillId="0" borderId="6" xfId="0" applyFont="1" applyBorder="1"/>
    <xf numFmtId="0" fontId="19" fillId="0" borderId="7" xfId="0" applyFont="1" applyBorder="1"/>
    <xf numFmtId="0" fontId="19" fillId="2" borderId="17" xfId="0" applyFont="1" applyFill="1" applyBorder="1" applyAlignment="1">
      <alignment vertical="center"/>
    </xf>
    <xf numFmtId="0" fontId="19" fillId="2" borderId="13" xfId="0" applyFont="1" applyFill="1" applyBorder="1" applyAlignment="1">
      <alignment vertical="center"/>
    </xf>
    <xf numFmtId="49" fontId="25" fillId="0" borderId="8" xfId="0" quotePrefix="1" applyNumberFormat="1" applyFont="1" applyBorder="1" applyAlignment="1">
      <alignment vertical="top"/>
    </xf>
    <xf numFmtId="164" fontId="0" fillId="0" borderId="27" xfId="0" applyNumberFormat="1" applyBorder="1"/>
    <xf numFmtId="0" fontId="7" fillId="5" borderId="30" xfId="0" applyFont="1" applyFill="1" applyBorder="1" applyAlignment="1">
      <alignment vertical="center"/>
    </xf>
    <xf numFmtId="0" fontId="31" fillId="9" borderId="15" xfId="0" applyFont="1" applyFill="1" applyBorder="1" applyAlignment="1">
      <alignment horizontal="center" vertical="center"/>
    </xf>
    <xf numFmtId="0" fontId="31" fillId="9" borderId="22" xfId="0" applyFont="1" applyFill="1" applyBorder="1" applyAlignment="1">
      <alignment horizontal="center" vertical="center" wrapText="1"/>
    </xf>
    <xf numFmtId="0" fontId="25" fillId="0" borderId="6" xfId="0" applyFont="1" applyBorder="1"/>
    <xf numFmtId="2" fontId="25" fillId="0" borderId="8" xfId="0" applyNumberFormat="1" applyFont="1" applyBorder="1" applyAlignment="1">
      <alignment vertical="top"/>
    </xf>
    <xf numFmtId="0" fontId="25" fillId="0" borderId="9" xfId="0" applyFont="1" applyBorder="1" applyAlignment="1">
      <alignment horizontal="left"/>
    </xf>
    <xf numFmtId="164" fontId="5" fillId="0" borderId="2" xfId="1" applyFont="1" applyBorder="1" applyAlignment="1">
      <alignment horizontal="right" vertical="center"/>
    </xf>
    <xf numFmtId="164" fontId="0" fillId="0" borderId="7" xfId="1" applyFont="1" applyBorder="1"/>
    <xf numFmtId="164" fontId="19" fillId="2" borderId="9" xfId="1" applyFont="1" applyFill="1" applyBorder="1" applyAlignment="1">
      <alignment horizontal="center"/>
    </xf>
    <xf numFmtId="164" fontId="46" fillId="0" borderId="7" xfId="1" applyFont="1" applyBorder="1"/>
    <xf numFmtId="0" fontId="47" fillId="0" borderId="13" xfId="0" applyFont="1" applyBorder="1"/>
    <xf numFmtId="164" fontId="47" fillId="0" borderId="7" xfId="1" applyFont="1" applyBorder="1"/>
    <xf numFmtId="0" fontId="48" fillId="0" borderId="8" xfId="0" applyFont="1" applyBorder="1"/>
    <xf numFmtId="0" fontId="47" fillId="0" borderId="10" xfId="0" applyFont="1" applyBorder="1"/>
    <xf numFmtId="0" fontId="21" fillId="0" borderId="0" xfId="0" applyFont="1"/>
    <xf numFmtId="0" fontId="19" fillId="0" borderId="17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164" fontId="19" fillId="0" borderId="14" xfId="1" applyFont="1" applyFill="1" applyBorder="1" applyAlignment="1">
      <alignment horizontal="center"/>
    </xf>
    <xf numFmtId="164" fontId="19" fillId="0" borderId="8" xfId="1" applyFont="1" applyFill="1" applyBorder="1" applyAlignment="1">
      <alignment horizontal="center"/>
    </xf>
    <xf numFmtId="164" fontId="19" fillId="0" borderId="9" xfId="1" applyFont="1" applyFill="1" applyBorder="1" applyAlignment="1">
      <alignment horizontal="center"/>
    </xf>
    <xf numFmtId="164" fontId="48" fillId="0" borderId="9" xfId="1" applyFont="1" applyFill="1" applyBorder="1" applyAlignment="1">
      <alignment horizontal="center"/>
    </xf>
    <xf numFmtId="0" fontId="24" fillId="0" borderId="7" xfId="0" applyFont="1" applyBorder="1" applyAlignment="1">
      <alignment horizontal="right" vertical="center"/>
    </xf>
    <xf numFmtId="0" fontId="24" fillId="0" borderId="12" xfId="0" applyFont="1" applyBorder="1" applyAlignment="1">
      <alignment horizontal="right" vertical="center"/>
    </xf>
    <xf numFmtId="2" fontId="19" fillId="0" borderId="6" xfId="0" applyNumberFormat="1" applyFont="1" applyBorder="1" applyAlignment="1">
      <alignment vertical="center" wrapText="1"/>
    </xf>
    <xf numFmtId="0" fontId="0" fillId="0" borderId="35" xfId="0" applyBorder="1" applyAlignment="1">
      <alignment horizontal="center" vertical="center"/>
    </xf>
    <xf numFmtId="0" fontId="21" fillId="0" borderId="35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/>
    </xf>
    <xf numFmtId="0" fontId="0" fillId="2" borderId="29" xfId="0" applyFill="1" applyBorder="1" applyAlignment="1">
      <alignment horizontal="center"/>
    </xf>
    <xf numFmtId="164" fontId="19" fillId="2" borderId="6" xfId="1" applyFont="1" applyFill="1" applyBorder="1" applyAlignment="1">
      <alignment vertical="center"/>
    </xf>
    <xf numFmtId="164" fontId="19" fillId="2" borderId="7" xfId="1" applyFont="1" applyFill="1" applyBorder="1" applyAlignment="1">
      <alignment vertical="center"/>
    </xf>
    <xf numFmtId="164" fontId="19" fillId="2" borderId="13" xfId="1" applyFont="1" applyFill="1" applyBorder="1" applyAlignment="1">
      <alignment vertical="center"/>
    </xf>
    <xf numFmtId="2" fontId="19" fillId="2" borderId="13" xfId="0" applyNumberFormat="1" applyFont="1" applyFill="1" applyBorder="1" applyAlignment="1">
      <alignment vertical="center"/>
    </xf>
    <xf numFmtId="2" fontId="19" fillId="2" borderId="6" xfId="1" applyNumberFormat="1" applyFont="1" applyFill="1" applyBorder="1" applyAlignment="1">
      <alignment vertical="center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19" fillId="0" borderId="29" xfId="0" applyFon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29" xfId="0" applyNumberFormat="1" applyBorder="1" applyAlignment="1">
      <alignment vertical="center"/>
    </xf>
    <xf numFmtId="0" fontId="8" fillId="15" borderId="29" xfId="0" applyFont="1" applyFill="1" applyBorder="1" applyAlignment="1">
      <alignment vertical="center"/>
    </xf>
    <xf numFmtId="0" fontId="20" fillId="16" borderId="29" xfId="0" applyFont="1" applyFill="1" applyBorder="1" applyAlignment="1">
      <alignment vertical="center" wrapText="1"/>
    </xf>
    <xf numFmtId="0" fontId="1" fillId="0" borderId="29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1" fillId="0" borderId="29" xfId="0" applyFont="1" applyBorder="1" applyAlignment="1">
      <alignment vertical="center" wrapText="1"/>
    </xf>
    <xf numFmtId="0" fontId="20" fillId="16" borderId="35" xfId="0" applyFont="1" applyFill="1" applyBorder="1" applyAlignment="1">
      <alignment vertical="center" wrapText="1"/>
    </xf>
    <xf numFmtId="0" fontId="8" fillId="15" borderId="35" xfId="0" applyFont="1" applyFill="1" applyBorder="1" applyAlignment="1">
      <alignment vertical="center"/>
    </xf>
    <xf numFmtId="2" fontId="19" fillId="2" borderId="18" xfId="0" applyNumberFormat="1" applyFont="1" applyFill="1" applyBorder="1" applyAlignment="1">
      <alignment vertical="center"/>
    </xf>
    <xf numFmtId="0" fontId="16" fillId="5" borderId="29" xfId="0" applyFont="1" applyFill="1" applyBorder="1"/>
    <xf numFmtId="0" fontId="17" fillId="11" borderId="29" xfId="0" applyFont="1" applyFill="1" applyBorder="1"/>
    <xf numFmtId="0" fontId="44" fillId="9" borderId="29" xfId="0" applyFont="1" applyFill="1" applyBorder="1" applyAlignment="1">
      <alignment horizontal="center" vertical="center"/>
    </xf>
    <xf numFmtId="0" fontId="0" fillId="0" borderId="27" xfId="0" applyBorder="1"/>
    <xf numFmtId="0" fontId="16" fillId="5" borderId="27" xfId="0" applyFont="1" applyFill="1" applyBorder="1"/>
    <xf numFmtId="0" fontId="0" fillId="0" borderId="29" xfId="0" applyBorder="1" applyAlignment="1">
      <alignment horizontal="right"/>
    </xf>
    <xf numFmtId="0" fontId="29" fillId="9" borderId="29" xfId="0" applyFont="1" applyFill="1" applyBorder="1" applyAlignment="1">
      <alignment horizontal="center" vertical="center" wrapText="1"/>
    </xf>
    <xf numFmtId="164" fontId="0" fillId="0" borderId="29" xfId="1" applyFont="1" applyFill="1" applyBorder="1"/>
    <xf numFmtId="0" fontId="33" fillId="4" borderId="29" xfId="0" applyFont="1" applyFill="1" applyBorder="1" applyAlignment="1">
      <alignment horizontal="center"/>
    </xf>
    <xf numFmtId="0" fontId="38" fillId="9" borderId="29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0" fontId="23" fillId="14" borderId="2" xfId="0" applyFont="1" applyFill="1" applyBorder="1" applyAlignment="1">
      <alignment horizontal="center"/>
    </xf>
    <xf numFmtId="0" fontId="23" fillId="14" borderId="3" xfId="0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10" borderId="29" xfId="0" applyFont="1" applyFill="1" applyBorder="1" applyAlignment="1">
      <alignment horizontal="center"/>
    </xf>
    <xf numFmtId="0" fontId="7" fillId="10" borderId="30" xfId="0" applyFont="1" applyFill="1" applyBorder="1" applyAlignment="1">
      <alignment horizontal="center"/>
    </xf>
    <xf numFmtId="0" fontId="7" fillId="10" borderId="38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7" fillId="10" borderId="18" xfId="0" applyFont="1" applyFill="1" applyBorder="1" applyAlignment="1">
      <alignment horizontal="center"/>
    </xf>
    <xf numFmtId="0" fontId="8" fillId="5" borderId="42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/>
    </xf>
    <xf numFmtId="0" fontId="2" fillId="11" borderId="39" xfId="0" applyFont="1" applyFill="1" applyBorder="1" applyAlignment="1">
      <alignment horizontal="center"/>
    </xf>
    <xf numFmtId="0" fontId="2" fillId="11" borderId="40" xfId="0" applyFont="1" applyFill="1" applyBorder="1" applyAlignment="1">
      <alignment horizontal="center"/>
    </xf>
    <xf numFmtId="0" fontId="2" fillId="11" borderId="41" xfId="0" applyFont="1" applyFill="1" applyBorder="1" applyAlignment="1">
      <alignment horizontal="center"/>
    </xf>
    <xf numFmtId="0" fontId="8" fillId="5" borderId="2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11" borderId="29" xfId="0" applyFont="1" applyFill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8" fillId="15" borderId="29" xfId="0" applyFont="1" applyFill="1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0" fontId="20" fillId="16" borderId="29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/>
    </xf>
    <xf numFmtId="0" fontId="16" fillId="3" borderId="26" xfId="0" applyFont="1" applyFill="1" applyBorder="1" applyAlignment="1">
      <alignment horizontal="center"/>
    </xf>
    <xf numFmtId="0" fontId="16" fillId="3" borderId="34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horizontal="center"/>
    </xf>
    <xf numFmtId="0" fontId="2" fillId="11" borderId="22" xfId="0" applyFont="1" applyFill="1" applyBorder="1" applyAlignment="1">
      <alignment horizontal="center"/>
    </xf>
    <xf numFmtId="0" fontId="2" fillId="11" borderId="23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5">
    <cellStyle name="60% - Accent5" xfId="3" builtinId="48"/>
    <cellStyle name="Bad" xfId="2" builtinId="27"/>
    <cellStyle name="Comma" xfId="1" builtinId="3"/>
    <cellStyle name="Comma 2" xfId="4" xr:uid="{A798FBD4-76AD-4DBF-B4A0-5D17095AFD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New%20folder\Ref\2021-09-21_Production%20Data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Purchase"/>
      <sheetName val="Consumption"/>
      <sheetName val="Balance"/>
      <sheetName val="Scrap"/>
      <sheetName val="Customer Name"/>
      <sheetName val="Raw material"/>
      <sheetName val="Product"/>
      <sheetName val="Supplier"/>
      <sheetName val="Ma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Final List</v>
          </cell>
        </row>
        <row r="2">
          <cell r="D2" t="str">
            <v>120gsm 26G</v>
          </cell>
        </row>
        <row r="3">
          <cell r="D3" t="str">
            <v>120gsm 24G</v>
          </cell>
        </row>
        <row r="4">
          <cell r="D4" t="str">
            <v>120gsm 22G</v>
          </cell>
        </row>
        <row r="5">
          <cell r="D5" t="str">
            <v>120gsm 20G</v>
          </cell>
        </row>
        <row r="6">
          <cell r="D6" t="str">
            <v>120gsm 18G</v>
          </cell>
        </row>
        <row r="7">
          <cell r="D7" t="str">
            <v>120gsm 16G</v>
          </cell>
        </row>
        <row r="8">
          <cell r="D8" t="str">
            <v>180gsm 26G</v>
          </cell>
        </row>
        <row r="9">
          <cell r="D9" t="str">
            <v>180gsm 24G</v>
          </cell>
        </row>
        <row r="10">
          <cell r="D10" t="str">
            <v>180gsm 22G</v>
          </cell>
        </row>
        <row r="11">
          <cell r="D11" t="str">
            <v>180gsm 20G</v>
          </cell>
        </row>
        <row r="12">
          <cell r="D12" t="str">
            <v>180gsm 18G</v>
          </cell>
        </row>
        <row r="13">
          <cell r="D13" t="str">
            <v>180gsm 16G</v>
          </cell>
        </row>
        <row r="14">
          <cell r="D14" t="str">
            <v>275gsm 26G</v>
          </cell>
        </row>
        <row r="15">
          <cell r="D15" t="str">
            <v>275gsm 24G</v>
          </cell>
        </row>
        <row r="16">
          <cell r="D16" t="str">
            <v>275gsm 22G</v>
          </cell>
        </row>
        <row r="17">
          <cell r="D17" t="str">
            <v>275gsm 20G</v>
          </cell>
        </row>
        <row r="18">
          <cell r="D18" t="str">
            <v>275gsm 18G</v>
          </cell>
        </row>
        <row r="19">
          <cell r="D19" t="str">
            <v>275gsm 16G</v>
          </cell>
        </row>
        <row r="20">
          <cell r="D20" t="str">
            <v>120gsm Slit 26G</v>
          </cell>
        </row>
        <row r="21">
          <cell r="D21" t="str">
            <v>120gsm Slit 24G</v>
          </cell>
        </row>
        <row r="22">
          <cell r="D22" t="str">
            <v>120gsm Slit 22G</v>
          </cell>
        </row>
        <row r="23">
          <cell r="D23" t="str">
            <v>120gsm Slit 20G</v>
          </cell>
        </row>
        <row r="24">
          <cell r="D24" t="str">
            <v>120gsm Slit 18G</v>
          </cell>
        </row>
        <row r="25">
          <cell r="D25" t="str">
            <v>H Bracket</v>
          </cell>
        </row>
        <row r="26">
          <cell r="D26" t="str">
            <v>Neoprene Gasket</v>
          </cell>
        </row>
        <row r="27">
          <cell r="D27" t="str">
            <v>XLPE Gasket</v>
          </cell>
        </row>
        <row r="28">
          <cell r="D28" t="str">
            <v>Cleats</v>
          </cell>
        </row>
        <row r="29">
          <cell r="D29" t="str">
            <v>Corner 32mm</v>
          </cell>
        </row>
        <row r="30">
          <cell r="D30" t="str">
            <v>Sealant Tube</v>
          </cell>
        </row>
        <row r="31">
          <cell r="D31" t="str">
            <v>Silicon Tube</v>
          </cell>
        </row>
        <row r="32">
          <cell r="D32" t="str">
            <v>Alu. 0.8mm</v>
          </cell>
        </row>
        <row r="33">
          <cell r="D33" t="str">
            <v>Alu. 1mm</v>
          </cell>
        </row>
        <row r="34">
          <cell r="D34" t="str">
            <v>Alu. 1.2mm</v>
          </cell>
        </row>
        <row r="35">
          <cell r="D35" t="str">
            <v>SS 22G</v>
          </cell>
        </row>
        <row r="36">
          <cell r="D36" t="str">
            <v>SS 20G</v>
          </cell>
        </row>
        <row r="37">
          <cell r="D37" t="str">
            <v>SS 18G</v>
          </cell>
        </row>
        <row r="38">
          <cell r="D38" t="str">
            <v>SS 16G</v>
          </cell>
        </row>
        <row r="39">
          <cell r="D39" t="str">
            <v>Insu Kflex Thermal 6mm</v>
          </cell>
        </row>
        <row r="40">
          <cell r="D40" t="str">
            <v>Insu Kflex Thermal 9mm</v>
          </cell>
        </row>
        <row r="41">
          <cell r="D41" t="str">
            <v>Insu Kflex Thermal 13mm</v>
          </cell>
        </row>
        <row r="42">
          <cell r="D42" t="str">
            <v>Insu Kflex Thermal 16mm</v>
          </cell>
        </row>
        <row r="43">
          <cell r="D43" t="str">
            <v>Insu Kflex Thermal 19mm</v>
          </cell>
        </row>
        <row r="44">
          <cell r="D44" t="str">
            <v>Insu Kflex Thermal 25mm</v>
          </cell>
        </row>
        <row r="45">
          <cell r="D45" t="str">
            <v>Insu Kflex Thermal 32mm</v>
          </cell>
        </row>
        <row r="46">
          <cell r="D46" t="str">
            <v>Insu Kflex Thermal 6mm Al. Foil</v>
          </cell>
        </row>
        <row r="47">
          <cell r="D47" t="str">
            <v>Insu Kflex Thermal 9mm Al. Foil</v>
          </cell>
        </row>
        <row r="48">
          <cell r="D48" t="str">
            <v>Insu Kflex Thermal 13mm Al. Foil</v>
          </cell>
        </row>
        <row r="49">
          <cell r="D49" t="str">
            <v>Insu Kflex Thermal 16mm Al. Foil</v>
          </cell>
        </row>
        <row r="50">
          <cell r="D50" t="str">
            <v>Insu Kflex Thermal 19mm Al. Foil</v>
          </cell>
        </row>
        <row r="51">
          <cell r="D51" t="str">
            <v>Insu Kflex Thermal 25mm Al. Foil</v>
          </cell>
        </row>
        <row r="52">
          <cell r="D52" t="str">
            <v>Insu Kflex Thermal 32mm Al. Foil</v>
          </cell>
        </row>
        <row r="53">
          <cell r="D53" t="str">
            <v>Insu Kflex Thermal 6mm (Clad Grey)</v>
          </cell>
        </row>
        <row r="54">
          <cell r="D54" t="str">
            <v>Insu Kflex Thermal 9mm (Clad Grey)</v>
          </cell>
        </row>
        <row r="55">
          <cell r="D55" t="str">
            <v>Insu Kflex Thermal 13mm (Clad Grey)</v>
          </cell>
        </row>
        <row r="56">
          <cell r="D56" t="str">
            <v>Insu Kflex Thermal 16mm (Clad Grey)</v>
          </cell>
        </row>
        <row r="57">
          <cell r="D57" t="str">
            <v>Insu Kflex Thermal 19mm (Clad Grey)</v>
          </cell>
        </row>
        <row r="58">
          <cell r="D58" t="str">
            <v>Insu Kflex Thermal 25mm (Clad Grey)</v>
          </cell>
        </row>
        <row r="59">
          <cell r="D59" t="str">
            <v>Insu Kflex Thermal 32mm (Clad Grey)</v>
          </cell>
        </row>
        <row r="60">
          <cell r="D60" t="str">
            <v>Insu Kflex Thermal 6mm (IC-Clad Black)</v>
          </cell>
        </row>
        <row r="61">
          <cell r="D61" t="str">
            <v>Insu Kflex Thermal 9mm (IC-Clad Black)</v>
          </cell>
        </row>
        <row r="62">
          <cell r="D62" t="str">
            <v>Insu Kflex Thermal 13mm (IC-Clad Black)</v>
          </cell>
        </row>
        <row r="63">
          <cell r="D63" t="str">
            <v>Insu Kflex Thermal 16mm (IC-Clad Black)</v>
          </cell>
        </row>
        <row r="64">
          <cell r="D64" t="str">
            <v>Insu Kflex Thermal 19mm (IC-Clad Black)</v>
          </cell>
        </row>
        <row r="65">
          <cell r="D65" t="str">
            <v>Insu Kflex Thermal 25mm (IC-Clad Black)</v>
          </cell>
        </row>
        <row r="66">
          <cell r="D66" t="str">
            <v>Insu Kflex Thermal 32mm (IC-Clad Black)</v>
          </cell>
        </row>
        <row r="67">
          <cell r="D67" t="str">
            <v>Insu Kflex 6mm Acou.</v>
          </cell>
        </row>
        <row r="68">
          <cell r="D68" t="str">
            <v>Insu Kflex 10mm Acou.</v>
          </cell>
        </row>
        <row r="69">
          <cell r="D69" t="str">
            <v>Insu Kflex 15mm Acou.</v>
          </cell>
        </row>
        <row r="70">
          <cell r="D70" t="str">
            <v>Insu Kflex Thermal 25mm Acou.</v>
          </cell>
        </row>
        <row r="71">
          <cell r="D71" t="str">
            <v>Insu Superlon Thermal 6mm</v>
          </cell>
        </row>
        <row r="72">
          <cell r="D72" t="str">
            <v>Insu Superlon Thermal 9mm</v>
          </cell>
        </row>
        <row r="73">
          <cell r="D73" t="str">
            <v>Insu Superlon Thermal 13mm</v>
          </cell>
        </row>
        <row r="74">
          <cell r="D74" t="str">
            <v>Insu Superlon Thermal 16mm</v>
          </cell>
        </row>
        <row r="75">
          <cell r="D75" t="str">
            <v>Insu Superlon Thermal 19mm</v>
          </cell>
        </row>
        <row r="76">
          <cell r="D76" t="str">
            <v>Insu Superlon Thermal 25mm</v>
          </cell>
        </row>
        <row r="77">
          <cell r="D77" t="str">
            <v>Insu Superlon Thermal 32mm</v>
          </cell>
        </row>
        <row r="78">
          <cell r="D78" t="str">
            <v>Insu Superlon Thermal 6mm Al. Foil</v>
          </cell>
        </row>
        <row r="79">
          <cell r="D79" t="str">
            <v>Insu Superlon Thermal 9mm Al. Foil</v>
          </cell>
        </row>
        <row r="80">
          <cell r="D80" t="str">
            <v>Insu Superlon Thermal 13mm Al. Foil</v>
          </cell>
        </row>
        <row r="81">
          <cell r="D81" t="str">
            <v>Insu Superlon Thermal 16mm Al. Foil</v>
          </cell>
        </row>
        <row r="82">
          <cell r="D82" t="str">
            <v>Insu Superlon Thermal 19mm Al. Foil</v>
          </cell>
        </row>
        <row r="83">
          <cell r="D83" t="str">
            <v>Insu Superlon Thermal 25mm Al. Foil</v>
          </cell>
        </row>
        <row r="84">
          <cell r="D84" t="str">
            <v>Insu Superlon Thermal 32mm Al. Foil</v>
          </cell>
        </row>
        <row r="85">
          <cell r="D85" t="str">
            <v>Insu Supreme Thermal 9mm</v>
          </cell>
        </row>
        <row r="86">
          <cell r="D86" t="str">
            <v>Insu Supreme Thermal 13mm</v>
          </cell>
        </row>
        <row r="87">
          <cell r="D87" t="str">
            <v>Insu Supreme Thermal 16mm</v>
          </cell>
        </row>
        <row r="88">
          <cell r="D88" t="str">
            <v>Insu Supreme Thermal 19mm</v>
          </cell>
        </row>
        <row r="89">
          <cell r="D89" t="str">
            <v>Insu Supreme Thermal 25mm</v>
          </cell>
        </row>
        <row r="90">
          <cell r="D90" t="str">
            <v>Insu Supreme Thermal 13mm Al. Foil</v>
          </cell>
        </row>
        <row r="91">
          <cell r="D91" t="str">
            <v>Insu Supreme Thermal 19mm Al. Foil</v>
          </cell>
        </row>
        <row r="92">
          <cell r="D92" t="str">
            <v>Insu Supreme Thermal 25mm Al. Foil</v>
          </cell>
        </row>
        <row r="93">
          <cell r="D93" t="str">
            <v>Insu Supreme 15mm Acou.</v>
          </cell>
        </row>
        <row r="94">
          <cell r="D94" t="str">
            <v>Insu TB Thermal 9mm Al. Foil</v>
          </cell>
        </row>
        <row r="95">
          <cell r="D95" t="str">
            <v>Insu TB Acou 10mm Al. Foil</v>
          </cell>
        </row>
        <row r="96">
          <cell r="D96" t="str">
            <v>Insu TB Thermal 13mm Al. Foil</v>
          </cell>
        </row>
        <row r="97">
          <cell r="D97" t="str">
            <v>Insu TB Acou 15mm Al. Foil</v>
          </cell>
        </row>
        <row r="98">
          <cell r="D98" t="str">
            <v>Insu TB Thermal 19mm Al. Foil</v>
          </cell>
        </row>
        <row r="99">
          <cell r="D99" t="str">
            <v>Insu TB Thermal 25mm Al. Foil</v>
          </cell>
        </row>
        <row r="100">
          <cell r="D100" t="str">
            <v>Insu TB Thermal 30mm Al. Foil</v>
          </cell>
        </row>
        <row r="101">
          <cell r="D101" t="str">
            <v>Insu Airofoam Thermal 13mm Al. Foil</v>
          </cell>
        </row>
        <row r="102">
          <cell r="D102" t="str">
            <v>Insu Airofoam Thermal 16mm Al. Foil</v>
          </cell>
        </row>
        <row r="103">
          <cell r="D103" t="str">
            <v>Insu Airofoam Thermal 19mm Al. Foil</v>
          </cell>
        </row>
        <row r="104">
          <cell r="D104" t="str">
            <v>Insu Armaflex Thermal 6mm</v>
          </cell>
        </row>
        <row r="105">
          <cell r="D105" t="str">
            <v>Insu Armaflex Thermal 9mm</v>
          </cell>
        </row>
        <row r="106">
          <cell r="D106" t="str">
            <v>Insu Armaflex Thermal 13mm</v>
          </cell>
        </row>
        <row r="107">
          <cell r="D107" t="str">
            <v>Insu Armaflex Thermal 6mm Al. Foil</v>
          </cell>
        </row>
        <row r="108">
          <cell r="D108" t="str">
            <v>Insu Armaflex Thermal 9mm Al. Foil</v>
          </cell>
        </row>
        <row r="109">
          <cell r="D109" t="str">
            <v>Insu Armaflex Thermal 19mm Al. Foil</v>
          </cell>
        </row>
        <row r="110">
          <cell r="D110" t="str">
            <v>Insu Armasound Acou. 10mm</v>
          </cell>
        </row>
        <row r="111">
          <cell r="D111" t="str">
            <v>Insu Armasound Acou. 15mm</v>
          </cell>
        </row>
        <row r="112">
          <cell r="D112" t="str">
            <v>Insu Armasound Acou. 25mm</v>
          </cell>
        </row>
        <row r="113">
          <cell r="D113" t="str">
            <v>Insu Aerocell Thermal 9mm</v>
          </cell>
        </row>
        <row r="114">
          <cell r="D114" t="str">
            <v>Insu Aerocell Thermal 13mm</v>
          </cell>
        </row>
        <row r="115">
          <cell r="D115" t="str">
            <v>Insu Aerocell Thermal 19mm</v>
          </cell>
        </row>
        <row r="116">
          <cell r="D116" t="str">
            <v>Insu Aerocell Thermal 13mm (GC-CLOTH)</v>
          </cell>
        </row>
        <row r="117">
          <cell r="D117" t="str">
            <v>Insu Aerocell Acou. 10mm</v>
          </cell>
        </row>
        <row r="118">
          <cell r="D118" t="str">
            <v>Insu Aerocell Acou. 15mm</v>
          </cell>
        </row>
        <row r="119">
          <cell r="D119" t="str">
            <v>MS Angle 25x25x5mm</v>
          </cell>
        </row>
        <row r="120">
          <cell r="D120" t="str">
            <v>MS Angle 30x30x3mm</v>
          </cell>
        </row>
        <row r="121">
          <cell r="D121" t="str">
            <v>MS Angle 32x32x3mm</v>
          </cell>
        </row>
        <row r="122">
          <cell r="D122" t="str">
            <v>MS Angle 35x35x5mm</v>
          </cell>
        </row>
        <row r="123">
          <cell r="D123" t="str">
            <v>MS Angle 40x40x5mm</v>
          </cell>
        </row>
        <row r="124">
          <cell r="D124" t="str">
            <v>MS Angle 25x25x3mm</v>
          </cell>
        </row>
        <row r="125">
          <cell r="D125" t="str">
            <v>MS Angle 37x37x3mm</v>
          </cell>
        </row>
        <row r="126">
          <cell r="D126" t="str">
            <v>Corner 25mm</v>
          </cell>
        </row>
        <row r="127">
          <cell r="D127" t="str">
            <v>Insu Armaflex Thermal 13mm Al. Foil</v>
          </cell>
        </row>
        <row r="128">
          <cell r="D128" t="str">
            <v>Insu Superlon Acou. 16mm</v>
          </cell>
        </row>
        <row r="129">
          <cell r="D129" t="str">
            <v>Insu Superlon Acou. 19mm</v>
          </cell>
        </row>
        <row r="130">
          <cell r="D130" t="str">
            <v>Sealant Bucket</v>
          </cell>
        </row>
        <row r="131">
          <cell r="D131" t="str">
            <v>Tape THBR 50mm x 50Mtr Alumn</v>
          </cell>
        </row>
        <row r="132">
          <cell r="D132" t="str">
            <v>Stretch Film</v>
          </cell>
        </row>
        <row r="133">
          <cell r="D133" t="str">
            <v>Bubble Wrap</v>
          </cell>
        </row>
        <row r="134">
          <cell r="D134" t="str">
            <v>Gasket XLPE 10mm</v>
          </cell>
        </row>
        <row r="135">
          <cell r="D135" t="str">
            <v>Insu Aerocell Thermal 32mm (GC-CLOTH)</v>
          </cell>
        </row>
        <row r="136">
          <cell r="D136" t="str">
            <v>12 mm JTR</v>
          </cell>
        </row>
        <row r="137">
          <cell r="D137" t="str">
            <v>10 mm JTR</v>
          </cell>
        </row>
        <row r="138">
          <cell r="D138" t="str">
            <v>8 mm JTR</v>
          </cell>
        </row>
        <row r="139">
          <cell r="D139" t="str">
            <v>Insu Paramount Thermal 13mm Al. Foil</v>
          </cell>
        </row>
        <row r="140">
          <cell r="D140" t="str">
            <v>Insu Paramount Acou 10mm Al. Foil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6">
          <cell r="D146">
            <v>0</v>
          </cell>
        </row>
        <row r="147">
          <cell r="D147">
            <v>0</v>
          </cell>
        </row>
        <row r="148">
          <cell r="D148">
            <v>0</v>
          </cell>
        </row>
        <row r="149">
          <cell r="D149">
            <v>0</v>
          </cell>
        </row>
        <row r="150">
          <cell r="D150">
            <v>0</v>
          </cell>
        </row>
        <row r="151">
          <cell r="D151">
            <v>0</v>
          </cell>
        </row>
        <row r="152">
          <cell r="D152">
            <v>0</v>
          </cell>
        </row>
        <row r="153">
          <cell r="D153">
            <v>0</v>
          </cell>
        </row>
        <row r="154">
          <cell r="D154">
            <v>0</v>
          </cell>
        </row>
        <row r="155">
          <cell r="D155">
            <v>0</v>
          </cell>
        </row>
        <row r="156">
          <cell r="D156">
            <v>0</v>
          </cell>
        </row>
        <row r="157">
          <cell r="D157">
            <v>0</v>
          </cell>
        </row>
        <row r="158">
          <cell r="D158">
            <v>0</v>
          </cell>
        </row>
        <row r="159">
          <cell r="D159">
            <v>0</v>
          </cell>
        </row>
        <row r="160">
          <cell r="D160">
            <v>0</v>
          </cell>
        </row>
        <row r="161">
          <cell r="D161">
            <v>0</v>
          </cell>
        </row>
        <row r="162">
          <cell r="D162">
            <v>0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0</v>
          </cell>
        </row>
        <row r="166">
          <cell r="D166">
            <v>0</v>
          </cell>
        </row>
        <row r="167">
          <cell r="D167">
            <v>0</v>
          </cell>
        </row>
        <row r="168">
          <cell r="D168">
            <v>0</v>
          </cell>
        </row>
        <row r="169">
          <cell r="D169">
            <v>0</v>
          </cell>
        </row>
        <row r="170">
          <cell r="D170">
            <v>0</v>
          </cell>
        </row>
        <row r="171">
          <cell r="D171">
            <v>0</v>
          </cell>
        </row>
        <row r="172">
          <cell r="D172">
            <v>0</v>
          </cell>
        </row>
        <row r="173">
          <cell r="D173">
            <v>0</v>
          </cell>
        </row>
        <row r="174">
          <cell r="D174">
            <v>0</v>
          </cell>
        </row>
        <row r="175">
          <cell r="D175">
            <v>0</v>
          </cell>
        </row>
        <row r="176">
          <cell r="D176">
            <v>0</v>
          </cell>
        </row>
        <row r="177">
          <cell r="D177">
            <v>0</v>
          </cell>
        </row>
        <row r="178">
          <cell r="D178">
            <v>0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0</v>
          </cell>
        </row>
        <row r="184">
          <cell r="D184">
            <v>0</v>
          </cell>
        </row>
        <row r="185">
          <cell r="D185">
            <v>0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0</v>
          </cell>
        </row>
        <row r="189">
          <cell r="D189">
            <v>0</v>
          </cell>
        </row>
        <row r="190">
          <cell r="D19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3">
          <cell r="D193">
            <v>0</v>
          </cell>
        </row>
        <row r="194">
          <cell r="D194">
            <v>0</v>
          </cell>
        </row>
        <row r="195">
          <cell r="D195">
            <v>0</v>
          </cell>
        </row>
        <row r="196">
          <cell r="D196">
            <v>0</v>
          </cell>
        </row>
      </sheetData>
      <sheetData sheetId="7">
        <row r="1">
          <cell r="D1" t="str">
            <v>Final List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VAT@14.5%25" TargetMode="External"/><Relationship Id="rId3" Type="http://schemas.openxmlformats.org/officeDocument/2006/relationships/hyperlink" Target="mailto:VAT@14.5%25" TargetMode="External"/><Relationship Id="rId7" Type="http://schemas.openxmlformats.org/officeDocument/2006/relationships/hyperlink" Target="mailto:VAT@14.5%25" TargetMode="External"/><Relationship Id="rId2" Type="http://schemas.openxmlformats.org/officeDocument/2006/relationships/hyperlink" Target="mailto:VAT@14.5%25" TargetMode="External"/><Relationship Id="rId1" Type="http://schemas.openxmlformats.org/officeDocument/2006/relationships/hyperlink" Target="mailto:VAT@14.5%25" TargetMode="External"/><Relationship Id="rId6" Type="http://schemas.openxmlformats.org/officeDocument/2006/relationships/hyperlink" Target="mailto:VAT@14.5%25" TargetMode="External"/><Relationship Id="rId5" Type="http://schemas.openxmlformats.org/officeDocument/2006/relationships/hyperlink" Target="mailto:VAT@14.5%25" TargetMode="External"/><Relationship Id="rId4" Type="http://schemas.openxmlformats.org/officeDocument/2006/relationships/hyperlink" Target="mailto:VAT@14.5%25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VAT@14.5%25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VAT@14.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2"/>
  <sheetViews>
    <sheetView showGridLines="0" tabSelected="1" workbookViewId="0">
      <selection activeCell="D12" sqref="D12"/>
    </sheetView>
  </sheetViews>
  <sheetFormatPr defaultRowHeight="15" x14ac:dyDescent="0.25"/>
  <cols>
    <col min="2" max="2" width="8.42578125" customWidth="1"/>
    <col min="3" max="3" width="38" customWidth="1"/>
    <col min="4" max="4" width="26" customWidth="1"/>
    <col min="7" max="7" width="13.28515625" bestFit="1" customWidth="1"/>
    <col min="8" max="8" width="12.5703125" bestFit="1" customWidth="1"/>
  </cols>
  <sheetData>
    <row r="2" spans="2:14" ht="28.5" customHeight="1" x14ac:dyDescent="0.3">
      <c r="B2" s="327" t="s">
        <v>22</v>
      </c>
      <c r="C2" s="327"/>
      <c r="D2" s="327"/>
    </row>
    <row r="3" spans="2:14" ht="20.25" x14ac:dyDescent="0.3">
      <c r="B3" s="326" t="s">
        <v>516</v>
      </c>
      <c r="C3" s="326"/>
      <c r="D3" s="326"/>
    </row>
    <row r="4" spans="2:14" s="20" customFormat="1" ht="23.25" customHeight="1" x14ac:dyDescent="0.25">
      <c r="B4" s="253" t="s">
        <v>27</v>
      </c>
      <c r="C4" s="253" t="s">
        <v>23</v>
      </c>
      <c r="D4" s="253" t="s">
        <v>124</v>
      </c>
    </row>
    <row r="5" spans="2:14" ht="18" x14ac:dyDescent="0.25">
      <c r="B5" s="254">
        <v>1</v>
      </c>
      <c r="C5" s="255" t="s">
        <v>56</v>
      </c>
      <c r="D5" s="256">
        <f>'Coil &amp; Raw Materials'!C12</f>
        <v>18240247.77</v>
      </c>
    </row>
    <row r="6" spans="2:14" ht="18" x14ac:dyDescent="0.25">
      <c r="B6" s="254">
        <v>2</v>
      </c>
      <c r="C6" s="255" t="s">
        <v>35</v>
      </c>
      <c r="D6" s="256">
        <f>Insulation!C12</f>
        <v>8683027.5</v>
      </c>
    </row>
    <row r="7" spans="2:14" ht="18" x14ac:dyDescent="0.25">
      <c r="B7" s="254">
        <v>3</v>
      </c>
      <c r="C7" s="255" t="s">
        <v>57</v>
      </c>
      <c r="D7" s="256">
        <f>'Finished Goods'!C6</f>
        <v>2719088</v>
      </c>
      <c r="G7" s="18"/>
      <c r="H7" s="104"/>
    </row>
    <row r="8" spans="2:14" ht="17.25" customHeight="1" x14ac:dyDescent="0.25">
      <c r="B8" s="254">
        <v>4</v>
      </c>
      <c r="C8" s="255" t="s">
        <v>33</v>
      </c>
      <c r="D8" s="256">
        <f>'Consumables '!G118</f>
        <v>425550</v>
      </c>
      <c r="G8" s="18"/>
      <c r="H8" s="104"/>
    </row>
    <row r="9" spans="2:14" ht="18" x14ac:dyDescent="0.25">
      <c r="B9" s="254">
        <v>5</v>
      </c>
      <c r="C9" s="255" t="s">
        <v>96</v>
      </c>
      <c r="D9" s="256">
        <f>'Tools &amp; Electrical'!C5</f>
        <v>145148</v>
      </c>
      <c r="G9" s="18"/>
      <c r="H9" s="104"/>
    </row>
    <row r="10" spans="2:14" ht="18" x14ac:dyDescent="0.25">
      <c r="B10" s="254">
        <v>6</v>
      </c>
      <c r="C10" s="255" t="s">
        <v>101</v>
      </c>
      <c r="D10" s="256">
        <f>'PIR and PVC Materials'!G12</f>
        <v>275358</v>
      </c>
      <c r="G10" s="18"/>
      <c r="H10" s="104"/>
    </row>
    <row r="11" spans="2:14" ht="18" x14ac:dyDescent="0.25">
      <c r="B11" s="254">
        <v>7</v>
      </c>
      <c r="C11" s="255" t="s">
        <v>102</v>
      </c>
      <c r="D11" s="256">
        <f>Others!C4</f>
        <v>0</v>
      </c>
      <c r="G11" s="18"/>
      <c r="H11" s="104"/>
      <c r="N11" s="42"/>
    </row>
    <row r="12" spans="2:14" s="20" customFormat="1" ht="18" x14ac:dyDescent="0.25">
      <c r="B12" s="257"/>
      <c r="C12" s="258" t="s">
        <v>25</v>
      </c>
      <c r="D12" s="259">
        <f>SUM(D5:D11)</f>
        <v>30488419.27</v>
      </c>
    </row>
  </sheetData>
  <mergeCells count="2">
    <mergeCell ref="B3:D3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249977111117893"/>
    <pageSetUpPr fitToPage="1"/>
  </sheetPr>
  <dimension ref="A1:R170"/>
  <sheetViews>
    <sheetView showGridLines="0" topLeftCell="A147" zoomScaleNormal="100" workbookViewId="0">
      <selection activeCell="B179" sqref="B179"/>
    </sheetView>
  </sheetViews>
  <sheetFormatPr defaultRowHeight="15" x14ac:dyDescent="0.25"/>
  <cols>
    <col min="1" max="1" width="8" bestFit="1" customWidth="1"/>
    <col min="2" max="2" width="46" bestFit="1" customWidth="1"/>
    <col min="3" max="3" width="21.85546875" bestFit="1" customWidth="1"/>
    <col min="4" max="4" width="10.85546875" bestFit="1" customWidth="1"/>
    <col min="5" max="5" width="8.28515625" bestFit="1" customWidth="1"/>
    <col min="6" max="6" width="16.7109375" bestFit="1" customWidth="1"/>
    <col min="7" max="7" width="9.42578125" bestFit="1" customWidth="1"/>
    <col min="8" max="8" width="19.140625" bestFit="1" customWidth="1"/>
    <col min="9" max="9" width="17.28515625" bestFit="1" customWidth="1"/>
    <col min="10" max="10" width="18" bestFit="1" customWidth="1"/>
    <col min="11" max="11" width="19.140625" style="18" bestFit="1" customWidth="1"/>
    <col min="12" max="12" width="10.85546875" style="18" bestFit="1" customWidth="1"/>
    <col min="13" max="13" width="27.42578125" customWidth="1"/>
    <col min="15" max="15" width="15.85546875" customWidth="1"/>
    <col min="16" max="16" width="19.42578125" customWidth="1"/>
  </cols>
  <sheetData>
    <row r="1" spans="1:6" ht="21" thickBot="1" x14ac:dyDescent="0.35">
      <c r="A1" s="330" t="s">
        <v>52</v>
      </c>
      <c r="B1" s="331"/>
      <c r="C1" s="332"/>
    </row>
    <row r="2" spans="1:6" ht="18" x14ac:dyDescent="0.25">
      <c r="A2" s="189" t="s">
        <v>11</v>
      </c>
      <c r="B2" s="191" t="s">
        <v>23</v>
      </c>
      <c r="C2" s="192" t="s">
        <v>24</v>
      </c>
    </row>
    <row r="3" spans="1:6" ht="18" x14ac:dyDescent="0.25">
      <c r="A3" s="181">
        <v>1</v>
      </c>
      <c r="B3" s="182" t="s">
        <v>50</v>
      </c>
      <c r="C3" s="183">
        <f>H39</f>
        <v>7419749.5</v>
      </c>
    </row>
    <row r="4" spans="1:6" ht="18" x14ac:dyDescent="0.25">
      <c r="A4" s="181">
        <v>2</v>
      </c>
      <c r="B4" s="182" t="s">
        <v>122</v>
      </c>
      <c r="C4" s="183">
        <f>H61</f>
        <v>5144547.67</v>
      </c>
    </row>
    <row r="5" spans="1:6" ht="18" x14ac:dyDescent="0.25">
      <c r="A5" s="181">
        <v>3</v>
      </c>
      <c r="B5" s="182" t="s">
        <v>60</v>
      </c>
      <c r="C5" s="183">
        <f>H73</f>
        <v>1499671</v>
      </c>
    </row>
    <row r="6" spans="1:6" ht="18" x14ac:dyDescent="0.25">
      <c r="A6" s="181">
        <v>4</v>
      </c>
      <c r="B6" s="182" t="s">
        <v>132</v>
      </c>
      <c r="C6" s="183">
        <f>H82</f>
        <v>2399756</v>
      </c>
    </row>
    <row r="7" spans="1:6" ht="18" x14ac:dyDescent="0.25">
      <c r="A7" s="181">
        <v>5</v>
      </c>
      <c r="B7" s="182" t="s">
        <v>51</v>
      </c>
      <c r="C7" s="183">
        <f>H90</f>
        <v>88392.6</v>
      </c>
    </row>
    <row r="8" spans="1:6" ht="18" x14ac:dyDescent="0.25">
      <c r="A8" s="181">
        <v>6</v>
      </c>
      <c r="B8" s="184" t="s">
        <v>20</v>
      </c>
      <c r="C8" s="183">
        <f>H102</f>
        <v>946198</v>
      </c>
    </row>
    <row r="9" spans="1:6" ht="18" x14ac:dyDescent="0.25">
      <c r="A9" s="181">
        <v>7</v>
      </c>
      <c r="B9" s="184" t="s">
        <v>109</v>
      </c>
      <c r="C9" s="183">
        <f>H118</f>
        <v>393243</v>
      </c>
    </row>
    <row r="10" spans="1:6" ht="18" x14ac:dyDescent="0.25">
      <c r="A10" s="181">
        <v>8</v>
      </c>
      <c r="B10" s="182" t="s">
        <v>93</v>
      </c>
      <c r="C10" s="185">
        <f>H163</f>
        <v>46190</v>
      </c>
    </row>
    <row r="11" spans="1:6" ht="18.75" thickBot="1" x14ac:dyDescent="0.3">
      <c r="A11" s="190">
        <v>9</v>
      </c>
      <c r="B11" s="186" t="s">
        <v>94</v>
      </c>
      <c r="C11" s="187">
        <f>H170</f>
        <v>302500</v>
      </c>
    </row>
    <row r="12" spans="1:6" ht="20.25" customHeight="1" thickBot="1" x14ac:dyDescent="0.35">
      <c r="A12" s="188"/>
      <c r="B12" s="230" t="s">
        <v>8</v>
      </c>
      <c r="C12" s="229">
        <f>SUM(C3:C11)</f>
        <v>18240247.77</v>
      </c>
      <c r="F12" s="108"/>
    </row>
    <row r="14" spans="1:6" ht="15.75" thickBot="1" x14ac:dyDescent="0.3"/>
    <row r="15" spans="1:6" ht="26.25" customHeight="1" thickBot="1" x14ac:dyDescent="0.55000000000000004">
      <c r="A15" s="335" t="s">
        <v>203</v>
      </c>
      <c r="B15" s="336"/>
      <c r="C15" s="337"/>
    </row>
    <row r="16" spans="1:6" ht="24" thickBot="1" x14ac:dyDescent="0.4">
      <c r="B16" s="12"/>
    </row>
    <row r="17" spans="1:15" ht="21.75" thickBot="1" x14ac:dyDescent="0.4">
      <c r="B17" s="175" t="s">
        <v>159</v>
      </c>
      <c r="O17" s="103"/>
    </row>
    <row r="18" spans="1:15" ht="17.25" thickBot="1" x14ac:dyDescent="0.3">
      <c r="A18" s="147" t="s">
        <v>0</v>
      </c>
      <c r="B18" s="272" t="s">
        <v>1</v>
      </c>
      <c r="C18" s="272" t="s">
        <v>2</v>
      </c>
      <c r="D18" s="273" t="s">
        <v>3</v>
      </c>
      <c r="E18" s="170" t="s">
        <v>4</v>
      </c>
      <c r="F18" s="171" t="s">
        <v>5</v>
      </c>
      <c r="G18" s="170" t="s">
        <v>6</v>
      </c>
      <c r="H18" s="171" t="s">
        <v>7</v>
      </c>
      <c r="I18" s="170" t="s">
        <v>16</v>
      </c>
      <c r="J18" s="171" t="s">
        <v>17</v>
      </c>
      <c r="K18" s="173" t="s">
        <v>8</v>
      </c>
      <c r="L18" s="170" t="s">
        <v>9</v>
      </c>
      <c r="M18" s="174" t="s">
        <v>13</v>
      </c>
      <c r="O18" s="103"/>
    </row>
    <row r="19" spans="1:15" ht="15.75" x14ac:dyDescent="0.25">
      <c r="A19" s="62">
        <v>1</v>
      </c>
      <c r="B19" s="63" t="s">
        <v>15</v>
      </c>
      <c r="C19" s="269" t="s">
        <v>267</v>
      </c>
      <c r="D19" s="274">
        <v>26</v>
      </c>
      <c r="E19" s="264" t="s">
        <v>37</v>
      </c>
      <c r="F19" s="300">
        <v>4765</v>
      </c>
      <c r="G19" s="275">
        <v>83.3</v>
      </c>
      <c r="H19" s="78">
        <f>F19*G19</f>
        <v>396924.5</v>
      </c>
      <c r="I19" s="71">
        <f t="shared" ref="I19" si="0">H19*9%</f>
        <v>35723.205000000002</v>
      </c>
      <c r="J19" s="78">
        <f t="shared" ref="J19" si="1">I19</f>
        <v>35723.205000000002</v>
      </c>
      <c r="K19" s="71">
        <f t="shared" ref="K19" si="2">H19+I19+J19</f>
        <v>468370.91000000003</v>
      </c>
      <c r="L19" s="78" t="s">
        <v>10</v>
      </c>
      <c r="M19" s="276" t="s">
        <v>213</v>
      </c>
      <c r="O19" s="103"/>
    </row>
    <row r="20" spans="1:15" ht="15.75" x14ac:dyDescent="0.25">
      <c r="A20" s="62">
        <v>2</v>
      </c>
      <c r="B20" s="63" t="s">
        <v>15</v>
      </c>
      <c r="C20" s="269" t="s">
        <v>268</v>
      </c>
      <c r="D20" s="274">
        <v>26</v>
      </c>
      <c r="E20" s="264" t="s">
        <v>37</v>
      </c>
      <c r="F20" s="300">
        <v>6424</v>
      </c>
      <c r="G20" s="275">
        <v>83.3</v>
      </c>
      <c r="H20" s="78">
        <f>F20*G20</f>
        <v>535119.19999999995</v>
      </c>
      <c r="I20" s="71">
        <f t="shared" ref="I20" si="3">H20*9%</f>
        <v>48160.727999999996</v>
      </c>
      <c r="J20" s="78">
        <f t="shared" ref="J20" si="4">I20</f>
        <v>48160.727999999996</v>
      </c>
      <c r="K20" s="71">
        <f t="shared" ref="K20" si="5">H20+I20+J20</f>
        <v>631440.65599999996</v>
      </c>
      <c r="L20" s="78" t="s">
        <v>10</v>
      </c>
      <c r="M20" s="276" t="s">
        <v>213</v>
      </c>
      <c r="O20" s="103"/>
    </row>
    <row r="21" spans="1:15" ht="15.75" x14ac:dyDescent="0.25">
      <c r="A21" s="62">
        <v>3</v>
      </c>
      <c r="B21" s="63" t="s">
        <v>15</v>
      </c>
      <c r="C21" s="269" t="s">
        <v>269</v>
      </c>
      <c r="D21" s="274">
        <v>26</v>
      </c>
      <c r="E21" s="264" t="s">
        <v>37</v>
      </c>
      <c r="F21" s="300">
        <v>6547</v>
      </c>
      <c r="G21" s="275">
        <v>83.3</v>
      </c>
      <c r="H21" s="78">
        <f t="shared" ref="H21:H38" si="6">F21*G21</f>
        <v>545365.1</v>
      </c>
      <c r="I21" s="71">
        <f t="shared" ref="I21:I38" si="7">H21*9%</f>
        <v>49082.858999999997</v>
      </c>
      <c r="J21" s="78">
        <f t="shared" ref="J21:J38" si="8">I21</f>
        <v>49082.858999999997</v>
      </c>
      <c r="K21" s="71">
        <f t="shared" ref="K21:K38" si="9">H21+I21+J21</f>
        <v>643530.81799999997</v>
      </c>
      <c r="L21" s="78"/>
      <c r="M21" s="276" t="s">
        <v>208</v>
      </c>
      <c r="O21" s="103"/>
    </row>
    <row r="22" spans="1:15" ht="15.75" x14ac:dyDescent="0.25">
      <c r="A22" s="62">
        <v>4</v>
      </c>
      <c r="B22" s="63" t="s">
        <v>15</v>
      </c>
      <c r="C22" s="269" t="s">
        <v>270</v>
      </c>
      <c r="D22" s="274">
        <v>26</v>
      </c>
      <c r="E22" s="264" t="s">
        <v>37</v>
      </c>
      <c r="F22" s="300">
        <v>6390</v>
      </c>
      <c r="G22" s="275">
        <v>83.3</v>
      </c>
      <c r="H22" s="78">
        <f t="shared" si="6"/>
        <v>532287</v>
      </c>
      <c r="I22" s="71">
        <f t="shared" si="7"/>
        <v>47905.83</v>
      </c>
      <c r="J22" s="78">
        <f t="shared" si="8"/>
        <v>47905.83</v>
      </c>
      <c r="K22" s="71">
        <f t="shared" si="9"/>
        <v>628098.65999999992</v>
      </c>
      <c r="L22" s="78"/>
      <c r="M22" s="276" t="s">
        <v>208</v>
      </c>
      <c r="O22" s="103"/>
    </row>
    <row r="23" spans="1:15" ht="15.75" x14ac:dyDescent="0.25">
      <c r="A23" s="62">
        <v>5</v>
      </c>
      <c r="B23" s="63" t="s">
        <v>15</v>
      </c>
      <c r="C23" s="269" t="s">
        <v>271</v>
      </c>
      <c r="D23" s="274">
        <v>24</v>
      </c>
      <c r="E23" s="264" t="s">
        <v>37</v>
      </c>
      <c r="F23" s="300">
        <v>5800</v>
      </c>
      <c r="G23" s="275">
        <v>81.25</v>
      </c>
      <c r="H23" s="78">
        <f t="shared" si="6"/>
        <v>471250</v>
      </c>
      <c r="I23" s="71">
        <f t="shared" si="7"/>
        <v>42412.5</v>
      </c>
      <c r="J23" s="78">
        <f t="shared" si="8"/>
        <v>42412.5</v>
      </c>
      <c r="K23" s="71">
        <f t="shared" si="9"/>
        <v>556075</v>
      </c>
      <c r="L23" s="78"/>
      <c r="M23" s="276" t="s">
        <v>213</v>
      </c>
      <c r="O23" s="103"/>
    </row>
    <row r="24" spans="1:15" ht="15.75" x14ac:dyDescent="0.25">
      <c r="A24" s="62">
        <v>6</v>
      </c>
      <c r="B24" s="63" t="s">
        <v>15</v>
      </c>
      <c r="C24" s="269" t="s">
        <v>272</v>
      </c>
      <c r="D24" s="274">
        <v>24</v>
      </c>
      <c r="E24" s="264" t="s">
        <v>37</v>
      </c>
      <c r="F24" s="300">
        <v>5680</v>
      </c>
      <c r="G24" s="275">
        <v>81.25</v>
      </c>
      <c r="H24" s="78">
        <f t="shared" si="6"/>
        <v>461500</v>
      </c>
      <c r="I24" s="71">
        <f t="shared" si="7"/>
        <v>41535</v>
      </c>
      <c r="J24" s="78">
        <f t="shared" si="8"/>
        <v>41535</v>
      </c>
      <c r="K24" s="71">
        <f t="shared" si="9"/>
        <v>544570</v>
      </c>
      <c r="L24" s="78"/>
      <c r="M24" s="276" t="s">
        <v>213</v>
      </c>
      <c r="O24" s="103"/>
    </row>
    <row r="25" spans="1:15" ht="15.75" x14ac:dyDescent="0.25">
      <c r="A25" s="62">
        <v>7</v>
      </c>
      <c r="B25" s="63" t="s">
        <v>15</v>
      </c>
      <c r="C25" s="269" t="s">
        <v>273</v>
      </c>
      <c r="D25" s="274">
        <v>24</v>
      </c>
      <c r="E25" s="264" t="s">
        <v>37</v>
      </c>
      <c r="F25" s="300">
        <v>5391</v>
      </c>
      <c r="G25" s="275">
        <v>81.25</v>
      </c>
      <c r="H25" s="78">
        <f t="shared" si="6"/>
        <v>438018.75</v>
      </c>
      <c r="I25" s="71">
        <f t="shared" si="7"/>
        <v>39421.6875</v>
      </c>
      <c r="J25" s="78">
        <f t="shared" si="8"/>
        <v>39421.6875</v>
      </c>
      <c r="K25" s="71">
        <f t="shared" si="9"/>
        <v>516862.125</v>
      </c>
      <c r="L25" s="78"/>
      <c r="M25" s="276" t="s">
        <v>213</v>
      </c>
      <c r="O25" s="103"/>
    </row>
    <row r="26" spans="1:15" ht="15.75" x14ac:dyDescent="0.25">
      <c r="A26" s="62">
        <v>8</v>
      </c>
      <c r="B26" s="63" t="s">
        <v>15</v>
      </c>
      <c r="C26" s="269" t="s">
        <v>274</v>
      </c>
      <c r="D26" s="274">
        <v>22</v>
      </c>
      <c r="E26" s="264" t="s">
        <v>37</v>
      </c>
      <c r="F26" s="300">
        <v>4655</v>
      </c>
      <c r="G26" s="275">
        <v>79.2</v>
      </c>
      <c r="H26" s="78">
        <f t="shared" si="6"/>
        <v>368676</v>
      </c>
      <c r="I26" s="71">
        <f t="shared" si="7"/>
        <v>33180.839999999997</v>
      </c>
      <c r="J26" s="78">
        <f t="shared" si="8"/>
        <v>33180.839999999997</v>
      </c>
      <c r="K26" s="71">
        <f t="shared" si="9"/>
        <v>435037.67999999993</v>
      </c>
      <c r="L26" s="78"/>
      <c r="M26" s="276" t="s">
        <v>213</v>
      </c>
      <c r="O26" s="103"/>
    </row>
    <row r="27" spans="1:15" ht="15.75" x14ac:dyDescent="0.25">
      <c r="A27" s="62">
        <v>9</v>
      </c>
      <c r="B27" s="63" t="s">
        <v>15</v>
      </c>
      <c r="C27" s="269" t="s">
        <v>275</v>
      </c>
      <c r="D27" s="274">
        <v>22</v>
      </c>
      <c r="E27" s="264" t="s">
        <v>37</v>
      </c>
      <c r="F27" s="300">
        <v>5444</v>
      </c>
      <c r="G27" s="275">
        <v>79.2</v>
      </c>
      <c r="H27" s="78">
        <f t="shared" si="6"/>
        <v>431164.8</v>
      </c>
      <c r="I27" s="71">
        <f t="shared" si="7"/>
        <v>38804.831999999995</v>
      </c>
      <c r="J27" s="78">
        <f t="shared" si="8"/>
        <v>38804.831999999995</v>
      </c>
      <c r="K27" s="71">
        <f t="shared" si="9"/>
        <v>508774.46399999998</v>
      </c>
      <c r="L27" s="78"/>
      <c r="M27" s="276" t="s">
        <v>213</v>
      </c>
      <c r="O27" s="103"/>
    </row>
    <row r="28" spans="1:15" ht="15.75" x14ac:dyDescent="0.25">
      <c r="A28" s="62">
        <v>10</v>
      </c>
      <c r="B28" s="63" t="s">
        <v>15</v>
      </c>
      <c r="C28" s="269" t="s">
        <v>276</v>
      </c>
      <c r="D28" s="274">
        <v>20</v>
      </c>
      <c r="E28" s="264" t="s">
        <v>37</v>
      </c>
      <c r="F28" s="300">
        <v>6445</v>
      </c>
      <c r="G28" s="275">
        <v>81.599999999999994</v>
      </c>
      <c r="H28" s="78">
        <f t="shared" si="6"/>
        <v>525912</v>
      </c>
      <c r="I28" s="71">
        <f t="shared" si="7"/>
        <v>47332.08</v>
      </c>
      <c r="J28" s="78">
        <f t="shared" si="8"/>
        <v>47332.08</v>
      </c>
      <c r="K28" s="71">
        <f t="shared" si="9"/>
        <v>620576.15999999992</v>
      </c>
      <c r="L28" s="78"/>
      <c r="M28" s="276" t="s">
        <v>213</v>
      </c>
      <c r="O28" s="103"/>
    </row>
    <row r="29" spans="1:15" ht="15.75" x14ac:dyDescent="0.25">
      <c r="A29" s="62">
        <v>11</v>
      </c>
      <c r="B29" s="63" t="s">
        <v>15</v>
      </c>
      <c r="C29" s="269" t="s">
        <v>277</v>
      </c>
      <c r="D29" s="274">
        <v>18</v>
      </c>
      <c r="E29" s="264" t="s">
        <v>37</v>
      </c>
      <c r="F29" s="300">
        <v>5120</v>
      </c>
      <c r="G29" s="275">
        <v>81.599999999999994</v>
      </c>
      <c r="H29" s="78">
        <f t="shared" si="6"/>
        <v>417792</v>
      </c>
      <c r="I29" s="71">
        <f t="shared" si="7"/>
        <v>37601.279999999999</v>
      </c>
      <c r="J29" s="78">
        <f t="shared" si="8"/>
        <v>37601.279999999999</v>
      </c>
      <c r="K29" s="71">
        <f t="shared" si="9"/>
        <v>492994.56000000006</v>
      </c>
      <c r="L29" s="78"/>
      <c r="M29" s="276" t="s">
        <v>208</v>
      </c>
      <c r="O29" s="103"/>
    </row>
    <row r="30" spans="1:15" ht="15.75" x14ac:dyDescent="0.25">
      <c r="A30" s="62">
        <v>12</v>
      </c>
      <c r="B30" s="63" t="s">
        <v>15</v>
      </c>
      <c r="C30" s="269" t="s">
        <v>278</v>
      </c>
      <c r="D30" s="274">
        <v>18</v>
      </c>
      <c r="E30" s="264" t="s">
        <v>37</v>
      </c>
      <c r="F30" s="300">
        <v>4765</v>
      </c>
      <c r="G30" s="275">
        <v>81.599999999999994</v>
      </c>
      <c r="H30" s="78">
        <f t="shared" si="6"/>
        <v>388824</v>
      </c>
      <c r="I30" s="71">
        <f t="shared" si="7"/>
        <v>34994.159999999996</v>
      </c>
      <c r="J30" s="78">
        <f t="shared" si="8"/>
        <v>34994.159999999996</v>
      </c>
      <c r="K30" s="71">
        <f t="shared" si="9"/>
        <v>458812.31999999995</v>
      </c>
      <c r="L30" s="78"/>
      <c r="M30" s="276" t="s">
        <v>208</v>
      </c>
      <c r="O30" s="103"/>
    </row>
    <row r="31" spans="1:15" ht="15.75" x14ac:dyDescent="0.25">
      <c r="A31" s="62">
        <v>13</v>
      </c>
      <c r="B31" s="63" t="s">
        <v>15</v>
      </c>
      <c r="C31" s="269"/>
      <c r="D31" s="274">
        <v>24</v>
      </c>
      <c r="E31" s="264" t="s">
        <v>37</v>
      </c>
      <c r="F31" s="300">
        <v>2765</v>
      </c>
      <c r="G31" s="275">
        <v>72.099999999999994</v>
      </c>
      <c r="H31" s="78">
        <f t="shared" ref="H31" si="10">F31*G31</f>
        <v>199356.49999999997</v>
      </c>
      <c r="I31" s="71">
        <f t="shared" ref="I31" si="11">H31*9%</f>
        <v>17942.084999999995</v>
      </c>
      <c r="J31" s="78">
        <f t="shared" ref="J31" si="12">I31</f>
        <v>17942.084999999995</v>
      </c>
      <c r="K31" s="71">
        <f t="shared" ref="K31" si="13">H31+I31+J31</f>
        <v>235240.66999999995</v>
      </c>
      <c r="L31" s="78"/>
      <c r="M31" s="276" t="s">
        <v>285</v>
      </c>
      <c r="O31" s="103"/>
    </row>
    <row r="32" spans="1:15" ht="15.75" x14ac:dyDescent="0.25">
      <c r="A32" s="62">
        <v>14</v>
      </c>
      <c r="B32" s="63" t="s">
        <v>15</v>
      </c>
      <c r="C32" s="269"/>
      <c r="D32" s="274">
        <v>24</v>
      </c>
      <c r="E32" s="264" t="s">
        <v>37</v>
      </c>
      <c r="F32" s="300">
        <v>2765</v>
      </c>
      <c r="G32" s="275">
        <v>72.099999999999994</v>
      </c>
      <c r="H32" s="78">
        <f t="shared" ref="H32" si="14">F32*G32</f>
        <v>199356.49999999997</v>
      </c>
      <c r="I32" s="71">
        <f t="shared" ref="I32" si="15">H32*9%</f>
        <v>17942.084999999995</v>
      </c>
      <c r="J32" s="78">
        <f t="shared" ref="J32" si="16">I32</f>
        <v>17942.084999999995</v>
      </c>
      <c r="K32" s="71">
        <f t="shared" ref="K32" si="17">H32+I32+J32</f>
        <v>235240.66999999995</v>
      </c>
      <c r="L32" s="78"/>
      <c r="M32" s="276" t="s">
        <v>285</v>
      </c>
      <c r="O32" s="103"/>
    </row>
    <row r="33" spans="1:15" ht="15.75" x14ac:dyDescent="0.25">
      <c r="A33" s="62">
        <v>15</v>
      </c>
      <c r="B33" s="274" t="s">
        <v>279</v>
      </c>
      <c r="C33" s="269" t="s">
        <v>282</v>
      </c>
      <c r="D33" s="274">
        <v>26</v>
      </c>
      <c r="E33" s="264" t="s">
        <v>37</v>
      </c>
      <c r="F33" s="300">
        <v>5710</v>
      </c>
      <c r="G33" s="275">
        <v>83.3</v>
      </c>
      <c r="H33" s="78">
        <f t="shared" ref="H33" si="18">F33*G33</f>
        <v>475643</v>
      </c>
      <c r="I33" s="71">
        <f t="shared" ref="I33" si="19">H33*9%</f>
        <v>42807.869999999995</v>
      </c>
      <c r="J33" s="78">
        <f t="shared" ref="J33" si="20">I33</f>
        <v>42807.869999999995</v>
      </c>
      <c r="K33" s="71">
        <f t="shared" ref="K33" si="21">H33+I33+J33</f>
        <v>561258.74</v>
      </c>
      <c r="L33" s="78"/>
      <c r="M33" s="276" t="s">
        <v>301</v>
      </c>
      <c r="O33" s="103"/>
    </row>
    <row r="34" spans="1:15" ht="15.75" x14ac:dyDescent="0.25">
      <c r="A34" s="62">
        <v>16</v>
      </c>
      <c r="B34" s="274" t="s">
        <v>279</v>
      </c>
      <c r="C34" s="269" t="s">
        <v>280</v>
      </c>
      <c r="D34" s="274">
        <v>24</v>
      </c>
      <c r="E34" s="264" t="s">
        <v>37</v>
      </c>
      <c r="F34" s="300">
        <f>4270-1371</f>
        <v>2899</v>
      </c>
      <c r="G34" s="275">
        <v>81.25</v>
      </c>
      <c r="H34" s="78">
        <f t="shared" si="6"/>
        <v>235543.75</v>
      </c>
      <c r="I34" s="71">
        <f t="shared" si="7"/>
        <v>21198.9375</v>
      </c>
      <c r="J34" s="78">
        <f t="shared" si="8"/>
        <v>21198.9375</v>
      </c>
      <c r="K34" s="71">
        <f t="shared" si="9"/>
        <v>277941.625</v>
      </c>
      <c r="L34" s="78"/>
      <c r="M34" s="276" t="s">
        <v>296</v>
      </c>
      <c r="O34" s="103"/>
    </row>
    <row r="35" spans="1:15" ht="15.75" x14ac:dyDescent="0.25">
      <c r="A35" s="62">
        <v>17</v>
      </c>
      <c r="B35" s="274" t="s">
        <v>279</v>
      </c>
      <c r="C35" s="269" t="s">
        <v>281</v>
      </c>
      <c r="D35" s="274">
        <v>22</v>
      </c>
      <c r="E35" s="264" t="s">
        <v>37</v>
      </c>
      <c r="F35" s="300">
        <f>4830-635</f>
        <v>4195</v>
      </c>
      <c r="G35" s="275">
        <v>79.2</v>
      </c>
      <c r="H35" s="78">
        <f t="shared" si="6"/>
        <v>332244</v>
      </c>
      <c r="I35" s="71">
        <f t="shared" si="7"/>
        <v>29901.96</v>
      </c>
      <c r="J35" s="78">
        <f t="shared" si="8"/>
        <v>29901.96</v>
      </c>
      <c r="K35" s="71">
        <f t="shared" si="9"/>
        <v>392047.92000000004</v>
      </c>
      <c r="L35" s="78"/>
      <c r="M35" s="276" t="s">
        <v>297</v>
      </c>
      <c r="O35" s="103"/>
    </row>
    <row r="36" spans="1:15" ht="15.75" x14ac:dyDescent="0.25">
      <c r="A36" s="62">
        <v>18</v>
      </c>
      <c r="B36" s="274" t="s">
        <v>279</v>
      </c>
      <c r="C36" s="269" t="s">
        <v>283</v>
      </c>
      <c r="D36" s="274">
        <v>20</v>
      </c>
      <c r="E36" s="264" t="s">
        <v>37</v>
      </c>
      <c r="F36" s="300">
        <f>2502-503</f>
        <v>1999</v>
      </c>
      <c r="G36" s="275">
        <v>81.599999999999994</v>
      </c>
      <c r="H36" s="78">
        <f t="shared" si="6"/>
        <v>163118.39999999999</v>
      </c>
      <c r="I36" s="71">
        <f t="shared" si="7"/>
        <v>14680.655999999999</v>
      </c>
      <c r="J36" s="78">
        <f t="shared" si="8"/>
        <v>14680.655999999999</v>
      </c>
      <c r="K36" s="71">
        <f t="shared" si="9"/>
        <v>192479.71199999997</v>
      </c>
      <c r="L36" s="78"/>
      <c r="M36" s="276" t="s">
        <v>298</v>
      </c>
      <c r="O36" s="103"/>
    </row>
    <row r="37" spans="1:15" ht="15.75" x14ac:dyDescent="0.25">
      <c r="A37" s="62">
        <v>19</v>
      </c>
      <c r="B37" s="274" t="s">
        <v>279</v>
      </c>
      <c r="C37" s="269" t="s">
        <v>284</v>
      </c>
      <c r="D37" s="274">
        <v>18</v>
      </c>
      <c r="E37" s="264" t="s">
        <v>37</v>
      </c>
      <c r="F37" s="300">
        <f>4000-860</f>
        <v>3140</v>
      </c>
      <c r="G37" s="275">
        <v>81.599999999999994</v>
      </c>
      <c r="H37" s="78">
        <f t="shared" ref="H37" si="22">F37*G37</f>
        <v>256223.99999999997</v>
      </c>
      <c r="I37" s="71">
        <f t="shared" ref="I37" si="23">H37*9%</f>
        <v>23060.159999999996</v>
      </c>
      <c r="J37" s="78">
        <f t="shared" ref="J37" si="24">I37</f>
        <v>23060.159999999996</v>
      </c>
      <c r="K37" s="71">
        <f t="shared" ref="K37" si="25">H37+I37+J37</f>
        <v>302344.31999999995</v>
      </c>
      <c r="L37" s="78"/>
      <c r="M37" s="276" t="s">
        <v>299</v>
      </c>
      <c r="O37" s="103"/>
    </row>
    <row r="38" spans="1:15" ht="16.5" thickBot="1" x14ac:dyDescent="0.3">
      <c r="A38" s="62">
        <v>20</v>
      </c>
      <c r="B38" s="63" t="s">
        <v>279</v>
      </c>
      <c r="C38" s="269" t="s">
        <v>214</v>
      </c>
      <c r="D38" s="63">
        <v>24</v>
      </c>
      <c r="E38" s="264" t="s">
        <v>37</v>
      </c>
      <c r="F38" s="301">
        <v>649</v>
      </c>
      <c r="G38" s="65">
        <v>70</v>
      </c>
      <c r="H38" s="78">
        <f t="shared" si="6"/>
        <v>45430</v>
      </c>
      <c r="I38" s="71">
        <f t="shared" si="7"/>
        <v>4088.7</v>
      </c>
      <c r="J38" s="78">
        <f t="shared" si="8"/>
        <v>4088.7</v>
      </c>
      <c r="K38" s="71">
        <f t="shared" si="9"/>
        <v>53607.399999999994</v>
      </c>
      <c r="L38" s="66" t="s">
        <v>10</v>
      </c>
      <c r="M38" s="276" t="s">
        <v>300</v>
      </c>
      <c r="O38" s="103"/>
    </row>
    <row r="39" spans="1:15" ht="20.25" customHeight="1" thickBot="1" x14ac:dyDescent="0.35">
      <c r="A39" s="26"/>
      <c r="B39" s="27"/>
      <c r="C39" s="28"/>
      <c r="D39" s="333" t="s">
        <v>8</v>
      </c>
      <c r="E39" s="334"/>
      <c r="F39" s="231">
        <f>SUM(F19:F38)</f>
        <v>91548</v>
      </c>
      <c r="G39" s="234"/>
      <c r="H39" s="231">
        <f>SUM(H19:H38)</f>
        <v>7419749.5</v>
      </c>
      <c r="I39" s="232">
        <f>SUM(I19:I38)</f>
        <v>667777.45499999984</v>
      </c>
      <c r="J39" s="232">
        <f>SUM(J19:J38)</f>
        <v>667777.45499999984</v>
      </c>
      <c r="K39" s="232">
        <f>SUM(K19:K38)</f>
        <v>8755304.4100000001</v>
      </c>
      <c r="L39" s="30"/>
      <c r="M39" s="31"/>
    </row>
    <row r="40" spans="1:15" ht="20.25" customHeight="1" thickBot="1" x14ac:dyDescent="0.3">
      <c r="C40" s="24"/>
      <c r="D40" s="20"/>
      <c r="F40" s="37"/>
      <c r="K40"/>
      <c r="L40"/>
    </row>
    <row r="41" spans="1:15" ht="21.75" thickBot="1" x14ac:dyDescent="0.4">
      <c r="A41" s="14"/>
      <c r="B41" s="175" t="s">
        <v>122</v>
      </c>
      <c r="C41" s="16"/>
      <c r="D41" s="23"/>
      <c r="E41" s="23"/>
      <c r="F41" s="39"/>
      <c r="G41" s="23"/>
      <c r="H41" s="17"/>
      <c r="I41" s="17"/>
      <c r="J41" s="17"/>
      <c r="K41" s="9"/>
      <c r="L41" s="9"/>
      <c r="O41" s="103"/>
    </row>
    <row r="42" spans="1:15" ht="15.75" customHeight="1" thickBot="1" x14ac:dyDescent="0.3">
      <c r="A42" s="147" t="s">
        <v>0</v>
      </c>
      <c r="B42" s="154" t="s">
        <v>1</v>
      </c>
      <c r="C42" s="155" t="s">
        <v>59</v>
      </c>
      <c r="D42" s="149" t="s">
        <v>3</v>
      </c>
      <c r="E42" s="156" t="s">
        <v>4</v>
      </c>
      <c r="F42" s="157" t="s">
        <v>5</v>
      </c>
      <c r="G42" s="156" t="s">
        <v>6</v>
      </c>
      <c r="H42" s="158" t="s">
        <v>7</v>
      </c>
      <c r="I42" s="156" t="s">
        <v>16</v>
      </c>
      <c r="J42" s="158" t="s">
        <v>17</v>
      </c>
      <c r="K42" s="159" t="s">
        <v>8</v>
      </c>
      <c r="L42" s="160" t="s">
        <v>9</v>
      </c>
      <c r="M42" s="156" t="s">
        <v>58</v>
      </c>
      <c r="O42" s="103"/>
    </row>
    <row r="43" spans="1:15" ht="15.75" customHeight="1" x14ac:dyDescent="0.25">
      <c r="A43" s="61">
        <v>1</v>
      </c>
      <c r="B43" s="63" t="s">
        <v>288</v>
      </c>
      <c r="C43" s="59" t="s">
        <v>38</v>
      </c>
      <c r="D43" s="89">
        <v>26</v>
      </c>
      <c r="E43" s="69" t="s">
        <v>37</v>
      </c>
      <c r="F43" s="302">
        <f>534+450</f>
        <v>984</v>
      </c>
      <c r="G43" s="65">
        <v>75.5</v>
      </c>
      <c r="H43" s="74">
        <f t="shared" ref="H43" si="26">F43*G43</f>
        <v>74292</v>
      </c>
      <c r="I43" s="67">
        <f t="shared" ref="I43" si="27">H43*9%</f>
        <v>6686.28</v>
      </c>
      <c r="J43" s="74">
        <f t="shared" ref="J43" si="28">I43</f>
        <v>6686.28</v>
      </c>
      <c r="K43" s="67">
        <f t="shared" ref="K43" si="29">H43+I43+J43</f>
        <v>87664.56</v>
      </c>
      <c r="L43" s="66" t="s">
        <v>10</v>
      </c>
      <c r="M43" s="72" t="s">
        <v>212</v>
      </c>
      <c r="O43" s="103"/>
    </row>
    <row r="44" spans="1:15" ht="15.75" customHeight="1" x14ac:dyDescent="0.25">
      <c r="A44" s="61">
        <v>2</v>
      </c>
      <c r="B44" s="63" t="s">
        <v>288</v>
      </c>
      <c r="C44" s="59" t="s">
        <v>38</v>
      </c>
      <c r="D44" s="89">
        <v>24</v>
      </c>
      <c r="E44" s="69" t="s">
        <v>37</v>
      </c>
      <c r="F44" s="302">
        <f>(559*10)+(605*6)+600+400+143+65+60+40</f>
        <v>10528</v>
      </c>
      <c r="G44" s="65">
        <v>73.099999999999994</v>
      </c>
      <c r="H44" s="74">
        <f t="shared" ref="H44" si="30">F44*G44</f>
        <v>769596.79999999993</v>
      </c>
      <c r="I44" s="67">
        <f t="shared" ref="I44" si="31">H44*9%</f>
        <v>69263.711999999985</v>
      </c>
      <c r="J44" s="74">
        <f t="shared" ref="J44" si="32">I44</f>
        <v>69263.711999999985</v>
      </c>
      <c r="K44" s="67">
        <f t="shared" ref="K44" si="33">H44+I44+J44</f>
        <v>908124.22399999981</v>
      </c>
      <c r="L44" s="66" t="s">
        <v>10</v>
      </c>
      <c r="M44" s="72" t="s">
        <v>212</v>
      </c>
      <c r="O44" s="103"/>
    </row>
    <row r="45" spans="1:15" ht="15.75" customHeight="1" x14ac:dyDescent="0.25">
      <c r="A45" s="61">
        <v>3</v>
      </c>
      <c r="B45" s="63" t="s">
        <v>288</v>
      </c>
      <c r="C45" s="59" t="s">
        <v>38</v>
      </c>
      <c r="D45" s="89">
        <v>22</v>
      </c>
      <c r="E45" s="69" t="s">
        <v>37</v>
      </c>
      <c r="F45" s="302">
        <f>(644*8)+(565*7)+(688*5)+(622*8)+144+172+40+50+45</f>
        <v>17974</v>
      </c>
      <c r="G45" s="65">
        <v>71.349999999999994</v>
      </c>
      <c r="H45" s="74">
        <f t="shared" ref="H45:H53" si="34">F45*G45</f>
        <v>1282444.8999999999</v>
      </c>
      <c r="I45" s="67">
        <f t="shared" ref="I45:I53" si="35">H45*9%</f>
        <v>115420.04099999998</v>
      </c>
      <c r="J45" s="74">
        <f t="shared" ref="J45:J53" si="36">I45</f>
        <v>115420.04099999998</v>
      </c>
      <c r="K45" s="67">
        <f t="shared" ref="K45:K53" si="37">H45+I45+J45</f>
        <v>1513284.9819999998</v>
      </c>
      <c r="L45" s="66" t="s">
        <v>10</v>
      </c>
      <c r="M45" s="72" t="s">
        <v>212</v>
      </c>
      <c r="O45" s="103"/>
    </row>
    <row r="46" spans="1:15" ht="15.75" customHeight="1" x14ac:dyDescent="0.25">
      <c r="A46" s="61">
        <v>4</v>
      </c>
      <c r="B46" s="63" t="s">
        <v>288</v>
      </c>
      <c r="C46" s="59" t="s">
        <v>38</v>
      </c>
      <c r="D46" s="89">
        <v>20</v>
      </c>
      <c r="E46" s="69" t="s">
        <v>37</v>
      </c>
      <c r="F46" s="302">
        <f>(502*7)+(498*6)+(612*5)+(483*9)+(679*6)+85+110+85+100+65</f>
        <v>18428</v>
      </c>
      <c r="G46" s="65">
        <v>71.349999999999994</v>
      </c>
      <c r="H46" s="74">
        <f t="shared" si="34"/>
        <v>1314837.7999999998</v>
      </c>
      <c r="I46" s="67">
        <f t="shared" si="35"/>
        <v>118335.40199999997</v>
      </c>
      <c r="J46" s="74">
        <f t="shared" si="36"/>
        <v>118335.40199999997</v>
      </c>
      <c r="K46" s="67">
        <f t="shared" si="37"/>
        <v>1551508.6039999998</v>
      </c>
      <c r="L46" s="66" t="s">
        <v>10</v>
      </c>
      <c r="M46" s="72" t="s">
        <v>212</v>
      </c>
      <c r="O46" s="103"/>
    </row>
    <row r="47" spans="1:15" ht="15.75" customHeight="1" x14ac:dyDescent="0.25">
      <c r="A47" s="61">
        <v>5</v>
      </c>
      <c r="B47" s="63" t="s">
        <v>279</v>
      </c>
      <c r="C47" s="59" t="s">
        <v>38</v>
      </c>
      <c r="D47" s="89">
        <v>22</v>
      </c>
      <c r="E47" s="69" t="s">
        <v>37</v>
      </c>
      <c r="F47" s="302">
        <v>80</v>
      </c>
      <c r="G47" s="65">
        <v>65</v>
      </c>
      <c r="H47" s="74">
        <f t="shared" ref="H47" si="38">F47*G47</f>
        <v>5200</v>
      </c>
      <c r="I47" s="67">
        <f t="shared" ref="I47" si="39">H47*9%</f>
        <v>468</v>
      </c>
      <c r="J47" s="74">
        <f t="shared" ref="J47" si="40">I47</f>
        <v>468</v>
      </c>
      <c r="K47" s="67">
        <f t="shared" ref="K47" si="41">H47+I47+J47</f>
        <v>6136</v>
      </c>
      <c r="L47" s="66"/>
      <c r="M47" s="72"/>
      <c r="O47" s="103"/>
    </row>
    <row r="48" spans="1:15" ht="15.75" customHeight="1" x14ac:dyDescent="0.25">
      <c r="A48" s="61">
        <v>6</v>
      </c>
      <c r="B48" s="63" t="s">
        <v>279</v>
      </c>
      <c r="C48" s="59" t="s">
        <v>38</v>
      </c>
      <c r="D48" s="89">
        <v>20</v>
      </c>
      <c r="E48" s="69" t="s">
        <v>37</v>
      </c>
      <c r="F48" s="302">
        <f>160+52+65+60+191+106+10</f>
        <v>644</v>
      </c>
      <c r="G48" s="65">
        <v>65</v>
      </c>
      <c r="H48" s="74">
        <f t="shared" ref="H48" si="42">F48*G48</f>
        <v>41860</v>
      </c>
      <c r="I48" s="67">
        <f t="shared" ref="I48" si="43">H48*9%</f>
        <v>3767.3999999999996</v>
      </c>
      <c r="J48" s="74">
        <f t="shared" ref="J48" si="44">I48</f>
        <v>3767.3999999999996</v>
      </c>
      <c r="K48" s="67">
        <f t="shared" ref="K48" si="45">H48+I48+J48</f>
        <v>49394.8</v>
      </c>
      <c r="L48" s="66"/>
      <c r="M48" s="72"/>
      <c r="O48" s="103"/>
    </row>
    <row r="49" spans="1:15" ht="15.75" customHeight="1" x14ac:dyDescent="0.25">
      <c r="A49" s="61">
        <v>7</v>
      </c>
      <c r="B49" s="63" t="s">
        <v>279</v>
      </c>
      <c r="C49" s="59" t="s">
        <v>291</v>
      </c>
      <c r="D49" s="89">
        <v>22</v>
      </c>
      <c r="E49" s="69" t="s">
        <v>37</v>
      </c>
      <c r="F49" s="302">
        <v>460</v>
      </c>
      <c r="G49" s="65">
        <v>65</v>
      </c>
      <c r="H49" s="74">
        <f t="shared" ref="H49" si="46">F49*G49</f>
        <v>29900</v>
      </c>
      <c r="I49" s="67">
        <f t="shared" ref="I49" si="47">H49*9%</f>
        <v>2691</v>
      </c>
      <c r="J49" s="74">
        <f t="shared" ref="J49" si="48">I49</f>
        <v>2691</v>
      </c>
      <c r="K49" s="67">
        <f t="shared" ref="K49" si="49">H49+I49+J49</f>
        <v>35282</v>
      </c>
      <c r="L49" s="66"/>
      <c r="M49" s="72"/>
      <c r="O49" s="103"/>
    </row>
    <row r="50" spans="1:15" ht="15.75" customHeight="1" x14ac:dyDescent="0.25">
      <c r="A50" s="61">
        <v>8</v>
      </c>
      <c r="B50" s="63" t="s">
        <v>288</v>
      </c>
      <c r="C50" s="59" t="s">
        <v>261</v>
      </c>
      <c r="D50" s="89">
        <v>26</v>
      </c>
      <c r="E50" s="69" t="s">
        <v>37</v>
      </c>
      <c r="F50" s="302">
        <v>350</v>
      </c>
      <c r="G50" s="65">
        <v>75.5</v>
      </c>
      <c r="H50" s="74">
        <f t="shared" si="34"/>
        <v>26425</v>
      </c>
      <c r="I50" s="67">
        <f t="shared" si="35"/>
        <v>2378.25</v>
      </c>
      <c r="J50" s="74">
        <f t="shared" si="36"/>
        <v>2378.25</v>
      </c>
      <c r="K50" s="67">
        <f t="shared" si="37"/>
        <v>31181.5</v>
      </c>
      <c r="L50" s="66" t="s">
        <v>10</v>
      </c>
      <c r="M50" s="72" t="s">
        <v>212</v>
      </c>
      <c r="O50" s="103"/>
    </row>
    <row r="51" spans="1:15" ht="15.75" customHeight="1" x14ac:dyDescent="0.25">
      <c r="A51" s="61">
        <v>9</v>
      </c>
      <c r="B51" s="63" t="s">
        <v>15</v>
      </c>
      <c r="C51" s="59" t="s">
        <v>261</v>
      </c>
      <c r="D51" s="89">
        <v>24</v>
      </c>
      <c r="E51" s="69" t="s">
        <v>37</v>
      </c>
      <c r="F51" s="302">
        <f>500+459+584</f>
        <v>1543</v>
      </c>
      <c r="G51" s="65">
        <v>71.349999999999994</v>
      </c>
      <c r="H51" s="74">
        <f t="shared" si="34"/>
        <v>110093.04999999999</v>
      </c>
      <c r="I51" s="67">
        <f t="shared" si="35"/>
        <v>9908.3744999999981</v>
      </c>
      <c r="J51" s="74">
        <f t="shared" si="36"/>
        <v>9908.3744999999981</v>
      </c>
      <c r="K51" s="67">
        <f t="shared" si="37"/>
        <v>129909.799</v>
      </c>
      <c r="L51" s="66"/>
      <c r="M51" s="72" t="s">
        <v>289</v>
      </c>
      <c r="O51" s="103"/>
    </row>
    <row r="52" spans="1:15" ht="15.75" customHeight="1" x14ac:dyDescent="0.25">
      <c r="A52" s="61">
        <v>10</v>
      </c>
      <c r="B52" s="63" t="s">
        <v>15</v>
      </c>
      <c r="C52" s="59" t="s">
        <v>161</v>
      </c>
      <c r="D52" s="89">
        <v>24</v>
      </c>
      <c r="E52" s="69" t="s">
        <v>37</v>
      </c>
      <c r="F52" s="302">
        <f>(455*2)+420+270</f>
        <v>1600</v>
      </c>
      <c r="G52" s="65">
        <v>72.099999999999994</v>
      </c>
      <c r="H52" s="74">
        <f t="shared" ref="H52" si="50">F52*G52</f>
        <v>115359.99999999999</v>
      </c>
      <c r="I52" s="67">
        <f t="shared" ref="I52" si="51">H52*9%</f>
        <v>10382.399999999998</v>
      </c>
      <c r="J52" s="74">
        <f t="shared" ref="J52" si="52">I52</f>
        <v>10382.399999999998</v>
      </c>
      <c r="K52" s="67">
        <f t="shared" ref="K52" si="53">H52+I52+J52</f>
        <v>136124.79999999999</v>
      </c>
      <c r="L52" s="66" t="s">
        <v>10</v>
      </c>
      <c r="M52" s="72" t="s">
        <v>212</v>
      </c>
      <c r="O52" s="103"/>
    </row>
    <row r="53" spans="1:15" ht="15.75" customHeight="1" x14ac:dyDescent="0.25">
      <c r="A53" s="61">
        <v>11</v>
      </c>
      <c r="B53" s="63" t="s">
        <v>15</v>
      </c>
      <c r="C53" s="59" t="s">
        <v>161</v>
      </c>
      <c r="D53" s="89">
        <v>22</v>
      </c>
      <c r="E53" s="69" t="s">
        <v>37</v>
      </c>
      <c r="F53" s="302">
        <f>(486*2)+453+444+503+455+432+280</f>
        <v>3539</v>
      </c>
      <c r="G53" s="65">
        <v>70</v>
      </c>
      <c r="H53" s="74">
        <f t="shared" si="34"/>
        <v>247730</v>
      </c>
      <c r="I53" s="67">
        <f t="shared" si="35"/>
        <v>22295.7</v>
      </c>
      <c r="J53" s="74">
        <f t="shared" si="36"/>
        <v>22295.7</v>
      </c>
      <c r="K53" s="67">
        <f t="shared" si="37"/>
        <v>292321.40000000002</v>
      </c>
      <c r="L53" s="66" t="s">
        <v>10</v>
      </c>
      <c r="M53" s="72" t="s">
        <v>212</v>
      </c>
      <c r="O53" s="103"/>
    </row>
    <row r="54" spans="1:15" ht="15.75" customHeight="1" x14ac:dyDescent="0.25">
      <c r="A54" s="61">
        <v>12</v>
      </c>
      <c r="B54" s="63" t="s">
        <v>15</v>
      </c>
      <c r="C54" s="59" t="s">
        <v>161</v>
      </c>
      <c r="D54" s="89">
        <v>22</v>
      </c>
      <c r="E54" s="69" t="s">
        <v>37</v>
      </c>
      <c r="F54" s="302">
        <f>377+120</f>
        <v>497</v>
      </c>
      <c r="G54" s="65">
        <v>70.349999999999994</v>
      </c>
      <c r="H54" s="74">
        <f t="shared" ref="H54" si="54">F54*G54</f>
        <v>34963.949999999997</v>
      </c>
      <c r="I54" s="67">
        <f t="shared" ref="I54" si="55">H54*9%</f>
        <v>3146.7554999999998</v>
      </c>
      <c r="J54" s="74">
        <f t="shared" ref="J54" si="56">I54</f>
        <v>3146.7554999999998</v>
      </c>
      <c r="K54" s="67">
        <f t="shared" ref="K54" si="57">H54+I54+J54</f>
        <v>41257.460999999996</v>
      </c>
      <c r="L54" s="66"/>
      <c r="M54" s="72" t="s">
        <v>289</v>
      </c>
      <c r="O54" s="103"/>
    </row>
    <row r="55" spans="1:15" ht="15.75" customHeight="1" x14ac:dyDescent="0.25">
      <c r="A55" s="61">
        <v>13</v>
      </c>
      <c r="B55" s="63" t="s">
        <v>15</v>
      </c>
      <c r="C55" s="59" t="s">
        <v>161</v>
      </c>
      <c r="D55" s="89">
        <v>20</v>
      </c>
      <c r="E55" s="69" t="s">
        <v>37</v>
      </c>
      <c r="F55" s="302">
        <f>(439*12)+477+380</f>
        <v>6125</v>
      </c>
      <c r="G55" s="65">
        <v>71.099999999999994</v>
      </c>
      <c r="H55" s="74">
        <f t="shared" ref="H55:H60" si="58">F55*G55</f>
        <v>435487.49999999994</v>
      </c>
      <c r="I55" s="67">
        <f t="shared" ref="I55:I60" si="59">H55*9%</f>
        <v>39193.874999999993</v>
      </c>
      <c r="J55" s="74">
        <f t="shared" ref="J55:J60" si="60">I55</f>
        <v>39193.874999999993</v>
      </c>
      <c r="K55" s="67">
        <f t="shared" ref="K55:K60" si="61">H55+I55+J55</f>
        <v>513875.24999999994</v>
      </c>
      <c r="L55" s="66" t="s">
        <v>10</v>
      </c>
      <c r="M55" s="72" t="s">
        <v>212</v>
      </c>
      <c r="O55" s="103"/>
    </row>
    <row r="56" spans="1:15" ht="15.75" customHeight="1" x14ac:dyDescent="0.25">
      <c r="A56" s="61">
        <v>14</v>
      </c>
      <c r="B56" s="63" t="s">
        <v>15</v>
      </c>
      <c r="C56" s="59" t="s">
        <v>251</v>
      </c>
      <c r="D56" s="89">
        <v>24</v>
      </c>
      <c r="E56" s="69" t="s">
        <v>37</v>
      </c>
      <c r="F56" s="303">
        <f>(943*3)+674</f>
        <v>3503</v>
      </c>
      <c r="G56" s="65">
        <v>67.5</v>
      </c>
      <c r="H56" s="74">
        <f t="shared" si="58"/>
        <v>236452.5</v>
      </c>
      <c r="I56" s="67">
        <f t="shared" si="59"/>
        <v>21280.724999999999</v>
      </c>
      <c r="J56" s="74">
        <f t="shared" si="60"/>
        <v>21280.724999999999</v>
      </c>
      <c r="K56" s="67">
        <f t="shared" si="61"/>
        <v>279013.95</v>
      </c>
      <c r="L56" s="66" t="s">
        <v>10</v>
      </c>
      <c r="M56" s="72"/>
      <c r="O56" s="103"/>
    </row>
    <row r="57" spans="1:15" ht="15.75" customHeight="1" x14ac:dyDescent="0.25">
      <c r="A57" s="61">
        <v>15</v>
      </c>
      <c r="B57" s="63" t="s">
        <v>15</v>
      </c>
      <c r="C57" s="59" t="s">
        <v>252</v>
      </c>
      <c r="D57" s="89">
        <v>22</v>
      </c>
      <c r="E57" s="69" t="s">
        <v>37</v>
      </c>
      <c r="F57" s="303">
        <f>970*2</f>
        <v>1940</v>
      </c>
      <c r="G57" s="65">
        <f>72.25+0.06</f>
        <v>72.31</v>
      </c>
      <c r="H57" s="74">
        <f t="shared" si="58"/>
        <v>140281.4</v>
      </c>
      <c r="I57" s="67">
        <f t="shared" si="59"/>
        <v>12625.325999999999</v>
      </c>
      <c r="J57" s="74">
        <f t="shared" si="60"/>
        <v>12625.325999999999</v>
      </c>
      <c r="K57" s="67">
        <f t="shared" si="61"/>
        <v>165532.052</v>
      </c>
      <c r="L57" s="66" t="s">
        <v>10</v>
      </c>
      <c r="M57" s="72"/>
      <c r="O57" s="103"/>
    </row>
    <row r="58" spans="1:15" ht="15.75" customHeight="1" x14ac:dyDescent="0.25">
      <c r="A58" s="61">
        <v>16</v>
      </c>
      <c r="B58" s="63" t="s">
        <v>15</v>
      </c>
      <c r="C58" s="59" t="s">
        <v>253</v>
      </c>
      <c r="D58" s="89">
        <v>22</v>
      </c>
      <c r="E58" s="69" t="s">
        <v>37</v>
      </c>
      <c r="F58" s="303">
        <v>800</v>
      </c>
      <c r="G58" s="65">
        <f>72.25+0.06</f>
        <v>72.31</v>
      </c>
      <c r="H58" s="74">
        <f t="shared" si="58"/>
        <v>57848</v>
      </c>
      <c r="I58" s="67">
        <f t="shared" si="59"/>
        <v>5206.32</v>
      </c>
      <c r="J58" s="74">
        <f t="shared" si="60"/>
        <v>5206.32</v>
      </c>
      <c r="K58" s="67">
        <f t="shared" si="61"/>
        <v>68260.639999999999</v>
      </c>
      <c r="L58" s="66" t="s">
        <v>10</v>
      </c>
      <c r="M58" s="72"/>
      <c r="O58" s="103"/>
    </row>
    <row r="59" spans="1:15" ht="15.75" customHeight="1" x14ac:dyDescent="0.25">
      <c r="A59" s="61">
        <v>17</v>
      </c>
      <c r="B59" s="63" t="s">
        <v>15</v>
      </c>
      <c r="C59" s="59" t="s">
        <v>254</v>
      </c>
      <c r="D59" s="89">
        <v>22</v>
      </c>
      <c r="E59" s="69" t="s">
        <v>37</v>
      </c>
      <c r="F59" s="303">
        <f>921*2</f>
        <v>1842</v>
      </c>
      <c r="G59" s="65">
        <f>72.25+0.06</f>
        <v>72.31</v>
      </c>
      <c r="H59" s="74">
        <f t="shared" si="58"/>
        <v>133195.02000000002</v>
      </c>
      <c r="I59" s="67">
        <f t="shared" si="59"/>
        <v>11987.551800000001</v>
      </c>
      <c r="J59" s="74">
        <f t="shared" si="60"/>
        <v>11987.551800000001</v>
      </c>
      <c r="K59" s="67">
        <f t="shared" si="61"/>
        <v>157170.12360000005</v>
      </c>
      <c r="L59" s="66" t="s">
        <v>10</v>
      </c>
      <c r="M59" s="72"/>
      <c r="O59" s="103"/>
    </row>
    <row r="60" spans="1:15" ht="15.75" customHeight="1" thickBot="1" x14ac:dyDescent="0.3">
      <c r="A60" s="61">
        <v>18</v>
      </c>
      <c r="B60" s="63" t="s">
        <v>15</v>
      </c>
      <c r="C60" s="59" t="s">
        <v>255</v>
      </c>
      <c r="D60" s="89">
        <v>22</v>
      </c>
      <c r="E60" s="69" t="s">
        <v>37</v>
      </c>
      <c r="F60" s="303">
        <v>1225</v>
      </c>
      <c r="G60" s="65">
        <f>72.25+0.06</f>
        <v>72.31</v>
      </c>
      <c r="H60" s="74">
        <f t="shared" si="58"/>
        <v>88579.75</v>
      </c>
      <c r="I60" s="67">
        <f t="shared" si="59"/>
        <v>7972.1774999999998</v>
      </c>
      <c r="J60" s="74">
        <f t="shared" si="60"/>
        <v>7972.1774999999998</v>
      </c>
      <c r="K60" s="67">
        <f t="shared" si="61"/>
        <v>104524.10500000001</v>
      </c>
      <c r="L60" s="66" t="s">
        <v>10</v>
      </c>
      <c r="M60" s="72"/>
      <c r="O60" s="103"/>
    </row>
    <row r="61" spans="1:15" ht="21" customHeight="1" thickBot="1" x14ac:dyDescent="0.35">
      <c r="A61" s="26"/>
      <c r="B61" s="32"/>
      <c r="C61" s="28"/>
      <c r="D61" s="333" t="s">
        <v>8</v>
      </c>
      <c r="E61" s="334"/>
      <c r="F61" s="277">
        <f>SUM(F43:F60)</f>
        <v>72062</v>
      </c>
      <c r="G61" s="234"/>
      <c r="H61" s="235">
        <f>SUM(H43:H60)</f>
        <v>5144547.67</v>
      </c>
      <c r="I61" s="232">
        <f>SUM(I43:I60)</f>
        <v>463009.29029999999</v>
      </c>
      <c r="J61" s="232">
        <f>SUM(J43:J60)</f>
        <v>463009.29029999999</v>
      </c>
      <c r="K61" s="232">
        <f>SUM(K43:K60)</f>
        <v>6070566.2506000008</v>
      </c>
      <c r="L61" s="33"/>
      <c r="M61" s="31"/>
    </row>
    <row r="62" spans="1:15" ht="21" customHeight="1" x14ac:dyDescent="0.3">
      <c r="A62" s="14"/>
      <c r="B62" s="15"/>
      <c r="C62" s="16"/>
      <c r="D62" s="23"/>
      <c r="E62" s="23"/>
      <c r="F62" s="39"/>
      <c r="G62" s="23"/>
      <c r="H62" s="17"/>
      <c r="I62" s="17"/>
      <c r="J62" s="17"/>
      <c r="K62" s="9"/>
      <c r="L62" s="9"/>
    </row>
    <row r="63" spans="1:15" ht="15.75" customHeight="1" thickBot="1" x14ac:dyDescent="0.35">
      <c r="A63" s="14"/>
      <c r="B63" s="15"/>
      <c r="C63" s="16"/>
      <c r="D63" s="23"/>
      <c r="E63" s="23"/>
      <c r="F63" s="120"/>
      <c r="G63" s="22"/>
      <c r="H63" s="9"/>
      <c r="I63" s="9"/>
      <c r="J63" s="9"/>
      <c r="K63" s="9"/>
      <c r="L63" s="121"/>
    </row>
    <row r="64" spans="1:15" ht="15.75" hidden="1" customHeight="1" x14ac:dyDescent="0.25">
      <c r="A64" s="117">
        <v>1</v>
      </c>
      <c r="B64" s="109" t="s">
        <v>39</v>
      </c>
      <c r="C64" s="110" t="s">
        <v>127</v>
      </c>
      <c r="D64" s="111">
        <v>26</v>
      </c>
      <c r="E64" s="112" t="s">
        <v>37</v>
      </c>
      <c r="F64" s="113">
        <v>4270</v>
      </c>
      <c r="G64" s="105">
        <v>60</v>
      </c>
      <c r="H64" s="114">
        <f>F64*G64</f>
        <v>256200</v>
      </c>
      <c r="I64" s="115">
        <f>H64*9%</f>
        <v>23058</v>
      </c>
      <c r="J64" s="114">
        <f>I64</f>
        <v>23058</v>
      </c>
      <c r="K64" s="115">
        <f>H64+I64+J64</f>
        <v>302316</v>
      </c>
      <c r="L64" s="116"/>
      <c r="M64" s="112" t="s">
        <v>128</v>
      </c>
    </row>
    <row r="65" spans="1:15" ht="15.75" hidden="1" customHeight="1" x14ac:dyDescent="0.25">
      <c r="A65" s="117">
        <v>2</v>
      </c>
      <c r="B65" s="109" t="s">
        <v>39</v>
      </c>
      <c r="C65" s="110" t="s">
        <v>129</v>
      </c>
      <c r="D65" s="111">
        <v>24</v>
      </c>
      <c r="E65" s="112" t="s">
        <v>37</v>
      </c>
      <c r="F65" s="113">
        <v>1520</v>
      </c>
      <c r="G65" s="105">
        <v>64</v>
      </c>
      <c r="H65" s="114">
        <f>F65*G65</f>
        <v>97280</v>
      </c>
      <c r="I65" s="115">
        <f>H65*9%</f>
        <v>8755.1999999999989</v>
      </c>
      <c r="J65" s="114">
        <f>I65</f>
        <v>8755.1999999999989</v>
      </c>
      <c r="K65" s="115">
        <f>H65+I65+J65</f>
        <v>114790.39999999999</v>
      </c>
      <c r="L65" s="116"/>
      <c r="M65" s="112" t="s">
        <v>130</v>
      </c>
    </row>
    <row r="66" spans="1:15" ht="42.75" thickBot="1" x14ac:dyDescent="0.4">
      <c r="B66" s="176" t="s">
        <v>120</v>
      </c>
      <c r="F66" s="40"/>
      <c r="K66" s="25"/>
      <c r="L66" s="25"/>
    </row>
    <row r="67" spans="1:15" ht="17.25" thickBot="1" x14ac:dyDescent="0.3">
      <c r="A67" s="147" t="s">
        <v>0</v>
      </c>
      <c r="B67" s="161" t="s">
        <v>1</v>
      </c>
      <c r="C67" s="148" t="s">
        <v>2</v>
      </c>
      <c r="D67" s="149" t="s">
        <v>3</v>
      </c>
      <c r="E67" s="150" t="s">
        <v>4</v>
      </c>
      <c r="F67" s="153" t="s">
        <v>5</v>
      </c>
      <c r="G67" s="150" t="s">
        <v>6</v>
      </c>
      <c r="H67" s="151" t="s">
        <v>7</v>
      </c>
      <c r="I67" s="150" t="s">
        <v>16</v>
      </c>
      <c r="J67" s="151" t="s">
        <v>17</v>
      </c>
      <c r="K67" s="152" t="s">
        <v>8</v>
      </c>
      <c r="L67" s="151" t="s">
        <v>9</v>
      </c>
      <c r="M67" s="150" t="s">
        <v>58</v>
      </c>
    </row>
    <row r="68" spans="1:15" ht="15.75" x14ac:dyDescent="0.25">
      <c r="A68" s="60">
        <v>1</v>
      </c>
      <c r="B68" s="75" t="s">
        <v>39</v>
      </c>
      <c r="C68" s="58"/>
      <c r="D68" s="76">
        <v>26</v>
      </c>
      <c r="E68" s="77" t="s">
        <v>37</v>
      </c>
      <c r="F68" s="304">
        <v>1750</v>
      </c>
      <c r="G68" s="77">
        <v>95</v>
      </c>
      <c r="H68" s="78">
        <f t="shared" ref="H68:H72" si="62">F68*G68</f>
        <v>166250</v>
      </c>
      <c r="I68" s="71">
        <f t="shared" ref="I68:I72" si="63">H68*9%</f>
        <v>14962.5</v>
      </c>
      <c r="J68" s="78">
        <f t="shared" ref="J68:J72" si="64">I68</f>
        <v>14962.5</v>
      </c>
      <c r="K68" s="71">
        <f t="shared" ref="K68:K72" si="65">H68+I68+J68</f>
        <v>196175</v>
      </c>
      <c r="L68" s="78" t="s">
        <v>10</v>
      </c>
      <c r="M68" s="77" t="s">
        <v>286</v>
      </c>
      <c r="O68" s="103"/>
    </row>
    <row r="69" spans="1:15" ht="15.75" x14ac:dyDescent="0.25">
      <c r="A69" s="60">
        <v>2</v>
      </c>
      <c r="B69" s="75" t="s">
        <v>39</v>
      </c>
      <c r="C69" s="58" t="s">
        <v>187</v>
      </c>
      <c r="D69" s="76">
        <v>24</v>
      </c>
      <c r="E69" s="77" t="s">
        <v>37</v>
      </c>
      <c r="F69" s="304">
        <v>3223</v>
      </c>
      <c r="G69" s="77">
        <v>103</v>
      </c>
      <c r="H69" s="78">
        <f t="shared" si="62"/>
        <v>331969</v>
      </c>
      <c r="I69" s="71">
        <f t="shared" si="63"/>
        <v>29877.21</v>
      </c>
      <c r="J69" s="78">
        <f t="shared" si="64"/>
        <v>29877.21</v>
      </c>
      <c r="K69" s="71">
        <f t="shared" si="65"/>
        <v>391723.42000000004</v>
      </c>
      <c r="L69" s="78" t="s">
        <v>10</v>
      </c>
      <c r="M69" s="77" t="s">
        <v>290</v>
      </c>
      <c r="O69" s="103"/>
    </row>
    <row r="70" spans="1:15" ht="15.75" x14ac:dyDescent="0.25">
      <c r="A70" s="60">
        <v>3</v>
      </c>
      <c r="B70" s="75" t="s">
        <v>15</v>
      </c>
      <c r="C70" s="58" t="s">
        <v>121</v>
      </c>
      <c r="D70" s="245">
        <v>22</v>
      </c>
      <c r="E70" s="77" t="s">
        <v>37</v>
      </c>
      <c r="F70" s="304">
        <v>5110</v>
      </c>
      <c r="G70" s="77">
        <v>100</v>
      </c>
      <c r="H70" s="78">
        <f t="shared" si="62"/>
        <v>511000</v>
      </c>
      <c r="I70" s="71">
        <f t="shared" si="63"/>
        <v>45990</v>
      </c>
      <c r="J70" s="78">
        <f t="shared" si="64"/>
        <v>45990</v>
      </c>
      <c r="K70" s="71">
        <f t="shared" si="65"/>
        <v>602980</v>
      </c>
      <c r="L70" s="78" t="s">
        <v>10</v>
      </c>
      <c r="M70" s="77"/>
      <c r="O70" s="103"/>
    </row>
    <row r="71" spans="1:15" ht="15.75" x14ac:dyDescent="0.25">
      <c r="A71" s="60">
        <v>4</v>
      </c>
      <c r="B71" s="75" t="s">
        <v>15</v>
      </c>
      <c r="C71" s="58" t="s">
        <v>131</v>
      </c>
      <c r="D71" s="245">
        <v>22</v>
      </c>
      <c r="E71" s="77" t="s">
        <v>37</v>
      </c>
      <c r="F71" s="304">
        <v>4270</v>
      </c>
      <c r="G71" s="77">
        <v>100</v>
      </c>
      <c r="H71" s="78">
        <f t="shared" si="62"/>
        <v>427000</v>
      </c>
      <c r="I71" s="71">
        <f t="shared" si="63"/>
        <v>38430</v>
      </c>
      <c r="J71" s="78">
        <f t="shared" si="64"/>
        <v>38430</v>
      </c>
      <c r="K71" s="71">
        <f t="shared" si="65"/>
        <v>503860</v>
      </c>
      <c r="L71" s="78" t="s">
        <v>10</v>
      </c>
      <c r="M71" s="77"/>
      <c r="O71" s="103"/>
    </row>
    <row r="72" spans="1:15" ht="16.5" thickBot="1" x14ac:dyDescent="0.3">
      <c r="A72" s="60">
        <v>5</v>
      </c>
      <c r="B72" s="75" t="s">
        <v>15</v>
      </c>
      <c r="C72" s="58"/>
      <c r="D72" s="245">
        <v>18</v>
      </c>
      <c r="E72" s="77" t="s">
        <v>37</v>
      </c>
      <c r="F72" s="304">
        <v>1094</v>
      </c>
      <c r="G72" s="77">
        <v>58</v>
      </c>
      <c r="H72" s="78">
        <f t="shared" si="62"/>
        <v>63452</v>
      </c>
      <c r="I72" s="71">
        <f t="shared" si="63"/>
        <v>5710.6799999999994</v>
      </c>
      <c r="J72" s="78">
        <f t="shared" si="64"/>
        <v>5710.6799999999994</v>
      </c>
      <c r="K72" s="71">
        <f t="shared" si="65"/>
        <v>74873.359999999986</v>
      </c>
      <c r="L72" s="78" t="s">
        <v>10</v>
      </c>
      <c r="M72" s="77" t="s">
        <v>287</v>
      </c>
      <c r="O72" s="103"/>
    </row>
    <row r="73" spans="1:15" ht="19.5" thickBot="1" x14ac:dyDescent="0.35">
      <c r="A73" s="26"/>
      <c r="B73" s="34"/>
      <c r="C73" s="35"/>
      <c r="D73" s="333" t="s">
        <v>8</v>
      </c>
      <c r="E73" s="334"/>
      <c r="F73" s="233">
        <f>SUM(F68:F72)</f>
        <v>15447</v>
      </c>
      <c r="G73" s="234"/>
      <c r="H73" s="231">
        <f>SUM(H68:H72)</f>
        <v>1499671</v>
      </c>
      <c r="I73" s="232">
        <f>SUM(I68:I72)</f>
        <v>134970.38999999998</v>
      </c>
      <c r="J73" s="232">
        <f>SUM(J68:J72)</f>
        <v>134970.38999999998</v>
      </c>
      <c r="K73" s="232">
        <f>SUM(K68:K72)</f>
        <v>1769611.7799999998</v>
      </c>
      <c r="L73" s="36"/>
      <c r="M73" s="5"/>
    </row>
    <row r="74" spans="1:15" ht="15.75" thickBot="1" x14ac:dyDescent="0.3"/>
    <row r="75" spans="1:15" ht="21.75" thickBot="1" x14ac:dyDescent="0.4">
      <c r="B75" s="176" t="s">
        <v>136</v>
      </c>
      <c r="F75" s="40"/>
      <c r="K75" s="25"/>
      <c r="L75" s="25"/>
    </row>
    <row r="76" spans="1:15" ht="17.25" thickBot="1" x14ac:dyDescent="0.3">
      <c r="A76" s="147" t="s">
        <v>0</v>
      </c>
      <c r="B76" s="162" t="s">
        <v>1</v>
      </c>
      <c r="C76" s="155" t="s">
        <v>2</v>
      </c>
      <c r="D76" s="149" t="s">
        <v>3</v>
      </c>
      <c r="E76" s="156" t="s">
        <v>4</v>
      </c>
      <c r="F76" s="157" t="s">
        <v>5</v>
      </c>
      <c r="G76" s="156" t="s">
        <v>6</v>
      </c>
      <c r="H76" s="158" t="s">
        <v>7</v>
      </c>
      <c r="I76" s="156" t="s">
        <v>16</v>
      </c>
      <c r="J76" s="158" t="s">
        <v>17</v>
      </c>
      <c r="K76" s="159" t="s">
        <v>8</v>
      </c>
      <c r="L76" s="158" t="s">
        <v>9</v>
      </c>
      <c r="M76" s="156" t="s">
        <v>58</v>
      </c>
    </row>
    <row r="77" spans="1:15" ht="15.75" x14ac:dyDescent="0.25">
      <c r="A77" s="60">
        <v>1</v>
      </c>
      <c r="B77" s="75" t="s">
        <v>210</v>
      </c>
      <c r="C77" s="58"/>
      <c r="D77" s="76">
        <v>0.71</v>
      </c>
      <c r="E77" s="77" t="s">
        <v>37</v>
      </c>
      <c r="F77" s="300">
        <f>300+314+352+349+288+360+357+355+327+305+329+328+330+100</f>
        <v>4394</v>
      </c>
      <c r="G77" s="77">
        <v>376</v>
      </c>
      <c r="H77" s="78">
        <f t="shared" ref="H77:H81" si="66">F77*G77</f>
        <v>1652144</v>
      </c>
      <c r="I77" s="71">
        <f t="shared" ref="I77:I81" si="67">H77*9%</f>
        <v>148692.96</v>
      </c>
      <c r="J77" s="78">
        <f t="shared" ref="J77:J81" si="68">I77</f>
        <v>148692.96</v>
      </c>
      <c r="K77" s="71">
        <f t="shared" ref="K77:K81" si="69">H77+I77+J77</f>
        <v>1949529.92</v>
      </c>
      <c r="L77" s="78" t="s">
        <v>292</v>
      </c>
      <c r="M77" s="77"/>
    </row>
    <row r="78" spans="1:15" ht="15.75" x14ac:dyDescent="0.25">
      <c r="A78" s="60">
        <v>2</v>
      </c>
      <c r="B78" s="75" t="s">
        <v>210</v>
      </c>
      <c r="C78" s="58"/>
      <c r="D78" s="76">
        <v>0.71</v>
      </c>
      <c r="E78" s="77" t="s">
        <v>37</v>
      </c>
      <c r="F78" s="300">
        <v>277</v>
      </c>
      <c r="G78" s="77">
        <v>336</v>
      </c>
      <c r="H78" s="78">
        <f t="shared" ref="H78" si="70">F78*G78</f>
        <v>93072</v>
      </c>
      <c r="I78" s="71">
        <f t="shared" ref="I78" si="71">H78*9%</f>
        <v>8376.48</v>
      </c>
      <c r="J78" s="78">
        <f t="shared" ref="J78" si="72">I78</f>
        <v>8376.48</v>
      </c>
      <c r="K78" s="71">
        <f t="shared" ref="K78" si="73">H78+I78+J78</f>
        <v>109824.95999999999</v>
      </c>
      <c r="L78" s="78" t="s">
        <v>138</v>
      </c>
      <c r="M78" s="77"/>
    </row>
    <row r="79" spans="1:15" ht="15.75" x14ac:dyDescent="0.25">
      <c r="A79" s="60">
        <v>3</v>
      </c>
      <c r="B79" s="75" t="s">
        <v>211</v>
      </c>
      <c r="C79" s="58"/>
      <c r="D79" s="76">
        <v>0.91</v>
      </c>
      <c r="E79" s="77" t="s">
        <v>37</v>
      </c>
      <c r="F79" s="300">
        <f>307+318+288+355</f>
        <v>1268</v>
      </c>
      <c r="G79" s="77">
        <v>336</v>
      </c>
      <c r="H79" s="78">
        <f t="shared" si="66"/>
        <v>426048</v>
      </c>
      <c r="I79" s="71">
        <f t="shared" si="67"/>
        <v>38344.32</v>
      </c>
      <c r="J79" s="78">
        <f t="shared" si="68"/>
        <v>38344.32</v>
      </c>
      <c r="K79" s="71">
        <f t="shared" si="69"/>
        <v>502736.64000000001</v>
      </c>
      <c r="L79" s="78" t="s">
        <v>293</v>
      </c>
      <c r="M79" s="77"/>
    </row>
    <row r="80" spans="1:15" ht="15.75" x14ac:dyDescent="0.25">
      <c r="A80" s="60">
        <v>4</v>
      </c>
      <c r="B80" s="75" t="s">
        <v>211</v>
      </c>
      <c r="C80" s="58"/>
      <c r="D80" s="76">
        <v>0.91</v>
      </c>
      <c r="E80" s="77" t="s">
        <v>37</v>
      </c>
      <c r="F80" s="300">
        <f>293+265</f>
        <v>558</v>
      </c>
      <c r="G80" s="77">
        <v>319</v>
      </c>
      <c r="H80" s="78">
        <f t="shared" ref="H80" si="74">F80*G80</f>
        <v>178002</v>
      </c>
      <c r="I80" s="71">
        <f t="shared" ref="I80" si="75">H80*9%</f>
        <v>16020.18</v>
      </c>
      <c r="J80" s="78">
        <f t="shared" ref="J80" si="76">I80</f>
        <v>16020.18</v>
      </c>
      <c r="K80" s="71">
        <f t="shared" ref="K80" si="77">H80+I80+J80</f>
        <v>210042.36</v>
      </c>
      <c r="L80" s="78" t="s">
        <v>138</v>
      </c>
      <c r="M80" s="77"/>
    </row>
    <row r="81" spans="1:18" ht="16.5" thickBot="1" x14ac:dyDescent="0.3">
      <c r="A81" s="60">
        <v>5</v>
      </c>
      <c r="B81" s="75" t="s">
        <v>137</v>
      </c>
      <c r="C81" s="58"/>
      <c r="D81" s="294">
        <v>1.2</v>
      </c>
      <c r="E81" s="77" t="s">
        <v>37</v>
      </c>
      <c r="F81" s="300">
        <v>170</v>
      </c>
      <c r="G81" s="77">
        <v>297</v>
      </c>
      <c r="H81" s="78">
        <f t="shared" si="66"/>
        <v>50490</v>
      </c>
      <c r="I81" s="71">
        <f t="shared" si="67"/>
        <v>4544.0999999999995</v>
      </c>
      <c r="J81" s="78">
        <f t="shared" si="68"/>
        <v>4544.0999999999995</v>
      </c>
      <c r="K81" s="71">
        <f t="shared" si="69"/>
        <v>59578.2</v>
      </c>
      <c r="L81" s="78" t="s">
        <v>138</v>
      </c>
      <c r="M81" s="77"/>
    </row>
    <row r="82" spans="1:18" ht="19.5" thickBot="1" x14ac:dyDescent="0.35">
      <c r="A82" s="26"/>
      <c r="B82" s="34"/>
      <c r="C82" s="35"/>
      <c r="D82" s="333" t="s">
        <v>8</v>
      </c>
      <c r="E82" s="334"/>
      <c r="F82" s="233">
        <f>SUM(F77:F81)</f>
        <v>6667</v>
      </c>
      <c r="G82" s="234"/>
      <c r="H82" s="231">
        <f>SUM(H77:H81)</f>
        <v>2399756</v>
      </c>
      <c r="I82" s="232">
        <f>SUM(I77:I81)</f>
        <v>215978.04</v>
      </c>
      <c r="J82" s="232">
        <f>SUM(J77:J81)</f>
        <v>215978.04</v>
      </c>
      <c r="K82" s="232">
        <f>SUM(K77:K81)</f>
        <v>2831712.08</v>
      </c>
      <c r="L82" s="36"/>
      <c r="M82" s="5"/>
    </row>
    <row r="84" spans="1:18" ht="15.75" thickBot="1" x14ac:dyDescent="0.3"/>
    <row r="85" spans="1:18" ht="21.75" thickBot="1" x14ac:dyDescent="0.4">
      <c r="B85" s="175" t="s">
        <v>61</v>
      </c>
      <c r="C85" s="7"/>
      <c r="F85" s="38"/>
      <c r="G85" s="8"/>
      <c r="H85" s="4"/>
      <c r="I85" s="4"/>
      <c r="J85" s="4"/>
      <c r="K85" s="43"/>
      <c r="L85" s="43"/>
    </row>
    <row r="86" spans="1:18" ht="17.25" thickBot="1" x14ac:dyDescent="0.3">
      <c r="A86" s="147" t="s">
        <v>0</v>
      </c>
      <c r="B86" s="154" t="s">
        <v>1</v>
      </c>
      <c r="C86" s="155" t="s">
        <v>2</v>
      </c>
      <c r="D86" s="163" t="s">
        <v>3</v>
      </c>
      <c r="E86" s="156" t="s">
        <v>4</v>
      </c>
      <c r="F86" s="164" t="s">
        <v>5</v>
      </c>
      <c r="G86" s="156" t="s">
        <v>6</v>
      </c>
      <c r="H86" s="160" t="s">
        <v>7</v>
      </c>
      <c r="I86" s="156" t="s">
        <v>16</v>
      </c>
      <c r="J86" s="158" t="s">
        <v>17</v>
      </c>
      <c r="K86" s="159" t="s">
        <v>8</v>
      </c>
      <c r="L86" s="165" t="s">
        <v>9</v>
      </c>
      <c r="M86" s="156" t="s">
        <v>58</v>
      </c>
    </row>
    <row r="87" spans="1:18" ht="15.75" x14ac:dyDescent="0.25">
      <c r="A87" s="64">
        <v>1</v>
      </c>
      <c r="B87" s="73" t="s">
        <v>62</v>
      </c>
      <c r="C87" s="68" t="s">
        <v>134</v>
      </c>
      <c r="D87" s="82" t="s">
        <v>370</v>
      </c>
      <c r="E87" s="69" t="s">
        <v>92</v>
      </c>
      <c r="F87" s="317">
        <v>123</v>
      </c>
      <c r="G87" s="93">
        <v>65</v>
      </c>
      <c r="H87" s="91">
        <f t="shared" ref="H87" si="78">F87*G87</f>
        <v>7995</v>
      </c>
      <c r="I87" s="79">
        <f t="shared" ref="I87" si="79">H87*9%</f>
        <v>719.55</v>
      </c>
      <c r="J87" s="92">
        <f t="shared" ref="J87" si="80">I87</f>
        <v>719.55</v>
      </c>
      <c r="K87" s="91">
        <f t="shared" ref="K87" si="81">H87+I87+J87</f>
        <v>9434.0999999999985</v>
      </c>
      <c r="L87" s="80"/>
      <c r="M87" s="81" t="s">
        <v>371</v>
      </c>
      <c r="O87" s="4"/>
    </row>
    <row r="88" spans="1:18" ht="15.75" x14ac:dyDescent="0.25">
      <c r="A88" s="64">
        <v>2</v>
      </c>
      <c r="B88" s="73" t="s">
        <v>62</v>
      </c>
      <c r="C88" s="68" t="s">
        <v>134</v>
      </c>
      <c r="D88" s="82" t="s">
        <v>133</v>
      </c>
      <c r="E88" s="69" t="s">
        <v>92</v>
      </c>
      <c r="F88" s="317">
        <v>275</v>
      </c>
      <c r="G88" s="93">
        <v>60</v>
      </c>
      <c r="H88" s="91">
        <f t="shared" ref="H88" si="82">F88*G88</f>
        <v>16500</v>
      </c>
      <c r="I88" s="79">
        <f t="shared" ref="I88" si="83">H88*9%</f>
        <v>1485</v>
      </c>
      <c r="J88" s="92">
        <f t="shared" ref="J88" si="84">I88</f>
        <v>1485</v>
      </c>
      <c r="K88" s="91">
        <f t="shared" ref="K88" si="85">H88+I88+J88</f>
        <v>19470</v>
      </c>
      <c r="L88" s="80"/>
      <c r="M88" s="81" t="s">
        <v>368</v>
      </c>
      <c r="O88" s="4"/>
    </row>
    <row r="89" spans="1:18" ht="16.5" thickBot="1" x14ac:dyDescent="0.3">
      <c r="A89" s="64">
        <v>3</v>
      </c>
      <c r="B89" s="73" t="s">
        <v>152</v>
      </c>
      <c r="C89" s="68" t="s">
        <v>160</v>
      </c>
      <c r="D89" s="122" t="s">
        <v>155</v>
      </c>
      <c r="E89" s="69" t="s">
        <v>92</v>
      </c>
      <c r="F89" s="317">
        <v>332.8</v>
      </c>
      <c r="G89" s="93">
        <v>192</v>
      </c>
      <c r="H89" s="91">
        <f t="shared" ref="H89" si="86">F89*G89</f>
        <v>63897.600000000006</v>
      </c>
      <c r="I89" s="79">
        <f t="shared" ref="I89" si="87">H89*9%</f>
        <v>5750.7840000000006</v>
      </c>
      <c r="J89" s="92">
        <f t="shared" ref="J89" si="88">I89</f>
        <v>5750.7840000000006</v>
      </c>
      <c r="K89" s="91">
        <f t="shared" ref="K89" si="89">H89+I89+J89</f>
        <v>75399.168000000005</v>
      </c>
      <c r="L89" s="80"/>
      <c r="M89" s="81" t="s">
        <v>372</v>
      </c>
      <c r="O89" s="4"/>
      <c r="R89" s="103"/>
    </row>
    <row r="90" spans="1:18" ht="19.5" thickBot="1" x14ac:dyDescent="0.35">
      <c r="A90" s="5"/>
      <c r="B90" s="44"/>
      <c r="C90" s="45"/>
      <c r="D90" s="333" t="s">
        <v>8</v>
      </c>
      <c r="E90" s="334"/>
      <c r="F90" s="236">
        <f>SUM(F87:F89)</f>
        <v>730.8</v>
      </c>
      <c r="G90" s="234"/>
      <c r="H90" s="231">
        <f>SUM(H87:H89)</f>
        <v>88392.6</v>
      </c>
      <c r="I90" s="232">
        <f>SUM(I87:I89)</f>
        <v>7955.3340000000007</v>
      </c>
      <c r="J90" s="232">
        <f>SUM(J87:J89)</f>
        <v>7955.3340000000007</v>
      </c>
      <c r="K90" s="232">
        <f>SUM(K87:K89)</f>
        <v>104303.26800000001</v>
      </c>
      <c r="L90" s="46"/>
      <c r="M90" s="5"/>
    </row>
    <row r="91" spans="1:18" ht="15.75" thickBot="1" x14ac:dyDescent="0.3"/>
    <row r="92" spans="1:18" ht="21.75" thickBot="1" x14ac:dyDescent="0.4">
      <c r="B92" s="177" t="s">
        <v>20</v>
      </c>
      <c r="F92" s="40"/>
    </row>
    <row r="93" spans="1:18" ht="16.5" thickBot="1" x14ac:dyDescent="0.3">
      <c r="A93" s="156" t="s">
        <v>11</v>
      </c>
      <c r="B93" s="158" t="s">
        <v>12</v>
      </c>
      <c r="C93" s="156"/>
      <c r="D93" s="158"/>
      <c r="E93" s="156" t="s">
        <v>4</v>
      </c>
      <c r="F93" s="157" t="s">
        <v>75</v>
      </c>
      <c r="G93" s="156" t="s">
        <v>6</v>
      </c>
      <c r="H93" s="158" t="s">
        <v>7</v>
      </c>
      <c r="I93" s="156" t="s">
        <v>16</v>
      </c>
      <c r="J93" s="158" t="s">
        <v>17</v>
      </c>
      <c r="K93" s="159" t="s">
        <v>8</v>
      </c>
      <c r="L93" s="159"/>
      <c r="M93" s="160" t="s">
        <v>58</v>
      </c>
    </row>
    <row r="94" spans="1:18" ht="15.75" x14ac:dyDescent="0.25">
      <c r="A94" s="83">
        <v>1</v>
      </c>
      <c r="B94" s="143" t="s">
        <v>76</v>
      </c>
      <c r="C94" s="77" t="s">
        <v>77</v>
      </c>
      <c r="D94" s="265" t="s">
        <v>209</v>
      </c>
      <c r="E94" s="77" t="s">
        <v>14</v>
      </c>
      <c r="F94" s="305">
        <v>64500</v>
      </c>
      <c r="G94" s="83">
        <v>7.5</v>
      </c>
      <c r="H94" s="78">
        <f t="shared" ref="H94:H99" si="90">F94*G94</f>
        <v>483750</v>
      </c>
      <c r="I94" s="71">
        <f t="shared" ref="I94:I99" si="91">H94*9%</f>
        <v>43537.5</v>
      </c>
      <c r="J94" s="78">
        <f t="shared" ref="J94:J99" si="92">I94</f>
        <v>43537.5</v>
      </c>
      <c r="K94" s="71">
        <f t="shared" ref="K94:K99" si="93">H94+I94+J94</f>
        <v>570825</v>
      </c>
      <c r="L94" s="144"/>
      <c r="M94" s="145"/>
    </row>
    <row r="95" spans="1:18" ht="15.75" x14ac:dyDescent="0.25">
      <c r="A95" s="83">
        <v>2</v>
      </c>
      <c r="B95" s="143" t="s">
        <v>76</v>
      </c>
      <c r="C95" s="77" t="s">
        <v>77</v>
      </c>
      <c r="D95" s="265" t="s">
        <v>207</v>
      </c>
      <c r="E95" s="77" t="s">
        <v>14</v>
      </c>
      <c r="F95" s="305">
        <v>21000</v>
      </c>
      <c r="G95" s="83">
        <v>6.5</v>
      </c>
      <c r="H95" s="78">
        <f t="shared" si="90"/>
        <v>136500</v>
      </c>
      <c r="I95" s="71">
        <f t="shared" si="91"/>
        <v>12285</v>
      </c>
      <c r="J95" s="78">
        <f t="shared" si="92"/>
        <v>12285</v>
      </c>
      <c r="K95" s="71">
        <f t="shared" si="93"/>
        <v>161070</v>
      </c>
      <c r="L95" s="144"/>
      <c r="M95" s="145"/>
    </row>
    <row r="96" spans="1:18" ht="15.75" x14ac:dyDescent="0.25">
      <c r="A96" s="83">
        <v>3</v>
      </c>
      <c r="B96" s="143" t="s">
        <v>302</v>
      </c>
      <c r="C96" s="77" t="s">
        <v>117</v>
      </c>
      <c r="D96" s="265" t="s">
        <v>206</v>
      </c>
      <c r="E96" s="77" t="s">
        <v>14</v>
      </c>
      <c r="F96" s="305">
        <v>40000</v>
      </c>
      <c r="G96" s="83">
        <v>4.5</v>
      </c>
      <c r="H96" s="78">
        <f t="shared" si="90"/>
        <v>180000</v>
      </c>
      <c r="I96" s="71">
        <f t="shared" si="91"/>
        <v>16200</v>
      </c>
      <c r="J96" s="78">
        <f t="shared" si="92"/>
        <v>16200</v>
      </c>
      <c r="K96" s="71">
        <f t="shared" si="93"/>
        <v>212400</v>
      </c>
      <c r="L96" s="144"/>
      <c r="M96" s="145"/>
    </row>
    <row r="97" spans="1:17" ht="15.75" x14ac:dyDescent="0.25">
      <c r="A97" s="83">
        <v>4</v>
      </c>
      <c r="B97" s="118" t="s">
        <v>78</v>
      </c>
      <c r="C97" s="69" t="s">
        <v>151</v>
      </c>
      <c r="D97" s="266"/>
      <c r="E97" s="69" t="s">
        <v>73</v>
      </c>
      <c r="F97" s="306">
        <v>2529</v>
      </c>
      <c r="G97" s="87">
        <v>42</v>
      </c>
      <c r="H97" s="66">
        <f t="shared" si="90"/>
        <v>106218</v>
      </c>
      <c r="I97" s="67">
        <f t="shared" si="91"/>
        <v>9559.619999999999</v>
      </c>
      <c r="J97" s="66">
        <f t="shared" si="92"/>
        <v>9559.619999999999</v>
      </c>
      <c r="K97" s="67">
        <f t="shared" si="93"/>
        <v>125337.23999999999</v>
      </c>
      <c r="L97" s="142"/>
      <c r="M97" s="141"/>
    </row>
    <row r="98" spans="1:17" ht="15.75" x14ac:dyDescent="0.25">
      <c r="A98" s="83">
        <v>5</v>
      </c>
      <c r="B98" s="118" t="s">
        <v>78</v>
      </c>
      <c r="C98" s="69" t="s">
        <v>156</v>
      </c>
      <c r="D98" s="266"/>
      <c r="E98" s="69" t="s">
        <v>73</v>
      </c>
      <c r="F98" s="306">
        <v>400</v>
      </c>
      <c r="G98" s="87">
        <v>44</v>
      </c>
      <c r="H98" s="66">
        <f t="shared" si="90"/>
        <v>17600</v>
      </c>
      <c r="I98" s="67">
        <f t="shared" si="91"/>
        <v>1584</v>
      </c>
      <c r="J98" s="66">
        <f t="shared" si="92"/>
        <v>1584</v>
      </c>
      <c r="K98" s="67">
        <f t="shared" si="93"/>
        <v>20768</v>
      </c>
      <c r="L98" s="142"/>
      <c r="M98" s="141"/>
    </row>
    <row r="99" spans="1:17" ht="15.75" x14ac:dyDescent="0.25">
      <c r="A99" s="83">
        <v>6</v>
      </c>
      <c r="B99" s="118" t="s">
        <v>201</v>
      </c>
      <c r="C99" s="69"/>
      <c r="D99" s="266"/>
      <c r="E99" s="69" t="s">
        <v>73</v>
      </c>
      <c r="F99" s="306">
        <v>34</v>
      </c>
      <c r="G99" s="87">
        <v>320</v>
      </c>
      <c r="H99" s="66">
        <f t="shared" si="90"/>
        <v>10880</v>
      </c>
      <c r="I99" s="67">
        <f t="shared" si="91"/>
        <v>979.19999999999993</v>
      </c>
      <c r="J99" s="66">
        <f t="shared" si="92"/>
        <v>979.19999999999993</v>
      </c>
      <c r="K99" s="67">
        <f t="shared" si="93"/>
        <v>12838.400000000001</v>
      </c>
      <c r="L99" s="142"/>
      <c r="M99" s="141"/>
    </row>
    <row r="100" spans="1:17" ht="15.75" x14ac:dyDescent="0.25">
      <c r="A100" s="83">
        <v>7</v>
      </c>
      <c r="B100" s="118" t="s">
        <v>185</v>
      </c>
      <c r="C100" s="69"/>
      <c r="D100" s="266"/>
      <c r="E100" s="69" t="s">
        <v>14</v>
      </c>
      <c r="F100" s="306">
        <v>25</v>
      </c>
      <c r="G100" s="87">
        <v>90</v>
      </c>
      <c r="H100" s="66">
        <f t="shared" ref="H100:H101" si="94">F100*G100</f>
        <v>2250</v>
      </c>
      <c r="I100" s="67">
        <f t="shared" ref="I100:I101" si="95">H100*9%</f>
        <v>202.5</v>
      </c>
      <c r="J100" s="66">
        <f t="shared" ref="J100:J101" si="96">I100</f>
        <v>202.5</v>
      </c>
      <c r="K100" s="67">
        <f t="shared" ref="K100:K101" si="97">H100+I100+J100</f>
        <v>2655</v>
      </c>
      <c r="L100" s="142"/>
      <c r="M100" s="141"/>
    </row>
    <row r="101" spans="1:17" ht="16.5" thickBot="1" x14ac:dyDescent="0.3">
      <c r="A101" s="83">
        <v>8</v>
      </c>
      <c r="B101" s="118" t="s">
        <v>250</v>
      </c>
      <c r="C101" s="69"/>
      <c r="D101" s="266"/>
      <c r="E101" s="69" t="s">
        <v>92</v>
      </c>
      <c r="F101" s="306">
        <v>50</v>
      </c>
      <c r="G101" s="87">
        <v>180</v>
      </c>
      <c r="H101" s="66">
        <f t="shared" si="94"/>
        <v>9000</v>
      </c>
      <c r="I101" s="67">
        <f t="shared" si="95"/>
        <v>810</v>
      </c>
      <c r="J101" s="66">
        <f t="shared" si="96"/>
        <v>810</v>
      </c>
      <c r="K101" s="67">
        <f t="shared" si="97"/>
        <v>10620</v>
      </c>
      <c r="L101" s="142"/>
      <c r="M101" s="141"/>
    </row>
    <row r="102" spans="1:17" ht="19.5" thickBot="1" x14ac:dyDescent="0.35">
      <c r="A102" s="5"/>
      <c r="B102" s="54"/>
      <c r="C102" s="5"/>
      <c r="D102" s="328"/>
      <c r="E102" s="329"/>
      <c r="F102" s="55"/>
      <c r="G102" s="29"/>
      <c r="H102" s="235">
        <f>SUM(H94:H101)</f>
        <v>946198</v>
      </c>
      <c r="I102" s="232">
        <f>SUM(I94:I101)</f>
        <v>85157.819999999992</v>
      </c>
      <c r="J102" s="235">
        <f>SUM(J94:J101)</f>
        <v>85157.819999999992</v>
      </c>
      <c r="K102" s="232">
        <f>SUM(K94:K101)</f>
        <v>1116513.6399999999</v>
      </c>
      <c r="L102" s="232"/>
      <c r="M102" s="6"/>
    </row>
    <row r="103" spans="1:17" ht="19.5" thickBot="1" x14ac:dyDescent="0.35">
      <c r="B103" s="95"/>
      <c r="D103" s="23"/>
      <c r="E103" s="23"/>
      <c r="F103" s="39"/>
      <c r="G103" s="22"/>
      <c r="K103"/>
      <c r="L103"/>
      <c r="P103" s="18"/>
      <c r="Q103" s="18"/>
    </row>
    <row r="104" spans="1:17" ht="21.75" thickBot="1" x14ac:dyDescent="0.4">
      <c r="B104" s="177" t="s">
        <v>108</v>
      </c>
      <c r="F104" s="40"/>
      <c r="P104" s="18"/>
      <c r="Q104" s="18"/>
    </row>
    <row r="105" spans="1:17" ht="16.5" thickBot="1" x14ac:dyDescent="0.3">
      <c r="A105" s="156" t="s">
        <v>11</v>
      </c>
      <c r="B105" s="158" t="s">
        <v>12</v>
      </c>
      <c r="C105" s="156"/>
      <c r="D105" s="160"/>
      <c r="E105" s="156" t="s">
        <v>4</v>
      </c>
      <c r="F105" s="164" t="s">
        <v>75</v>
      </c>
      <c r="G105" s="156" t="s">
        <v>6</v>
      </c>
      <c r="H105" s="160" t="s">
        <v>7</v>
      </c>
      <c r="I105" s="156" t="s">
        <v>16</v>
      </c>
      <c r="J105" s="158" t="s">
        <v>17</v>
      </c>
      <c r="K105" s="159" t="s">
        <v>8</v>
      </c>
      <c r="L105" s="165"/>
      <c r="M105" s="156" t="s">
        <v>58</v>
      </c>
    </row>
    <row r="106" spans="1:17" ht="15.75" x14ac:dyDescent="0.25">
      <c r="A106" s="83">
        <v>1</v>
      </c>
      <c r="B106" s="84" t="s">
        <v>110</v>
      </c>
      <c r="C106" s="77" t="s">
        <v>139</v>
      </c>
      <c r="D106" s="85"/>
      <c r="E106" s="83" t="s">
        <v>14</v>
      </c>
      <c r="F106" s="267">
        <v>1980</v>
      </c>
      <c r="G106" s="83">
        <v>34</v>
      </c>
      <c r="H106" s="70">
        <f t="shared" ref="H106:H112" si="98">F106*G106</f>
        <v>67320</v>
      </c>
      <c r="I106" s="71">
        <f t="shared" ref="I106:I112" si="99">H106*9%</f>
        <v>6058.8</v>
      </c>
      <c r="J106" s="70">
        <f t="shared" ref="J106:J112" si="100">I106</f>
        <v>6058.8</v>
      </c>
      <c r="K106" s="71">
        <f t="shared" ref="K106:K112" si="101">H106+I106+J106</f>
        <v>79437.600000000006</v>
      </c>
      <c r="L106" s="86"/>
      <c r="M106" s="83"/>
    </row>
    <row r="107" spans="1:17" ht="15.75" x14ac:dyDescent="0.25">
      <c r="A107" s="83">
        <v>2</v>
      </c>
      <c r="B107" s="84" t="s">
        <v>110</v>
      </c>
      <c r="C107" s="77" t="s">
        <v>153</v>
      </c>
      <c r="D107" s="85"/>
      <c r="E107" s="83" t="s">
        <v>14</v>
      </c>
      <c r="F107" s="286">
        <v>1600</v>
      </c>
      <c r="G107" s="83">
        <v>34</v>
      </c>
      <c r="H107" s="70">
        <f t="shared" si="98"/>
        <v>54400</v>
      </c>
      <c r="I107" s="71">
        <f t="shared" si="99"/>
        <v>4896</v>
      </c>
      <c r="J107" s="70">
        <f t="shared" si="100"/>
        <v>4896</v>
      </c>
      <c r="K107" s="71">
        <f t="shared" si="101"/>
        <v>64192</v>
      </c>
      <c r="L107" s="86"/>
      <c r="M107" s="83"/>
    </row>
    <row r="108" spans="1:17" ht="15.75" x14ac:dyDescent="0.25">
      <c r="A108" s="83">
        <v>3</v>
      </c>
      <c r="B108" s="88" t="s">
        <v>176</v>
      </c>
      <c r="C108" s="69"/>
      <c r="D108" s="89" t="s">
        <v>177</v>
      </c>
      <c r="E108" s="83" t="s">
        <v>14</v>
      </c>
      <c r="F108" s="268">
        <v>866</v>
      </c>
      <c r="G108" s="87">
        <v>23</v>
      </c>
      <c r="H108" s="74">
        <f t="shared" si="98"/>
        <v>19918</v>
      </c>
      <c r="I108" s="67">
        <f t="shared" si="99"/>
        <v>1792.62</v>
      </c>
      <c r="J108" s="74">
        <f t="shared" si="100"/>
        <v>1792.62</v>
      </c>
      <c r="K108" s="67">
        <f t="shared" si="101"/>
        <v>23503.239999999998</v>
      </c>
      <c r="L108" s="90"/>
      <c r="M108" s="87"/>
    </row>
    <row r="109" spans="1:17" ht="15.75" x14ac:dyDescent="0.25">
      <c r="A109" s="83">
        <v>4</v>
      </c>
      <c r="B109" s="88" t="s">
        <v>140</v>
      </c>
      <c r="C109" s="69"/>
      <c r="D109" s="89" t="s">
        <v>178</v>
      </c>
      <c r="E109" s="83" t="s">
        <v>14</v>
      </c>
      <c r="F109" s="287"/>
      <c r="G109" s="87">
        <v>13.5</v>
      </c>
      <c r="H109" s="74">
        <f t="shared" si="98"/>
        <v>0</v>
      </c>
      <c r="I109" s="67">
        <f t="shared" si="99"/>
        <v>0</v>
      </c>
      <c r="J109" s="74">
        <f t="shared" si="100"/>
        <v>0</v>
      </c>
      <c r="K109" s="67">
        <f t="shared" si="101"/>
        <v>0</v>
      </c>
      <c r="L109" s="90"/>
      <c r="M109" s="87"/>
    </row>
    <row r="110" spans="1:17" ht="15.75" x14ac:dyDescent="0.25">
      <c r="A110" s="83">
        <v>5</v>
      </c>
      <c r="B110" s="88" t="s">
        <v>140</v>
      </c>
      <c r="C110" s="69"/>
      <c r="D110" s="89" t="s">
        <v>177</v>
      </c>
      <c r="E110" s="83" t="s">
        <v>14</v>
      </c>
      <c r="F110" s="287"/>
      <c r="G110" s="87">
        <v>23</v>
      </c>
      <c r="H110" s="74">
        <f t="shared" si="98"/>
        <v>0</v>
      </c>
      <c r="I110" s="67">
        <f t="shared" si="99"/>
        <v>0</v>
      </c>
      <c r="J110" s="74">
        <f t="shared" si="100"/>
        <v>0</v>
      </c>
      <c r="K110" s="67">
        <f t="shared" si="101"/>
        <v>0</v>
      </c>
      <c r="L110" s="90"/>
      <c r="M110" s="87"/>
    </row>
    <row r="111" spans="1:17" ht="15.75" x14ac:dyDescent="0.25">
      <c r="A111" s="83">
        <v>6</v>
      </c>
      <c r="B111" s="88" t="s">
        <v>111</v>
      </c>
      <c r="C111" s="69" t="s">
        <v>139</v>
      </c>
      <c r="D111" s="89"/>
      <c r="E111" s="83" t="s">
        <v>14</v>
      </c>
      <c r="F111" s="268">
        <v>3600</v>
      </c>
      <c r="G111" s="87">
        <v>1.6</v>
      </c>
      <c r="H111" s="74">
        <f t="shared" si="98"/>
        <v>5760</v>
      </c>
      <c r="I111" s="67">
        <f t="shared" si="99"/>
        <v>518.4</v>
      </c>
      <c r="J111" s="74">
        <f t="shared" si="100"/>
        <v>518.4</v>
      </c>
      <c r="K111" s="67">
        <f t="shared" si="101"/>
        <v>6796.7999999999993</v>
      </c>
      <c r="L111" s="90"/>
      <c r="M111" s="87"/>
    </row>
    <row r="112" spans="1:17" ht="15.75" x14ac:dyDescent="0.25">
      <c r="A112" s="83">
        <v>7</v>
      </c>
      <c r="B112" s="88" t="s">
        <v>111</v>
      </c>
      <c r="C112" s="69" t="s">
        <v>153</v>
      </c>
      <c r="D112" s="89"/>
      <c r="E112" s="83" t="s">
        <v>14</v>
      </c>
      <c r="F112" s="287">
        <v>2500</v>
      </c>
      <c r="G112" s="87">
        <v>1.5</v>
      </c>
      <c r="H112" s="74">
        <f t="shared" si="98"/>
        <v>3750</v>
      </c>
      <c r="I112" s="67">
        <f t="shared" si="99"/>
        <v>337.5</v>
      </c>
      <c r="J112" s="74">
        <f t="shared" si="100"/>
        <v>337.5</v>
      </c>
      <c r="K112" s="67">
        <f t="shared" si="101"/>
        <v>4425</v>
      </c>
      <c r="L112" s="90"/>
      <c r="M112" s="87"/>
    </row>
    <row r="113" spans="1:13" ht="15.75" x14ac:dyDescent="0.25">
      <c r="A113" s="83">
        <v>8</v>
      </c>
      <c r="B113" s="88" t="s">
        <v>112</v>
      </c>
      <c r="C113" s="69" t="s">
        <v>139</v>
      </c>
      <c r="D113" s="89"/>
      <c r="E113" s="83" t="s">
        <v>14</v>
      </c>
      <c r="F113" s="268">
        <v>3700</v>
      </c>
      <c r="G113" s="87">
        <v>1.6</v>
      </c>
      <c r="H113" s="74">
        <f t="shared" ref="H113:H116" si="102">F113*G113</f>
        <v>5920</v>
      </c>
      <c r="I113" s="67">
        <f t="shared" ref="I113:I116" si="103">H113*9%</f>
        <v>532.79999999999995</v>
      </c>
      <c r="J113" s="74">
        <f t="shared" ref="J113:J116" si="104">I113</f>
        <v>532.79999999999995</v>
      </c>
      <c r="K113" s="67">
        <f t="shared" ref="K113:K116" si="105">H113+I113+J113</f>
        <v>6985.6</v>
      </c>
      <c r="L113" s="90"/>
      <c r="M113" s="87"/>
    </row>
    <row r="114" spans="1:13" ht="15.75" x14ac:dyDescent="0.25">
      <c r="A114" s="83">
        <v>9</v>
      </c>
      <c r="B114" s="88" t="s">
        <v>112</v>
      </c>
      <c r="C114" s="69" t="s">
        <v>153</v>
      </c>
      <c r="D114" s="89"/>
      <c r="E114" s="83" t="s">
        <v>14</v>
      </c>
      <c r="F114" s="287">
        <v>1000</v>
      </c>
      <c r="G114" s="87">
        <v>1.5</v>
      </c>
      <c r="H114" s="74">
        <f t="shared" si="102"/>
        <v>1500</v>
      </c>
      <c r="I114" s="67">
        <f t="shared" si="103"/>
        <v>135</v>
      </c>
      <c r="J114" s="74">
        <f t="shared" si="104"/>
        <v>135</v>
      </c>
      <c r="K114" s="67">
        <f t="shared" si="105"/>
        <v>1770</v>
      </c>
      <c r="L114" s="90"/>
      <c r="M114" s="87"/>
    </row>
    <row r="115" spans="1:13" ht="15.75" x14ac:dyDescent="0.25">
      <c r="A115" s="83">
        <v>10</v>
      </c>
      <c r="B115" s="88" t="s">
        <v>215</v>
      </c>
      <c r="C115" s="69"/>
      <c r="D115" s="89" t="s">
        <v>180</v>
      </c>
      <c r="E115" s="87" t="s">
        <v>92</v>
      </c>
      <c r="F115" s="268">
        <f>122*5.5</f>
        <v>671</v>
      </c>
      <c r="G115" s="87">
        <v>315</v>
      </c>
      <c r="H115" s="74">
        <f t="shared" si="102"/>
        <v>211365</v>
      </c>
      <c r="I115" s="67">
        <f t="shared" si="103"/>
        <v>19022.849999999999</v>
      </c>
      <c r="J115" s="74">
        <f t="shared" si="104"/>
        <v>19022.849999999999</v>
      </c>
      <c r="K115" s="67">
        <f t="shared" si="105"/>
        <v>249410.7</v>
      </c>
      <c r="L115" s="90"/>
      <c r="M115" s="87" t="s">
        <v>295</v>
      </c>
    </row>
    <row r="116" spans="1:13" ht="15.75" x14ac:dyDescent="0.25">
      <c r="A116" s="83">
        <v>11</v>
      </c>
      <c r="B116" s="88" t="s">
        <v>142</v>
      </c>
      <c r="C116" s="69" t="s">
        <v>139</v>
      </c>
      <c r="D116" s="89"/>
      <c r="E116" s="87" t="s">
        <v>92</v>
      </c>
      <c r="F116" s="287">
        <v>30</v>
      </c>
      <c r="G116" s="87">
        <v>327.5</v>
      </c>
      <c r="H116" s="74">
        <f t="shared" si="102"/>
        <v>9825</v>
      </c>
      <c r="I116" s="67">
        <f t="shared" si="103"/>
        <v>884.25</v>
      </c>
      <c r="J116" s="74">
        <f t="shared" si="104"/>
        <v>884.25</v>
      </c>
      <c r="K116" s="67">
        <f t="shared" si="105"/>
        <v>11593.5</v>
      </c>
      <c r="L116" s="90"/>
      <c r="M116" s="87"/>
    </row>
    <row r="117" spans="1:13" ht="16.5" thickBot="1" x14ac:dyDescent="0.3">
      <c r="A117" s="83">
        <v>12</v>
      </c>
      <c r="B117" s="88" t="s">
        <v>113</v>
      </c>
      <c r="C117" s="69" t="s">
        <v>141</v>
      </c>
      <c r="D117" s="88"/>
      <c r="E117" s="87" t="s">
        <v>92</v>
      </c>
      <c r="F117" s="287">
        <v>46.5</v>
      </c>
      <c r="G117" s="87">
        <v>290</v>
      </c>
      <c r="H117" s="74">
        <f t="shared" ref="H117" si="106">F117*G117</f>
        <v>13485</v>
      </c>
      <c r="I117" s="67">
        <f t="shared" ref="I117" si="107">H117*9%</f>
        <v>1213.6499999999999</v>
      </c>
      <c r="J117" s="74">
        <f t="shared" ref="J117" si="108">I117</f>
        <v>1213.6499999999999</v>
      </c>
      <c r="K117" s="67">
        <f t="shared" ref="K117" si="109">H117+I117+J117</f>
        <v>15912.3</v>
      </c>
      <c r="L117" s="90"/>
      <c r="M117" s="87" t="s">
        <v>186</v>
      </c>
    </row>
    <row r="118" spans="1:13" ht="19.5" thickBot="1" x14ac:dyDescent="0.35">
      <c r="A118" s="5"/>
      <c r="B118" s="54"/>
      <c r="C118" s="5"/>
      <c r="D118" s="328"/>
      <c r="E118" s="329"/>
      <c r="F118" s="55"/>
      <c r="G118" s="29"/>
      <c r="H118" s="235">
        <f>SUM(H106:H117)</f>
        <v>393243</v>
      </c>
      <c r="I118" s="232">
        <f>SUM(I106:I117)</f>
        <v>35391.869999999995</v>
      </c>
      <c r="J118" s="235">
        <f>SUM(J106:J117)</f>
        <v>35391.869999999995</v>
      </c>
      <c r="K118" s="232">
        <f>SUM(K106:K117)</f>
        <v>464026.74</v>
      </c>
      <c r="L118" s="235"/>
      <c r="M118" s="5"/>
    </row>
    <row r="119" spans="1:13" ht="15.75" thickBot="1" x14ac:dyDescent="0.3">
      <c r="J119" s="18"/>
      <c r="L119"/>
    </row>
    <row r="120" spans="1:13" ht="23.25" customHeight="1" thickBot="1" x14ac:dyDescent="0.4">
      <c r="B120" s="178" t="s">
        <v>93</v>
      </c>
      <c r="K120"/>
      <c r="L120"/>
    </row>
    <row r="121" spans="1:13" ht="19.5" thickBot="1" x14ac:dyDescent="0.35">
      <c r="A121" s="166" t="s">
        <v>11</v>
      </c>
      <c r="B121" s="167" t="s">
        <v>12</v>
      </c>
      <c r="C121" s="168" t="s">
        <v>41</v>
      </c>
      <c r="D121" s="156"/>
      <c r="E121" s="156" t="s">
        <v>4</v>
      </c>
      <c r="F121" s="164" t="s">
        <v>75</v>
      </c>
      <c r="G121" s="156" t="s">
        <v>6</v>
      </c>
      <c r="H121" s="160" t="s">
        <v>7</v>
      </c>
      <c r="I121" s="156" t="s">
        <v>16</v>
      </c>
      <c r="J121" s="158" t="s">
        <v>17</v>
      </c>
      <c r="K121" s="159" t="s">
        <v>8</v>
      </c>
      <c r="L121" s="165"/>
      <c r="M121" s="156" t="s">
        <v>58</v>
      </c>
    </row>
    <row r="122" spans="1:13" ht="15.75" x14ac:dyDescent="0.25">
      <c r="A122" s="10">
        <v>1</v>
      </c>
      <c r="B122" s="13" t="s">
        <v>216</v>
      </c>
      <c r="C122" s="278" t="s">
        <v>217</v>
      </c>
      <c r="D122" s="77"/>
      <c r="E122" s="3" t="s">
        <v>14</v>
      </c>
      <c r="F122" s="288"/>
      <c r="G122" s="101">
        <v>5.8</v>
      </c>
      <c r="H122" s="13">
        <f t="shared" ref="H122:H133" si="110">F122*G122</f>
        <v>0</v>
      </c>
      <c r="I122" s="2">
        <f t="shared" ref="I122:I133" si="111">H122*9%</f>
        <v>0</v>
      </c>
      <c r="J122" s="13">
        <f t="shared" ref="J122:J133" si="112">H122*9%</f>
        <v>0</v>
      </c>
      <c r="K122" s="11">
        <f t="shared" ref="K122:K133" si="113">H122+I122+J122</f>
        <v>0</v>
      </c>
      <c r="L122"/>
      <c r="M122" s="2"/>
    </row>
    <row r="123" spans="1:13" ht="15.75" x14ac:dyDescent="0.25">
      <c r="A123" s="10">
        <v>2</v>
      </c>
      <c r="B123" s="13" t="s">
        <v>216</v>
      </c>
      <c r="C123" s="278" t="s">
        <v>221</v>
      </c>
      <c r="D123" s="77"/>
      <c r="E123" s="3" t="s">
        <v>14</v>
      </c>
      <c r="F123" s="289"/>
      <c r="G123" s="101">
        <v>7.17</v>
      </c>
      <c r="H123" s="13">
        <f t="shared" si="110"/>
        <v>0</v>
      </c>
      <c r="I123" s="2">
        <f t="shared" si="111"/>
        <v>0</v>
      </c>
      <c r="J123" s="13">
        <f t="shared" si="112"/>
        <v>0</v>
      </c>
      <c r="K123" s="11">
        <f t="shared" si="113"/>
        <v>0</v>
      </c>
      <c r="L123"/>
      <c r="M123" s="2"/>
    </row>
    <row r="124" spans="1:13" ht="15.75" x14ac:dyDescent="0.25">
      <c r="A124" s="10">
        <v>3</v>
      </c>
      <c r="B124" s="13" t="s">
        <v>216</v>
      </c>
      <c r="C124" s="278" t="s">
        <v>218</v>
      </c>
      <c r="D124" s="77"/>
      <c r="E124" s="3" t="s">
        <v>14</v>
      </c>
      <c r="F124" s="290"/>
      <c r="G124" s="101">
        <v>11</v>
      </c>
      <c r="H124" s="13">
        <f t="shared" si="110"/>
        <v>0</v>
      </c>
      <c r="I124" s="2">
        <f t="shared" si="111"/>
        <v>0</v>
      </c>
      <c r="J124" s="13">
        <f t="shared" si="112"/>
        <v>0</v>
      </c>
      <c r="K124" s="11">
        <f t="shared" si="113"/>
        <v>0</v>
      </c>
      <c r="L124"/>
      <c r="M124" s="2"/>
    </row>
    <row r="125" spans="1:13" ht="15.75" x14ac:dyDescent="0.25">
      <c r="A125" s="10">
        <v>4</v>
      </c>
      <c r="B125" s="13" t="s">
        <v>216</v>
      </c>
      <c r="C125" s="278" t="s">
        <v>222</v>
      </c>
      <c r="D125" s="77"/>
      <c r="E125" s="3" t="s">
        <v>14</v>
      </c>
      <c r="F125" s="290"/>
      <c r="G125" s="101">
        <v>13</v>
      </c>
      <c r="H125" s="13">
        <f t="shared" si="110"/>
        <v>0</v>
      </c>
      <c r="I125" s="2">
        <f t="shared" si="111"/>
        <v>0</v>
      </c>
      <c r="J125" s="13">
        <f t="shared" si="112"/>
        <v>0</v>
      </c>
      <c r="K125" s="11">
        <f t="shared" si="113"/>
        <v>0</v>
      </c>
      <c r="L125"/>
      <c r="M125" s="2"/>
    </row>
    <row r="126" spans="1:13" ht="15.75" x14ac:dyDescent="0.25">
      <c r="A126" s="10">
        <v>5</v>
      </c>
      <c r="B126" s="13" t="s">
        <v>216</v>
      </c>
      <c r="C126" s="278" t="s">
        <v>223</v>
      </c>
      <c r="D126" s="77"/>
      <c r="E126" s="3" t="s">
        <v>14</v>
      </c>
      <c r="F126" s="290"/>
      <c r="G126" s="101">
        <v>14.5</v>
      </c>
      <c r="H126" s="13">
        <f t="shared" si="110"/>
        <v>0</v>
      </c>
      <c r="I126" s="2">
        <f t="shared" si="111"/>
        <v>0</v>
      </c>
      <c r="J126" s="13">
        <f t="shared" si="112"/>
        <v>0</v>
      </c>
      <c r="K126" s="11">
        <f t="shared" si="113"/>
        <v>0</v>
      </c>
      <c r="L126"/>
      <c r="M126" s="2"/>
    </row>
    <row r="127" spans="1:13" ht="15.75" x14ac:dyDescent="0.25">
      <c r="A127" s="10">
        <v>6</v>
      </c>
      <c r="B127" s="13" t="s">
        <v>224</v>
      </c>
      <c r="C127" s="280" t="s">
        <v>225</v>
      </c>
      <c r="D127" s="77"/>
      <c r="E127" s="3" t="s">
        <v>92</v>
      </c>
      <c r="F127" s="279">
        <v>325</v>
      </c>
      <c r="G127" s="101">
        <v>78</v>
      </c>
      <c r="H127" s="13">
        <f t="shared" si="110"/>
        <v>25350</v>
      </c>
      <c r="I127" s="2">
        <f t="shared" si="111"/>
        <v>2281.5</v>
      </c>
      <c r="J127" s="13">
        <f t="shared" si="112"/>
        <v>2281.5</v>
      </c>
      <c r="K127" s="11">
        <f t="shared" si="113"/>
        <v>29913</v>
      </c>
      <c r="L127"/>
      <c r="M127" s="2"/>
    </row>
    <row r="128" spans="1:13" ht="15.75" x14ac:dyDescent="0.25">
      <c r="A128" s="10">
        <v>7</v>
      </c>
      <c r="B128" s="13" t="s">
        <v>216</v>
      </c>
      <c r="C128" s="280" t="s">
        <v>225</v>
      </c>
      <c r="D128" s="77"/>
      <c r="E128" s="3" t="s">
        <v>14</v>
      </c>
      <c r="F128" s="279">
        <v>86</v>
      </c>
      <c r="G128" s="101">
        <v>55</v>
      </c>
      <c r="H128" s="13">
        <f t="shared" si="110"/>
        <v>4730</v>
      </c>
      <c r="I128" s="2">
        <f t="shared" si="111"/>
        <v>425.7</v>
      </c>
      <c r="J128" s="13">
        <f t="shared" si="112"/>
        <v>425.7</v>
      </c>
      <c r="K128" s="11">
        <f t="shared" si="113"/>
        <v>5581.4</v>
      </c>
      <c r="L128"/>
      <c r="M128" s="2"/>
    </row>
    <row r="129" spans="1:13" ht="15.75" x14ac:dyDescent="0.25">
      <c r="A129" s="10">
        <v>8</v>
      </c>
      <c r="B129" s="13" t="s">
        <v>216</v>
      </c>
      <c r="C129" s="278" t="s">
        <v>219</v>
      </c>
      <c r="D129" s="77"/>
      <c r="E129" s="3" t="s">
        <v>14</v>
      </c>
      <c r="F129" s="290"/>
      <c r="G129" s="101">
        <v>14.5</v>
      </c>
      <c r="H129" s="13">
        <f t="shared" si="110"/>
        <v>0</v>
      </c>
      <c r="I129" s="2">
        <f t="shared" si="111"/>
        <v>0</v>
      </c>
      <c r="J129" s="13">
        <f t="shared" si="112"/>
        <v>0</v>
      </c>
      <c r="K129" s="11">
        <f t="shared" si="113"/>
        <v>0</v>
      </c>
      <c r="L129"/>
      <c r="M129" s="2"/>
    </row>
    <row r="130" spans="1:13" ht="15.75" x14ac:dyDescent="0.25">
      <c r="A130" s="10">
        <v>9</v>
      </c>
      <c r="B130" s="13" t="s">
        <v>216</v>
      </c>
      <c r="C130" s="278" t="s">
        <v>226</v>
      </c>
      <c r="D130" s="77"/>
      <c r="E130" s="3" t="s">
        <v>14</v>
      </c>
      <c r="F130" s="290"/>
      <c r="G130" s="101"/>
      <c r="H130" s="13">
        <f t="shared" si="110"/>
        <v>0</v>
      </c>
      <c r="I130" s="2">
        <f t="shared" si="111"/>
        <v>0</v>
      </c>
      <c r="J130" s="13">
        <f t="shared" si="112"/>
        <v>0</v>
      </c>
      <c r="K130" s="11">
        <f t="shared" si="113"/>
        <v>0</v>
      </c>
      <c r="L130"/>
      <c r="M130" s="2"/>
    </row>
    <row r="131" spans="1:13" ht="15.75" x14ac:dyDescent="0.25">
      <c r="A131" s="10">
        <v>10</v>
      </c>
      <c r="B131" s="13" t="s">
        <v>216</v>
      </c>
      <c r="C131" s="278" t="s">
        <v>227</v>
      </c>
      <c r="D131" s="77"/>
      <c r="E131" s="3" t="s">
        <v>14</v>
      </c>
      <c r="F131" s="290"/>
      <c r="G131" s="101">
        <v>16.5</v>
      </c>
      <c r="H131" s="13">
        <f t="shared" si="110"/>
        <v>0</v>
      </c>
      <c r="I131" s="2">
        <f t="shared" si="111"/>
        <v>0</v>
      </c>
      <c r="J131" s="13">
        <f t="shared" si="112"/>
        <v>0</v>
      </c>
      <c r="K131" s="11">
        <f t="shared" si="113"/>
        <v>0</v>
      </c>
      <c r="L131"/>
      <c r="M131" s="2"/>
    </row>
    <row r="132" spans="1:13" ht="15.75" x14ac:dyDescent="0.25">
      <c r="A132" s="10">
        <v>11</v>
      </c>
      <c r="B132" s="13" t="s">
        <v>216</v>
      </c>
      <c r="C132" s="278" t="s">
        <v>228</v>
      </c>
      <c r="D132" s="77"/>
      <c r="E132" s="3" t="s">
        <v>14</v>
      </c>
      <c r="F132" s="290"/>
      <c r="G132" s="101">
        <v>17</v>
      </c>
      <c r="H132" s="13">
        <f t="shared" si="110"/>
        <v>0</v>
      </c>
      <c r="I132" s="2">
        <f t="shared" si="111"/>
        <v>0</v>
      </c>
      <c r="J132" s="13">
        <f t="shared" si="112"/>
        <v>0</v>
      </c>
      <c r="K132" s="11">
        <f t="shared" si="113"/>
        <v>0</v>
      </c>
      <c r="L132"/>
      <c r="M132" s="2"/>
    </row>
    <row r="133" spans="1:13" ht="15.75" x14ac:dyDescent="0.25">
      <c r="A133" s="10">
        <v>12</v>
      </c>
      <c r="B133" s="13" t="s">
        <v>216</v>
      </c>
      <c r="C133" s="278" t="s">
        <v>220</v>
      </c>
      <c r="D133" s="77"/>
      <c r="E133" s="3" t="s">
        <v>14</v>
      </c>
      <c r="F133" s="290"/>
      <c r="G133" s="101">
        <v>18</v>
      </c>
      <c r="H133" s="13">
        <f t="shared" si="110"/>
        <v>0</v>
      </c>
      <c r="I133" s="2">
        <f t="shared" si="111"/>
        <v>0</v>
      </c>
      <c r="J133" s="13">
        <f t="shared" si="112"/>
        <v>0</v>
      </c>
      <c r="K133" s="11">
        <f t="shared" si="113"/>
        <v>0</v>
      </c>
      <c r="L133"/>
      <c r="M133" s="2"/>
    </row>
    <row r="134" spans="1:13" ht="15.75" x14ac:dyDescent="0.25">
      <c r="A134" s="10">
        <v>13</v>
      </c>
      <c r="B134" s="13" t="s">
        <v>216</v>
      </c>
      <c r="C134" s="278" t="s">
        <v>229</v>
      </c>
      <c r="D134" s="77"/>
      <c r="E134" s="3" t="s">
        <v>14</v>
      </c>
      <c r="F134" s="290"/>
      <c r="G134" s="101">
        <v>19</v>
      </c>
      <c r="H134" s="13">
        <f t="shared" ref="H134" si="114">F134*G134</f>
        <v>0</v>
      </c>
      <c r="I134" s="2">
        <f t="shared" ref="I134" si="115">H134*9%</f>
        <v>0</v>
      </c>
      <c r="J134" s="13">
        <f t="shared" ref="J134" si="116">H134*9%</f>
        <v>0</v>
      </c>
      <c r="K134" s="11">
        <f t="shared" ref="K134" si="117">H134+I134+J134</f>
        <v>0</v>
      </c>
      <c r="L134"/>
      <c r="M134" s="2"/>
    </row>
    <row r="135" spans="1:13" ht="15.75" x14ac:dyDescent="0.25">
      <c r="A135" s="10">
        <v>14</v>
      </c>
      <c r="B135" s="13" t="s">
        <v>216</v>
      </c>
      <c r="C135" s="278" t="s">
        <v>230</v>
      </c>
      <c r="D135" s="77"/>
      <c r="E135" s="3" t="s">
        <v>14</v>
      </c>
      <c r="F135" s="290"/>
      <c r="G135" s="101">
        <v>20</v>
      </c>
      <c r="H135" s="13">
        <f t="shared" ref="H135" si="118">F135*G135</f>
        <v>0</v>
      </c>
      <c r="I135" s="2">
        <f t="shared" ref="I135" si="119">H135*9%</f>
        <v>0</v>
      </c>
      <c r="J135" s="13">
        <f t="shared" ref="J135" si="120">H135*9%</f>
        <v>0</v>
      </c>
      <c r="K135" s="11">
        <f t="shared" ref="K135" si="121">H135+I135+J135</f>
        <v>0</v>
      </c>
      <c r="L135"/>
      <c r="M135" s="2"/>
    </row>
    <row r="136" spans="1:13" ht="15.75" x14ac:dyDescent="0.25">
      <c r="A136" s="10">
        <v>15</v>
      </c>
      <c r="B136" s="13" t="s">
        <v>216</v>
      </c>
      <c r="C136" s="278" t="s">
        <v>231</v>
      </c>
      <c r="D136" s="77"/>
      <c r="E136" s="3" t="s">
        <v>14</v>
      </c>
      <c r="F136" s="290"/>
      <c r="G136" s="101">
        <v>20.5</v>
      </c>
      <c r="H136" s="13">
        <f t="shared" ref="H136:H162" si="122">F136*G136</f>
        <v>0</v>
      </c>
      <c r="I136" s="2">
        <f t="shared" ref="I136:I162" si="123">H136*9%</f>
        <v>0</v>
      </c>
      <c r="J136" s="13">
        <f t="shared" ref="J136:J162" si="124">H136*9%</f>
        <v>0</v>
      </c>
      <c r="K136" s="11">
        <f t="shared" ref="K136:K162" si="125">H136+I136+J136</f>
        <v>0</v>
      </c>
      <c r="L136"/>
      <c r="M136" s="2"/>
    </row>
    <row r="137" spans="1:13" ht="15.75" x14ac:dyDescent="0.25">
      <c r="A137" s="10">
        <v>16</v>
      </c>
      <c r="B137" s="13" t="s">
        <v>232</v>
      </c>
      <c r="C137" s="278" t="s">
        <v>223</v>
      </c>
      <c r="D137" s="77"/>
      <c r="E137" s="3" t="s">
        <v>92</v>
      </c>
      <c r="F137" s="290"/>
      <c r="G137" s="101">
        <v>75</v>
      </c>
      <c r="H137" s="13">
        <f t="shared" si="122"/>
        <v>0</v>
      </c>
      <c r="I137" s="2">
        <f t="shared" si="123"/>
        <v>0</v>
      </c>
      <c r="J137" s="13">
        <f t="shared" si="124"/>
        <v>0</v>
      </c>
      <c r="K137" s="11">
        <f t="shared" si="125"/>
        <v>0</v>
      </c>
      <c r="L137"/>
      <c r="M137" s="2">
        <f>2400+1760</f>
        <v>4160</v>
      </c>
    </row>
    <row r="138" spans="1:13" ht="15.75" x14ac:dyDescent="0.25">
      <c r="A138" s="10">
        <v>17</v>
      </c>
      <c r="B138" s="13" t="s">
        <v>232</v>
      </c>
      <c r="C138" s="278" t="s">
        <v>233</v>
      </c>
      <c r="D138" s="77"/>
      <c r="E138" s="3" t="s">
        <v>92</v>
      </c>
      <c r="F138" s="290"/>
      <c r="G138" s="101">
        <v>75</v>
      </c>
      <c r="H138" s="13">
        <f t="shared" si="122"/>
        <v>0</v>
      </c>
      <c r="I138" s="2">
        <f t="shared" si="123"/>
        <v>0</v>
      </c>
      <c r="J138" s="13">
        <f t="shared" si="124"/>
        <v>0</v>
      </c>
      <c r="K138" s="11">
        <f t="shared" si="125"/>
        <v>0</v>
      </c>
      <c r="L138"/>
      <c r="M138" s="2">
        <f>1314+40+1763+32</f>
        <v>3149</v>
      </c>
    </row>
    <row r="139" spans="1:13" ht="15.75" x14ac:dyDescent="0.25">
      <c r="A139" s="10">
        <v>18</v>
      </c>
      <c r="B139" s="13" t="s">
        <v>232</v>
      </c>
      <c r="C139" s="278" t="s">
        <v>228</v>
      </c>
      <c r="D139" s="77"/>
      <c r="E139" s="3" t="s">
        <v>92</v>
      </c>
      <c r="F139" s="290"/>
      <c r="G139" s="101">
        <v>75</v>
      </c>
      <c r="H139" s="13">
        <f t="shared" si="122"/>
        <v>0</v>
      </c>
      <c r="I139" s="2">
        <f t="shared" si="123"/>
        <v>0</v>
      </c>
      <c r="J139" s="13">
        <f t="shared" si="124"/>
        <v>0</v>
      </c>
      <c r="K139" s="11">
        <f t="shared" si="125"/>
        <v>0</v>
      </c>
      <c r="L139"/>
      <c r="M139" s="2">
        <f>650+1800+137</f>
        <v>2587</v>
      </c>
    </row>
    <row r="140" spans="1:13" ht="15.75" x14ac:dyDescent="0.25">
      <c r="A140" s="10">
        <v>19</v>
      </c>
      <c r="B140" s="13" t="s">
        <v>232</v>
      </c>
      <c r="C140" s="278" t="s">
        <v>229</v>
      </c>
      <c r="D140" s="77"/>
      <c r="E140" s="3" t="s">
        <v>92</v>
      </c>
      <c r="F140" s="290"/>
      <c r="G140" s="101">
        <v>75</v>
      </c>
      <c r="H140" s="13">
        <f t="shared" si="122"/>
        <v>0</v>
      </c>
      <c r="I140" s="2">
        <f t="shared" si="123"/>
        <v>0</v>
      </c>
      <c r="J140" s="13">
        <f t="shared" si="124"/>
        <v>0</v>
      </c>
      <c r="K140" s="11">
        <f t="shared" si="125"/>
        <v>0</v>
      </c>
      <c r="L140"/>
      <c r="M140" s="2">
        <f>2007+1150</f>
        <v>3157</v>
      </c>
    </row>
    <row r="141" spans="1:13" ht="15.75" x14ac:dyDescent="0.25">
      <c r="A141" s="10">
        <v>20</v>
      </c>
      <c r="B141" s="13" t="s">
        <v>232</v>
      </c>
      <c r="C141" s="278" t="s">
        <v>234</v>
      </c>
      <c r="D141" s="77"/>
      <c r="E141" s="3" t="s">
        <v>92</v>
      </c>
      <c r="F141" s="290"/>
      <c r="G141" s="101">
        <v>75</v>
      </c>
      <c r="H141" s="13">
        <f t="shared" si="122"/>
        <v>0</v>
      </c>
      <c r="I141" s="2">
        <f t="shared" si="123"/>
        <v>0</v>
      </c>
      <c r="J141" s="13">
        <f t="shared" si="124"/>
        <v>0</v>
      </c>
      <c r="K141" s="11">
        <f t="shared" si="125"/>
        <v>0</v>
      </c>
      <c r="L141"/>
      <c r="M141" s="2">
        <v>445</v>
      </c>
    </row>
    <row r="142" spans="1:13" ht="15.75" x14ac:dyDescent="0.25">
      <c r="A142" s="10">
        <v>21</v>
      </c>
      <c r="B142" s="13" t="s">
        <v>232</v>
      </c>
      <c r="C142" s="278" t="s">
        <v>235</v>
      </c>
      <c r="D142" s="77"/>
      <c r="E142" s="3" t="s">
        <v>92</v>
      </c>
      <c r="F142" s="290"/>
      <c r="G142" s="101">
        <v>75</v>
      </c>
      <c r="H142" s="13">
        <f t="shared" si="122"/>
        <v>0</v>
      </c>
      <c r="I142" s="2">
        <f t="shared" si="123"/>
        <v>0</v>
      </c>
      <c r="J142" s="13">
        <f t="shared" si="124"/>
        <v>0</v>
      </c>
      <c r="K142" s="11">
        <f t="shared" si="125"/>
        <v>0</v>
      </c>
      <c r="L142"/>
      <c r="M142" s="2">
        <f>700+1157</f>
        <v>1857</v>
      </c>
    </row>
    <row r="143" spans="1:13" ht="15.75" x14ac:dyDescent="0.25">
      <c r="A143" s="10">
        <v>22</v>
      </c>
      <c r="B143" s="13" t="s">
        <v>232</v>
      </c>
      <c r="C143" s="278" t="s">
        <v>236</v>
      </c>
      <c r="D143" s="77"/>
      <c r="E143" s="3" t="s">
        <v>92</v>
      </c>
      <c r="F143" s="290"/>
      <c r="G143" s="101">
        <v>75</v>
      </c>
      <c r="H143" s="13">
        <f t="shared" si="122"/>
        <v>0</v>
      </c>
      <c r="I143" s="2">
        <f t="shared" si="123"/>
        <v>0</v>
      </c>
      <c r="J143" s="13">
        <f t="shared" si="124"/>
        <v>0</v>
      </c>
      <c r="K143" s="11">
        <f t="shared" si="125"/>
        <v>0</v>
      </c>
      <c r="L143"/>
      <c r="M143" s="2">
        <f>731</f>
        <v>731</v>
      </c>
    </row>
    <row r="144" spans="1:13" ht="15.75" x14ac:dyDescent="0.25">
      <c r="A144" s="10">
        <v>23</v>
      </c>
      <c r="B144" s="13" t="s">
        <v>232</v>
      </c>
      <c r="C144" s="278" t="s">
        <v>237</v>
      </c>
      <c r="D144" s="77"/>
      <c r="E144" s="3" t="s">
        <v>92</v>
      </c>
      <c r="F144" s="290"/>
      <c r="G144" s="101">
        <v>75</v>
      </c>
      <c r="H144" s="13">
        <f t="shared" si="122"/>
        <v>0</v>
      </c>
      <c r="I144" s="2">
        <f t="shared" si="123"/>
        <v>0</v>
      </c>
      <c r="J144" s="13">
        <f t="shared" si="124"/>
        <v>0</v>
      </c>
      <c r="K144" s="11">
        <f t="shared" si="125"/>
        <v>0</v>
      </c>
      <c r="L144"/>
      <c r="M144" s="2">
        <f>900+534</f>
        <v>1434</v>
      </c>
    </row>
    <row r="145" spans="1:13" ht="15.75" x14ac:dyDescent="0.25">
      <c r="A145" s="10">
        <v>24</v>
      </c>
      <c r="B145" s="13" t="s">
        <v>232</v>
      </c>
      <c r="C145" s="278" t="s">
        <v>238</v>
      </c>
      <c r="D145" s="77"/>
      <c r="E145" s="3" t="s">
        <v>92</v>
      </c>
      <c r="F145" s="290"/>
      <c r="G145" s="101">
        <v>75</v>
      </c>
      <c r="H145" s="13">
        <f t="shared" si="122"/>
        <v>0</v>
      </c>
      <c r="I145" s="2">
        <f t="shared" si="123"/>
        <v>0</v>
      </c>
      <c r="J145" s="13">
        <f t="shared" si="124"/>
        <v>0</v>
      </c>
      <c r="K145" s="11">
        <f t="shared" si="125"/>
        <v>0</v>
      </c>
      <c r="L145"/>
      <c r="M145" s="2">
        <v>1500</v>
      </c>
    </row>
    <row r="146" spans="1:13" ht="15.75" x14ac:dyDescent="0.25">
      <c r="A146" s="10">
        <v>25</v>
      </c>
      <c r="B146" s="13" t="s">
        <v>232</v>
      </c>
      <c r="C146" s="278" t="s">
        <v>239</v>
      </c>
      <c r="D146" s="77"/>
      <c r="E146" s="3" t="s">
        <v>92</v>
      </c>
      <c r="F146" s="290"/>
      <c r="G146" s="101">
        <v>75</v>
      </c>
      <c r="H146" s="13">
        <f t="shared" si="122"/>
        <v>0</v>
      </c>
      <c r="I146" s="2">
        <f t="shared" si="123"/>
        <v>0</v>
      </c>
      <c r="J146" s="13">
        <f t="shared" si="124"/>
        <v>0</v>
      </c>
      <c r="K146" s="11">
        <f t="shared" si="125"/>
        <v>0</v>
      </c>
      <c r="L146"/>
      <c r="M146" s="2">
        <v>1420</v>
      </c>
    </row>
    <row r="147" spans="1:13" ht="15.75" x14ac:dyDescent="0.25">
      <c r="A147" s="10">
        <v>26</v>
      </c>
      <c r="B147" s="13" t="s">
        <v>232</v>
      </c>
      <c r="C147" s="278" t="s">
        <v>240</v>
      </c>
      <c r="D147" s="77"/>
      <c r="E147" s="3" t="s">
        <v>92</v>
      </c>
      <c r="F147" s="290"/>
      <c r="G147" s="101">
        <v>75</v>
      </c>
      <c r="H147" s="13">
        <f t="shared" si="122"/>
        <v>0</v>
      </c>
      <c r="I147" s="2">
        <f t="shared" si="123"/>
        <v>0</v>
      </c>
      <c r="J147" s="13">
        <f t="shared" si="124"/>
        <v>0</v>
      </c>
      <c r="K147" s="11">
        <f t="shared" si="125"/>
        <v>0</v>
      </c>
      <c r="L147"/>
      <c r="M147" s="2">
        <v>977</v>
      </c>
    </row>
    <row r="148" spans="1:13" ht="15.75" x14ac:dyDescent="0.25">
      <c r="A148" s="10">
        <v>27</v>
      </c>
      <c r="B148" s="13" t="s">
        <v>232</v>
      </c>
      <c r="C148" s="278" t="s">
        <v>241</v>
      </c>
      <c r="D148" s="77"/>
      <c r="E148" s="3" t="s">
        <v>92</v>
      </c>
      <c r="F148" s="290"/>
      <c r="G148" s="101">
        <v>75</v>
      </c>
      <c r="H148" s="13">
        <f t="shared" si="122"/>
        <v>0</v>
      </c>
      <c r="I148" s="2">
        <f t="shared" si="123"/>
        <v>0</v>
      </c>
      <c r="J148" s="13">
        <f t="shared" si="124"/>
        <v>0</v>
      </c>
      <c r="K148" s="11">
        <f t="shared" si="125"/>
        <v>0</v>
      </c>
      <c r="L148"/>
      <c r="M148" s="2">
        <v>1250</v>
      </c>
    </row>
    <row r="149" spans="1:13" ht="15.75" x14ac:dyDescent="0.25">
      <c r="A149" s="10">
        <v>28</v>
      </c>
      <c r="B149" s="13" t="s">
        <v>232</v>
      </c>
      <c r="C149" s="278" t="s">
        <v>242</v>
      </c>
      <c r="D149" s="77"/>
      <c r="E149" s="3" t="s">
        <v>92</v>
      </c>
      <c r="F149" s="290"/>
      <c r="G149" s="101">
        <v>75</v>
      </c>
      <c r="H149" s="13">
        <f t="shared" si="122"/>
        <v>0</v>
      </c>
      <c r="I149" s="2">
        <f t="shared" si="123"/>
        <v>0</v>
      </c>
      <c r="J149" s="13">
        <f t="shared" si="124"/>
        <v>0</v>
      </c>
      <c r="K149" s="11">
        <f t="shared" si="125"/>
        <v>0</v>
      </c>
      <c r="L149"/>
      <c r="M149" s="2">
        <f>2210+1390</f>
        <v>3600</v>
      </c>
    </row>
    <row r="150" spans="1:13" ht="15.75" x14ac:dyDescent="0.25">
      <c r="A150" s="10">
        <v>29</v>
      </c>
      <c r="B150" s="13" t="s">
        <v>232</v>
      </c>
      <c r="C150" s="278" t="s">
        <v>243</v>
      </c>
      <c r="D150" s="77"/>
      <c r="E150" s="3" t="s">
        <v>92</v>
      </c>
      <c r="F150" s="290"/>
      <c r="G150" s="101">
        <v>75</v>
      </c>
      <c r="H150" s="13">
        <f t="shared" si="122"/>
        <v>0</v>
      </c>
      <c r="I150" s="2">
        <f t="shared" si="123"/>
        <v>0</v>
      </c>
      <c r="J150" s="13">
        <f t="shared" si="124"/>
        <v>0</v>
      </c>
      <c r="K150" s="11">
        <f t="shared" si="125"/>
        <v>0</v>
      </c>
      <c r="L150"/>
      <c r="M150" s="2">
        <v>800</v>
      </c>
    </row>
    <row r="151" spans="1:13" ht="15.75" x14ac:dyDescent="0.25">
      <c r="A151" s="10">
        <v>30</v>
      </c>
      <c r="B151" s="13" t="s">
        <v>232</v>
      </c>
      <c r="C151" s="278" t="s">
        <v>244</v>
      </c>
      <c r="D151" s="77"/>
      <c r="E151" s="3" t="s">
        <v>92</v>
      </c>
      <c r="F151" s="290"/>
      <c r="G151" s="101">
        <v>75</v>
      </c>
      <c r="H151" s="13">
        <f t="shared" si="122"/>
        <v>0</v>
      </c>
      <c r="I151" s="2">
        <f t="shared" si="123"/>
        <v>0</v>
      </c>
      <c r="J151" s="13">
        <f t="shared" si="124"/>
        <v>0</v>
      </c>
      <c r="K151" s="11">
        <f t="shared" si="125"/>
        <v>0</v>
      </c>
      <c r="L151"/>
      <c r="M151" s="2">
        <v>16</v>
      </c>
    </row>
    <row r="152" spans="1:13" ht="15.75" x14ac:dyDescent="0.25">
      <c r="A152" s="10">
        <v>31</v>
      </c>
      <c r="B152" s="13" t="s">
        <v>232</v>
      </c>
      <c r="C152" s="278" t="s">
        <v>245</v>
      </c>
      <c r="D152" s="77"/>
      <c r="E152" s="3" t="s">
        <v>92</v>
      </c>
      <c r="F152" s="290"/>
      <c r="G152" s="101">
        <v>75</v>
      </c>
      <c r="H152" s="13">
        <f t="shared" si="122"/>
        <v>0</v>
      </c>
      <c r="I152" s="2">
        <f t="shared" si="123"/>
        <v>0</v>
      </c>
      <c r="J152" s="13">
        <f t="shared" si="124"/>
        <v>0</v>
      </c>
      <c r="K152" s="11">
        <f t="shared" si="125"/>
        <v>0</v>
      </c>
      <c r="L152"/>
      <c r="M152" s="2">
        <v>1382</v>
      </c>
    </row>
    <row r="153" spans="1:13" ht="15.75" x14ac:dyDescent="0.25">
      <c r="A153" s="10">
        <v>32</v>
      </c>
      <c r="B153" s="13" t="s">
        <v>232</v>
      </c>
      <c r="C153" s="278" t="s">
        <v>246</v>
      </c>
      <c r="D153" s="77"/>
      <c r="E153" s="3" t="s">
        <v>92</v>
      </c>
      <c r="F153" s="290"/>
      <c r="G153" s="101">
        <v>75</v>
      </c>
      <c r="H153" s="13">
        <f t="shared" si="122"/>
        <v>0</v>
      </c>
      <c r="I153" s="2">
        <f t="shared" si="123"/>
        <v>0</v>
      </c>
      <c r="J153" s="13">
        <f t="shared" si="124"/>
        <v>0</v>
      </c>
      <c r="K153" s="11">
        <f t="shared" si="125"/>
        <v>0</v>
      </c>
      <c r="L153"/>
      <c r="M153" s="2">
        <f>1950+860</f>
        <v>2810</v>
      </c>
    </row>
    <row r="154" spans="1:13" ht="15.75" x14ac:dyDescent="0.25">
      <c r="A154" s="10">
        <v>33</v>
      </c>
      <c r="B154" s="13" t="s">
        <v>232</v>
      </c>
      <c r="C154" s="278" t="s">
        <v>247</v>
      </c>
      <c r="D154" s="77"/>
      <c r="E154" s="3" t="s">
        <v>92</v>
      </c>
      <c r="F154" s="290"/>
      <c r="G154" s="101">
        <v>75</v>
      </c>
      <c r="H154" s="13">
        <f t="shared" si="122"/>
        <v>0</v>
      </c>
      <c r="I154" s="2">
        <f t="shared" si="123"/>
        <v>0</v>
      </c>
      <c r="J154" s="13">
        <f t="shared" si="124"/>
        <v>0</v>
      </c>
      <c r="K154" s="11">
        <f t="shared" si="125"/>
        <v>0</v>
      </c>
      <c r="L154"/>
      <c r="M154" s="2">
        <v>1000</v>
      </c>
    </row>
    <row r="155" spans="1:13" ht="15.75" x14ac:dyDescent="0.25">
      <c r="A155" s="10">
        <v>34</v>
      </c>
      <c r="B155" s="13" t="s">
        <v>232</v>
      </c>
      <c r="C155" s="278" t="s">
        <v>248</v>
      </c>
      <c r="D155" s="77"/>
      <c r="E155" s="3" t="s">
        <v>92</v>
      </c>
      <c r="F155" s="290"/>
      <c r="G155" s="101">
        <v>75</v>
      </c>
      <c r="H155" s="13">
        <f t="shared" si="122"/>
        <v>0</v>
      </c>
      <c r="I155" s="2">
        <f t="shared" si="123"/>
        <v>0</v>
      </c>
      <c r="J155" s="13">
        <f t="shared" si="124"/>
        <v>0</v>
      </c>
      <c r="K155" s="11">
        <f t="shared" si="125"/>
        <v>0</v>
      </c>
      <c r="L155"/>
      <c r="M155" s="2">
        <v>1000</v>
      </c>
    </row>
    <row r="156" spans="1:13" ht="15.75" x14ac:dyDescent="0.25">
      <c r="A156" s="10">
        <v>35</v>
      </c>
      <c r="B156" s="13" t="s">
        <v>232</v>
      </c>
      <c r="C156" s="278" t="s">
        <v>249</v>
      </c>
      <c r="D156" s="77"/>
      <c r="E156" s="3" t="s">
        <v>92</v>
      </c>
      <c r="F156" s="290"/>
      <c r="G156" s="101">
        <v>75</v>
      </c>
      <c r="H156" s="13">
        <f t="shared" si="122"/>
        <v>0</v>
      </c>
      <c r="I156" s="2">
        <f t="shared" si="123"/>
        <v>0</v>
      </c>
      <c r="J156" s="13">
        <f t="shared" si="124"/>
        <v>0</v>
      </c>
      <c r="K156" s="11">
        <f t="shared" si="125"/>
        <v>0</v>
      </c>
      <c r="L156"/>
      <c r="M156" s="2">
        <v>560</v>
      </c>
    </row>
    <row r="157" spans="1:13" ht="15.75" x14ac:dyDescent="0.25">
      <c r="A157" s="10">
        <v>36</v>
      </c>
      <c r="B157" s="281" t="s">
        <v>359</v>
      </c>
      <c r="C157" s="282" t="s">
        <v>360</v>
      </c>
      <c r="D157" s="283"/>
      <c r="E157" s="284" t="s">
        <v>14</v>
      </c>
      <c r="F157" s="291">
        <v>2000</v>
      </c>
      <c r="G157" s="101">
        <v>3.3</v>
      </c>
      <c r="H157" s="13">
        <f t="shared" si="122"/>
        <v>6600</v>
      </c>
      <c r="I157" s="2">
        <f t="shared" si="123"/>
        <v>594</v>
      </c>
      <c r="J157" s="13">
        <f t="shared" si="124"/>
        <v>594</v>
      </c>
      <c r="K157" s="11">
        <f t="shared" si="125"/>
        <v>7788</v>
      </c>
      <c r="L157"/>
      <c r="M157" s="2"/>
    </row>
    <row r="158" spans="1:13" ht="15.75" x14ac:dyDescent="0.25">
      <c r="A158" s="10">
        <v>37</v>
      </c>
      <c r="B158" s="281" t="s">
        <v>359</v>
      </c>
      <c r="C158" s="282" t="s">
        <v>361</v>
      </c>
      <c r="D158" s="283"/>
      <c r="E158" s="284" t="s">
        <v>14</v>
      </c>
      <c r="F158" s="291">
        <v>1000</v>
      </c>
      <c r="G158" s="101">
        <v>3.1</v>
      </c>
      <c r="H158" s="13">
        <f t="shared" si="122"/>
        <v>3100</v>
      </c>
      <c r="I158" s="2">
        <f t="shared" si="123"/>
        <v>279</v>
      </c>
      <c r="J158" s="13">
        <f t="shared" si="124"/>
        <v>279</v>
      </c>
      <c r="K158" s="11">
        <f t="shared" si="125"/>
        <v>3658</v>
      </c>
      <c r="L158"/>
      <c r="M158" s="2"/>
    </row>
    <row r="159" spans="1:13" ht="15.75" x14ac:dyDescent="0.25">
      <c r="A159" s="10">
        <v>38</v>
      </c>
      <c r="B159" s="281" t="s">
        <v>359</v>
      </c>
      <c r="C159" s="282" t="s">
        <v>362</v>
      </c>
      <c r="D159" s="283"/>
      <c r="E159" s="284" t="s">
        <v>14</v>
      </c>
      <c r="F159" s="291">
        <v>500</v>
      </c>
      <c r="G159" s="101">
        <v>2.8</v>
      </c>
      <c r="H159" s="13">
        <f t="shared" si="122"/>
        <v>1400</v>
      </c>
      <c r="I159" s="2">
        <f t="shared" si="123"/>
        <v>126</v>
      </c>
      <c r="J159" s="13">
        <f t="shared" si="124"/>
        <v>126</v>
      </c>
      <c r="K159" s="11">
        <f t="shared" si="125"/>
        <v>1652</v>
      </c>
      <c r="L159"/>
      <c r="M159" s="2"/>
    </row>
    <row r="160" spans="1:13" ht="15.75" x14ac:dyDescent="0.25">
      <c r="A160" s="10">
        <v>39</v>
      </c>
      <c r="B160" s="281" t="s">
        <v>363</v>
      </c>
      <c r="C160" s="282" t="s">
        <v>364</v>
      </c>
      <c r="D160" s="283"/>
      <c r="E160" s="284" t="s">
        <v>92</v>
      </c>
      <c r="F160" s="291">
        <v>2</v>
      </c>
      <c r="G160" s="101">
        <v>120</v>
      </c>
      <c r="H160" s="13">
        <f t="shared" si="122"/>
        <v>240</v>
      </c>
      <c r="I160" s="2">
        <f t="shared" si="123"/>
        <v>21.599999999999998</v>
      </c>
      <c r="J160" s="13">
        <f t="shared" si="124"/>
        <v>21.599999999999998</v>
      </c>
      <c r="K160" s="11">
        <f t="shared" si="125"/>
        <v>283.20000000000005</v>
      </c>
      <c r="L160"/>
      <c r="M160" s="2"/>
    </row>
    <row r="161" spans="1:13" ht="15.75" x14ac:dyDescent="0.25">
      <c r="A161" s="10">
        <v>40</v>
      </c>
      <c r="B161" s="281" t="s">
        <v>365</v>
      </c>
      <c r="C161" s="282" t="s">
        <v>364</v>
      </c>
      <c r="D161" s="283"/>
      <c r="E161" s="284" t="s">
        <v>92</v>
      </c>
      <c r="F161" s="291">
        <v>4</v>
      </c>
      <c r="G161" s="101">
        <v>120</v>
      </c>
      <c r="H161" s="13">
        <f t="shared" si="122"/>
        <v>480</v>
      </c>
      <c r="I161" s="2">
        <f t="shared" si="123"/>
        <v>43.199999999999996</v>
      </c>
      <c r="J161" s="13">
        <f t="shared" si="124"/>
        <v>43.199999999999996</v>
      </c>
      <c r="K161" s="11">
        <f t="shared" si="125"/>
        <v>566.40000000000009</v>
      </c>
      <c r="L161"/>
      <c r="M161" s="2"/>
    </row>
    <row r="162" spans="1:13" ht="16.5" thickBot="1" x14ac:dyDescent="0.3">
      <c r="A162" s="10">
        <v>41</v>
      </c>
      <c r="B162" s="281" t="s">
        <v>204</v>
      </c>
      <c r="C162" s="282" t="s">
        <v>366</v>
      </c>
      <c r="D162" s="283"/>
      <c r="E162" s="284" t="s">
        <v>14</v>
      </c>
      <c r="F162" s="291">
        <v>780</v>
      </c>
      <c r="G162" s="101">
        <v>5.5</v>
      </c>
      <c r="H162" s="13">
        <f t="shared" si="122"/>
        <v>4290</v>
      </c>
      <c r="I162" s="2">
        <f t="shared" si="123"/>
        <v>386.09999999999997</v>
      </c>
      <c r="J162" s="13">
        <f t="shared" si="124"/>
        <v>386.09999999999997</v>
      </c>
      <c r="K162" s="11">
        <f t="shared" si="125"/>
        <v>5062.2000000000007</v>
      </c>
      <c r="L162"/>
      <c r="M162" s="2" t="s">
        <v>367</v>
      </c>
    </row>
    <row r="163" spans="1:13" ht="21.75" thickBot="1" x14ac:dyDescent="0.4">
      <c r="A163" s="5"/>
      <c r="B163" s="99" t="s">
        <v>8</v>
      </c>
      <c r="C163" s="100"/>
      <c r="D163" s="328"/>
      <c r="E163" s="329"/>
      <c r="F163" s="238">
        <f>SUM(F122:F162)</f>
        <v>4697</v>
      </c>
      <c r="G163" s="239"/>
      <c r="H163" s="240">
        <f>SUM(H122:H162)</f>
        <v>46190</v>
      </c>
      <c r="I163" s="237">
        <f>SUM(I122:I162)</f>
        <v>4157.0999999999995</v>
      </c>
      <c r="J163" s="240">
        <f>SUM(J122:J162)</f>
        <v>4157.0999999999995</v>
      </c>
      <c r="K163" s="237">
        <f>SUM(K122:K162)</f>
        <v>54504.2</v>
      </c>
      <c r="L163" s="5"/>
      <c r="M163" s="5"/>
    </row>
    <row r="164" spans="1:13" x14ac:dyDescent="0.25">
      <c r="J164" s="18"/>
      <c r="L164"/>
    </row>
    <row r="165" spans="1:13" ht="15.75" thickBot="1" x14ac:dyDescent="0.3">
      <c r="J165" s="18"/>
      <c r="L165"/>
    </row>
    <row r="166" spans="1:13" ht="21.75" thickBot="1" x14ac:dyDescent="0.4">
      <c r="B166" s="175" t="s">
        <v>94</v>
      </c>
      <c r="F166" s="40"/>
    </row>
    <row r="167" spans="1:13" ht="15.75" x14ac:dyDescent="0.25">
      <c r="A167" s="169" t="s">
        <v>11</v>
      </c>
      <c r="B167" s="170" t="s">
        <v>12</v>
      </c>
      <c r="C167" s="171"/>
      <c r="D167" s="170"/>
      <c r="E167" s="170" t="s">
        <v>4</v>
      </c>
      <c r="F167" s="172" t="s">
        <v>75</v>
      </c>
      <c r="G167" s="170" t="s">
        <v>6</v>
      </c>
      <c r="H167" s="171" t="s">
        <v>7</v>
      </c>
      <c r="I167" s="170" t="s">
        <v>16</v>
      </c>
      <c r="J167" s="171" t="s">
        <v>17</v>
      </c>
      <c r="K167" s="173" t="s">
        <v>8</v>
      </c>
      <c r="L167" s="173"/>
      <c r="M167" s="174" t="s">
        <v>13</v>
      </c>
    </row>
    <row r="168" spans="1:13" ht="18.75" x14ac:dyDescent="0.3">
      <c r="A168" s="139">
        <v>1</v>
      </c>
      <c r="B168" s="119" t="s">
        <v>21</v>
      </c>
      <c r="C168" s="1"/>
      <c r="D168" s="2"/>
      <c r="E168" s="138" t="s">
        <v>95</v>
      </c>
      <c r="F168" s="292">
        <v>10000</v>
      </c>
      <c r="G168" s="87">
        <v>25.75</v>
      </c>
      <c r="H168" s="140">
        <f>F168*G168</f>
        <v>257500</v>
      </c>
      <c r="I168" s="137">
        <f>H168*9%</f>
        <v>23175</v>
      </c>
      <c r="J168" s="140">
        <f>H168*9%</f>
        <v>23175</v>
      </c>
      <c r="K168" s="137">
        <f>H168+I168+J168</f>
        <v>303850</v>
      </c>
      <c r="L168" s="137"/>
      <c r="M168" s="136"/>
    </row>
    <row r="169" spans="1:13" ht="19.5" thickBot="1" x14ac:dyDescent="0.35">
      <c r="A169" s="193">
        <v>2</v>
      </c>
      <c r="B169" s="194" t="s">
        <v>145</v>
      </c>
      <c r="C169" s="47"/>
      <c r="D169" s="3"/>
      <c r="E169" s="195" t="s">
        <v>95</v>
      </c>
      <c r="F169" s="293">
        <v>250</v>
      </c>
      <c r="G169" s="196">
        <v>180</v>
      </c>
      <c r="H169" s="197">
        <f>F169*G169</f>
        <v>45000</v>
      </c>
      <c r="I169" s="198">
        <f>H169*9%</f>
        <v>4050</v>
      </c>
      <c r="J169" s="197">
        <f>H169*9%</f>
        <v>4050</v>
      </c>
      <c r="K169" s="198">
        <f>H169+I169+J169</f>
        <v>53100</v>
      </c>
      <c r="L169" s="198"/>
      <c r="M169" s="199"/>
    </row>
    <row r="170" spans="1:13" ht="19.5" thickBot="1" x14ac:dyDescent="0.35">
      <c r="A170" s="200"/>
      <c r="B170" s="5"/>
      <c r="C170" s="48"/>
      <c r="D170" s="260" t="s">
        <v>8</v>
      </c>
      <c r="E170" s="234"/>
      <c r="F170" s="242">
        <f>SUM(F168:F169)</f>
        <v>10250</v>
      </c>
      <c r="G170" s="234"/>
      <c r="H170" s="231">
        <f>SUM(H168:H169)</f>
        <v>302500</v>
      </c>
      <c r="I170" s="232">
        <f>SUM(I168:I169)</f>
        <v>27225</v>
      </c>
      <c r="J170" s="231">
        <f>SUM(J168:J169)</f>
        <v>27225</v>
      </c>
      <c r="K170" s="232">
        <f>SUM(K168:K169)</f>
        <v>356950</v>
      </c>
      <c r="L170" s="241"/>
      <c r="M170" s="6"/>
    </row>
  </sheetData>
  <mergeCells count="10">
    <mergeCell ref="D163:E163"/>
    <mergeCell ref="A1:C1"/>
    <mergeCell ref="D118:E118"/>
    <mergeCell ref="D73:E73"/>
    <mergeCell ref="D90:E90"/>
    <mergeCell ref="D102:E102"/>
    <mergeCell ref="A15:C15"/>
    <mergeCell ref="D39:E39"/>
    <mergeCell ref="D61:E61"/>
    <mergeCell ref="D82:E82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N86"/>
  <sheetViews>
    <sheetView showGridLines="0" topLeftCell="A49" zoomScaleNormal="100" workbookViewId="0">
      <selection activeCell="J79" sqref="J79"/>
    </sheetView>
  </sheetViews>
  <sheetFormatPr defaultRowHeight="15" x14ac:dyDescent="0.25"/>
  <cols>
    <col min="2" max="2" width="37.140625" bestFit="1" customWidth="1"/>
    <col min="3" max="3" width="15.5703125" bestFit="1" customWidth="1"/>
    <col min="4" max="4" width="18.5703125" customWidth="1"/>
    <col min="5" max="5" width="23" customWidth="1"/>
    <col min="6" max="6" width="14.85546875" bestFit="1" customWidth="1"/>
    <col min="7" max="7" width="17" customWidth="1"/>
    <col min="8" max="8" width="16.42578125" customWidth="1"/>
    <col min="9" max="9" width="17.7109375" customWidth="1"/>
    <col min="10" max="10" width="20.42578125" customWidth="1"/>
    <col min="11" max="11" width="14.42578125" customWidth="1"/>
  </cols>
  <sheetData>
    <row r="1" spans="1:10" ht="18" customHeight="1" x14ac:dyDescent="0.25">
      <c r="A1" s="49"/>
      <c r="B1" s="50"/>
      <c r="C1" s="50"/>
      <c r="D1" s="50"/>
      <c r="E1" s="50"/>
      <c r="F1" s="50"/>
      <c r="G1" s="49"/>
      <c r="H1" s="49"/>
      <c r="I1" s="49"/>
    </row>
    <row r="2" spans="1:10" ht="18.75" x14ac:dyDescent="0.3">
      <c r="A2" s="338" t="s">
        <v>54</v>
      </c>
      <c r="B2" s="338"/>
      <c r="C2" s="338"/>
      <c r="D2" s="15"/>
      <c r="E2" s="49"/>
      <c r="F2" s="49"/>
      <c r="G2" s="49"/>
      <c r="H2" s="49"/>
      <c r="I2" s="49"/>
    </row>
    <row r="3" spans="1:10" ht="20.25" customHeight="1" x14ac:dyDescent="0.3">
      <c r="A3" s="213" t="s">
        <v>11</v>
      </c>
      <c r="B3" s="213" t="s">
        <v>23</v>
      </c>
      <c r="C3" s="213" t="s">
        <v>24</v>
      </c>
      <c r="E3" s="49"/>
      <c r="F3" s="49"/>
      <c r="G3" s="49"/>
      <c r="H3" s="49"/>
      <c r="I3" s="49"/>
    </row>
    <row r="4" spans="1:10" ht="20.25" customHeight="1" x14ac:dyDescent="0.25">
      <c r="A4" s="248">
        <v>1</v>
      </c>
      <c r="B4" s="52" t="s">
        <v>63</v>
      </c>
      <c r="C4" s="249">
        <f>F29</f>
        <v>2123498.4</v>
      </c>
      <c r="E4" s="49"/>
      <c r="F4" s="49"/>
      <c r="G4" s="49"/>
      <c r="H4" s="49"/>
      <c r="I4" s="49"/>
    </row>
    <row r="5" spans="1:10" ht="18" customHeight="1" x14ac:dyDescent="0.25">
      <c r="A5" s="248">
        <v>2</v>
      </c>
      <c r="B5" s="52" t="s">
        <v>67</v>
      </c>
      <c r="C5" s="249">
        <f>F39</f>
        <v>508799</v>
      </c>
      <c r="E5" s="49"/>
      <c r="F5" s="49"/>
      <c r="G5" s="49"/>
      <c r="H5" s="49"/>
      <c r="I5" s="49"/>
    </row>
    <row r="6" spans="1:10" ht="18" customHeight="1" x14ac:dyDescent="0.25">
      <c r="A6" s="248">
        <v>3</v>
      </c>
      <c r="B6" s="52" t="s">
        <v>68</v>
      </c>
      <c r="C6" s="249">
        <f>F53</f>
        <v>3782727.6</v>
      </c>
      <c r="E6" s="49"/>
      <c r="F6" s="49"/>
      <c r="G6" s="49"/>
      <c r="H6" s="49"/>
      <c r="I6" s="49"/>
    </row>
    <row r="7" spans="1:10" ht="18" customHeight="1" x14ac:dyDescent="0.25">
      <c r="A7" s="248">
        <v>4</v>
      </c>
      <c r="B7" s="52" t="s">
        <v>69</v>
      </c>
      <c r="C7" s="249">
        <f>F61</f>
        <v>546022</v>
      </c>
      <c r="E7" s="49"/>
      <c r="F7" s="49"/>
      <c r="G7" s="49"/>
      <c r="H7" s="49"/>
      <c r="I7" s="49"/>
    </row>
    <row r="8" spans="1:10" ht="18" customHeight="1" x14ac:dyDescent="0.25">
      <c r="A8" s="248">
        <v>5</v>
      </c>
      <c r="B8" s="52" t="s">
        <v>70</v>
      </c>
      <c r="C8" s="249">
        <f>F68</f>
        <v>1207671</v>
      </c>
      <c r="E8" s="49"/>
      <c r="F8" s="49"/>
      <c r="G8" s="49"/>
      <c r="H8" s="49"/>
      <c r="I8" s="49"/>
    </row>
    <row r="9" spans="1:10" ht="18" customHeight="1" x14ac:dyDescent="0.25">
      <c r="A9" s="248">
        <v>6</v>
      </c>
      <c r="B9" s="52" t="s">
        <v>119</v>
      </c>
      <c r="C9" s="249">
        <f>F74</f>
        <v>403740</v>
      </c>
      <c r="E9" s="49"/>
      <c r="F9" s="49"/>
      <c r="G9" s="49"/>
      <c r="H9" s="49"/>
      <c r="I9" s="49"/>
    </row>
    <row r="10" spans="1:10" ht="18" customHeight="1" x14ac:dyDescent="0.25">
      <c r="A10" s="248">
        <v>7</v>
      </c>
      <c r="B10" s="52" t="s">
        <v>123</v>
      </c>
      <c r="C10" s="249">
        <f>F80</f>
        <v>67875</v>
      </c>
      <c r="E10" s="49"/>
      <c r="F10" s="49"/>
      <c r="G10" s="49"/>
      <c r="H10" s="49"/>
      <c r="I10" s="49"/>
    </row>
    <row r="11" spans="1:10" ht="18" customHeight="1" x14ac:dyDescent="0.25">
      <c r="A11" s="248">
        <v>8</v>
      </c>
      <c r="B11" s="52" t="s">
        <v>55</v>
      </c>
      <c r="C11" s="249">
        <f>F86</f>
        <v>42694.5</v>
      </c>
      <c r="E11" s="49"/>
      <c r="F11" s="49"/>
      <c r="G11" s="49"/>
      <c r="H11" s="49"/>
      <c r="I11" s="49"/>
    </row>
    <row r="12" spans="1:10" ht="18" customHeight="1" x14ac:dyDescent="0.25">
      <c r="A12" s="250"/>
      <c r="B12" s="251" t="s">
        <v>8</v>
      </c>
      <c r="C12" s="252">
        <f>SUM(C4:C11)</f>
        <v>8683027.5</v>
      </c>
      <c r="E12" s="49"/>
      <c r="F12" s="49"/>
      <c r="G12" s="49"/>
      <c r="H12" s="49"/>
      <c r="I12" s="49"/>
    </row>
    <row r="13" spans="1:10" ht="18" customHeight="1" x14ac:dyDescent="0.25">
      <c r="B13" s="15"/>
      <c r="C13" s="15"/>
      <c r="D13" s="51"/>
      <c r="E13" s="49"/>
      <c r="F13" s="49"/>
      <c r="G13" s="49"/>
      <c r="H13" s="49"/>
      <c r="I13" s="49"/>
    </row>
    <row r="14" spans="1:10" ht="18" customHeight="1" x14ac:dyDescent="0.25">
      <c r="B14" s="15"/>
      <c r="C14" s="15"/>
      <c r="D14" s="51"/>
      <c r="E14" s="49"/>
      <c r="F14" s="49"/>
      <c r="G14" s="49"/>
      <c r="H14" s="49"/>
      <c r="I14" s="49"/>
    </row>
    <row r="15" spans="1:10" ht="18" customHeight="1" x14ac:dyDescent="0.25">
      <c r="B15" s="15"/>
      <c r="C15" s="15"/>
      <c r="D15" s="51"/>
      <c r="E15" s="49"/>
      <c r="F15" s="49"/>
      <c r="G15" s="49"/>
      <c r="H15" s="49"/>
      <c r="I15" s="49"/>
    </row>
    <row r="16" spans="1:10" ht="18.75" x14ac:dyDescent="0.3">
      <c r="A16">
        <v>1</v>
      </c>
      <c r="B16" s="339" t="s">
        <v>63</v>
      </c>
      <c r="C16" s="339"/>
      <c r="D16" s="339"/>
      <c r="E16" s="339"/>
      <c r="F16" s="339"/>
      <c r="G16" s="53"/>
      <c r="H16" s="53"/>
      <c r="I16" s="53"/>
      <c r="J16" s="53"/>
    </row>
    <row r="17" spans="1:14" s="22" customFormat="1" ht="37.5" customHeight="1" x14ac:dyDescent="0.3">
      <c r="A17" s="209" t="s">
        <v>11</v>
      </c>
      <c r="B17" s="210" t="s">
        <v>65</v>
      </c>
      <c r="C17" s="211" t="s">
        <v>66</v>
      </c>
      <c r="D17" s="211" t="s">
        <v>64</v>
      </c>
      <c r="E17" s="210" t="s">
        <v>6</v>
      </c>
      <c r="F17" s="210" t="s">
        <v>7</v>
      </c>
      <c r="G17" s="210" t="s">
        <v>16</v>
      </c>
      <c r="H17" s="210" t="s">
        <v>17</v>
      </c>
      <c r="I17" s="210" t="s">
        <v>19</v>
      </c>
      <c r="J17" s="211" t="s">
        <v>13</v>
      </c>
    </row>
    <row r="18" spans="1:14" x14ac:dyDescent="0.25">
      <c r="A18" s="129">
        <v>1</v>
      </c>
      <c r="B18" s="106" t="s">
        <v>166</v>
      </c>
      <c r="C18" s="106" t="s">
        <v>143</v>
      </c>
      <c r="D18" s="299">
        <v>2520</v>
      </c>
      <c r="E18" s="106">
        <v>107</v>
      </c>
      <c r="F18" s="97">
        <f t="shared" ref="F18:F25" si="0">D18*E18</f>
        <v>269640</v>
      </c>
      <c r="G18" s="97">
        <f t="shared" ref="G18:G28" si="1">F18*9%</f>
        <v>24267.599999999999</v>
      </c>
      <c r="H18" s="97">
        <f t="shared" ref="H18:H28" si="2">G18</f>
        <v>24267.599999999999</v>
      </c>
      <c r="I18" s="97">
        <f t="shared" ref="I18:I28" si="3">F18+G18+H18</f>
        <v>318175.19999999995</v>
      </c>
      <c r="J18" s="129" t="s">
        <v>303</v>
      </c>
    </row>
    <row r="19" spans="1:14" x14ac:dyDescent="0.25">
      <c r="A19" s="129">
        <v>2</v>
      </c>
      <c r="B19" s="106" t="s">
        <v>166</v>
      </c>
      <c r="C19" s="106" t="s">
        <v>163</v>
      </c>
      <c r="D19" s="299">
        <v>436.8</v>
      </c>
      <c r="E19" s="106">
        <v>160</v>
      </c>
      <c r="F19" s="97">
        <f t="shared" si="0"/>
        <v>69888</v>
      </c>
      <c r="G19" s="97">
        <f t="shared" si="1"/>
        <v>6289.92</v>
      </c>
      <c r="H19" s="97">
        <f t="shared" si="2"/>
        <v>6289.92</v>
      </c>
      <c r="I19" s="97">
        <f t="shared" si="3"/>
        <v>82467.839999999997</v>
      </c>
      <c r="J19" s="129" t="s">
        <v>310</v>
      </c>
    </row>
    <row r="20" spans="1:14" x14ac:dyDescent="0.25">
      <c r="A20" s="129">
        <v>3</v>
      </c>
      <c r="B20" s="106" t="s">
        <v>309</v>
      </c>
      <c r="C20" s="106" t="s">
        <v>163</v>
      </c>
      <c r="D20" s="299">
        <f>16.8*3</f>
        <v>50.400000000000006</v>
      </c>
      <c r="E20" s="106">
        <v>200</v>
      </c>
      <c r="F20" s="97">
        <f t="shared" si="0"/>
        <v>10080.000000000002</v>
      </c>
      <c r="G20" s="97">
        <f t="shared" si="1"/>
        <v>907.20000000000016</v>
      </c>
      <c r="H20" s="97">
        <f t="shared" si="2"/>
        <v>907.20000000000016</v>
      </c>
      <c r="I20" s="97">
        <f t="shared" si="3"/>
        <v>11894.400000000003</v>
      </c>
      <c r="J20" s="129" t="s">
        <v>305</v>
      </c>
    </row>
    <row r="21" spans="1:14" x14ac:dyDescent="0.25">
      <c r="A21" s="129">
        <v>4</v>
      </c>
      <c r="B21" s="106" t="s">
        <v>166</v>
      </c>
      <c r="C21" s="106" t="s">
        <v>188</v>
      </c>
      <c r="D21" s="299">
        <v>28.8</v>
      </c>
      <c r="E21" s="106">
        <v>315</v>
      </c>
      <c r="F21" s="97">
        <f t="shared" si="0"/>
        <v>9072</v>
      </c>
      <c r="G21" s="97">
        <f t="shared" si="1"/>
        <v>816.48</v>
      </c>
      <c r="H21" s="97">
        <f t="shared" si="2"/>
        <v>816.48</v>
      </c>
      <c r="I21" s="97">
        <f t="shared" si="3"/>
        <v>10704.96</v>
      </c>
      <c r="J21" s="129" t="s">
        <v>305</v>
      </c>
    </row>
    <row r="22" spans="1:14" x14ac:dyDescent="0.25">
      <c r="A22" s="129">
        <v>5</v>
      </c>
      <c r="B22" s="106" t="s">
        <v>165</v>
      </c>
      <c r="C22" s="106" t="s">
        <v>163</v>
      </c>
      <c r="D22" s="299">
        <v>2335.1999999999998</v>
      </c>
      <c r="E22" s="106">
        <v>202</v>
      </c>
      <c r="F22" s="97">
        <f t="shared" si="0"/>
        <v>471710.39999999997</v>
      </c>
      <c r="G22" s="97">
        <f t="shared" si="1"/>
        <v>42453.935999999994</v>
      </c>
      <c r="H22" s="97">
        <f t="shared" si="2"/>
        <v>42453.935999999994</v>
      </c>
      <c r="I22" s="97">
        <f t="shared" si="3"/>
        <v>556618.272</v>
      </c>
      <c r="J22" s="129" t="s">
        <v>308</v>
      </c>
    </row>
    <row r="23" spans="1:14" x14ac:dyDescent="0.25">
      <c r="A23" s="129">
        <v>6</v>
      </c>
      <c r="B23" s="106" t="s">
        <v>165</v>
      </c>
      <c r="C23" s="106" t="s">
        <v>164</v>
      </c>
      <c r="D23" s="299">
        <v>1752</v>
      </c>
      <c r="E23" s="106">
        <v>290</v>
      </c>
      <c r="F23" s="97">
        <f t="shared" si="0"/>
        <v>508080</v>
      </c>
      <c r="G23" s="97">
        <f t="shared" si="1"/>
        <v>45727.199999999997</v>
      </c>
      <c r="H23" s="97">
        <f t="shared" si="2"/>
        <v>45727.199999999997</v>
      </c>
      <c r="I23" s="97">
        <f t="shared" si="3"/>
        <v>599534.39999999991</v>
      </c>
      <c r="J23" s="129"/>
    </row>
    <row r="24" spans="1:14" x14ac:dyDescent="0.25">
      <c r="A24" s="129">
        <v>7</v>
      </c>
      <c r="B24" s="106" t="s">
        <v>165</v>
      </c>
      <c r="C24" s="106" t="s">
        <v>117</v>
      </c>
      <c r="D24" s="299">
        <v>32</v>
      </c>
      <c r="E24" s="106">
        <v>425</v>
      </c>
      <c r="F24" s="97">
        <f t="shared" si="0"/>
        <v>13600</v>
      </c>
      <c r="G24" s="97">
        <f t="shared" si="1"/>
        <v>1224</v>
      </c>
      <c r="H24" s="97">
        <f t="shared" si="2"/>
        <v>1224</v>
      </c>
      <c r="I24" s="97">
        <f t="shared" si="3"/>
        <v>16048</v>
      </c>
      <c r="J24" s="129"/>
    </row>
    <row r="25" spans="1:14" x14ac:dyDescent="0.25">
      <c r="A25" s="129">
        <v>8</v>
      </c>
      <c r="B25" s="106" t="s">
        <v>312</v>
      </c>
      <c r="C25" s="106" t="s">
        <v>162</v>
      </c>
      <c r="D25" s="299">
        <v>756</v>
      </c>
      <c r="E25" s="106">
        <v>463</v>
      </c>
      <c r="F25" s="97">
        <f t="shared" si="0"/>
        <v>350028</v>
      </c>
      <c r="G25" s="97">
        <f t="shared" si="1"/>
        <v>31502.52</v>
      </c>
      <c r="H25" s="97">
        <f t="shared" si="2"/>
        <v>31502.52</v>
      </c>
      <c r="I25" s="97">
        <f t="shared" si="3"/>
        <v>413033.04000000004</v>
      </c>
      <c r="J25" s="129" t="s">
        <v>311</v>
      </c>
    </row>
    <row r="26" spans="1:14" x14ac:dyDescent="0.25">
      <c r="A26" s="129">
        <v>9</v>
      </c>
      <c r="B26" s="106" t="s">
        <v>125</v>
      </c>
      <c r="C26" s="106" t="s">
        <v>144</v>
      </c>
      <c r="D26" s="298">
        <v>50</v>
      </c>
      <c r="E26" s="106">
        <v>140</v>
      </c>
      <c r="F26" s="97">
        <f>600*E26</f>
        <v>84000</v>
      </c>
      <c r="G26" s="97">
        <f t="shared" si="1"/>
        <v>7560</v>
      </c>
      <c r="H26" s="97">
        <f t="shared" si="2"/>
        <v>7560</v>
      </c>
      <c r="I26" s="97">
        <f t="shared" si="3"/>
        <v>99120</v>
      </c>
      <c r="J26" s="129"/>
    </row>
    <row r="27" spans="1:14" x14ac:dyDescent="0.25">
      <c r="A27" s="129">
        <v>11</v>
      </c>
      <c r="B27" s="106" t="s">
        <v>167</v>
      </c>
      <c r="C27" s="106" t="s">
        <v>139</v>
      </c>
      <c r="D27" s="129">
        <v>0</v>
      </c>
      <c r="E27" s="106">
        <v>375</v>
      </c>
      <c r="F27" s="97">
        <f>D27*E27</f>
        <v>0</v>
      </c>
      <c r="G27" s="97">
        <f t="shared" si="1"/>
        <v>0</v>
      </c>
      <c r="H27" s="97">
        <f t="shared" si="2"/>
        <v>0</v>
      </c>
      <c r="I27" s="97">
        <f t="shared" si="3"/>
        <v>0</v>
      </c>
      <c r="J27" s="129"/>
    </row>
    <row r="28" spans="1:14" x14ac:dyDescent="0.25">
      <c r="A28" s="129">
        <v>12</v>
      </c>
      <c r="B28" s="106" t="s">
        <v>167</v>
      </c>
      <c r="C28" s="106" t="s">
        <v>117</v>
      </c>
      <c r="D28" s="299">
        <v>280</v>
      </c>
      <c r="E28" s="106">
        <v>1205</v>
      </c>
      <c r="F28" s="97">
        <f>D28*E28</f>
        <v>337400</v>
      </c>
      <c r="G28" s="97">
        <f t="shared" si="1"/>
        <v>30366</v>
      </c>
      <c r="H28" s="97">
        <f t="shared" si="2"/>
        <v>30366</v>
      </c>
      <c r="I28" s="97">
        <f t="shared" si="3"/>
        <v>398132</v>
      </c>
      <c r="J28" s="129" t="s">
        <v>313</v>
      </c>
      <c r="N28" s="285"/>
    </row>
    <row r="29" spans="1:14" ht="20.25" customHeight="1" x14ac:dyDescent="0.25">
      <c r="A29" s="106"/>
      <c r="B29" s="106"/>
      <c r="C29" s="106"/>
      <c r="D29" s="106"/>
      <c r="E29" s="106"/>
      <c r="F29" s="223">
        <f>SUM(F18:F28)</f>
        <v>2123498.4</v>
      </c>
      <c r="G29" s="223">
        <f>SUM(G18:G28)</f>
        <v>191114.856</v>
      </c>
      <c r="H29" s="223">
        <f>SUM(H18:H28)</f>
        <v>191114.856</v>
      </c>
      <c r="I29" s="223">
        <f>SUM(I18:I28)</f>
        <v>2505728.1119999997</v>
      </c>
      <c r="J29" s="106"/>
    </row>
    <row r="31" spans="1:14" ht="18.75" x14ac:dyDescent="0.3">
      <c r="A31" s="53">
        <v>2</v>
      </c>
      <c r="B31" s="339" t="s">
        <v>319</v>
      </c>
      <c r="C31" s="339"/>
      <c r="D31" s="339"/>
      <c r="E31" s="339"/>
      <c r="F31" s="339"/>
      <c r="G31" s="53"/>
      <c r="H31" s="53"/>
      <c r="I31" s="53"/>
      <c r="J31" s="53"/>
    </row>
    <row r="32" spans="1:14" ht="37.5" x14ac:dyDescent="0.25">
      <c r="A32" s="210" t="s">
        <v>11</v>
      </c>
      <c r="B32" s="210" t="s">
        <v>65</v>
      </c>
      <c r="C32" s="211" t="s">
        <v>66</v>
      </c>
      <c r="D32" s="211" t="s">
        <v>64</v>
      </c>
      <c r="E32" s="210" t="s">
        <v>6</v>
      </c>
      <c r="F32" s="210" t="s">
        <v>7</v>
      </c>
      <c r="G32" s="210" t="s">
        <v>16</v>
      </c>
      <c r="H32" s="210" t="s">
        <v>17</v>
      </c>
      <c r="I32" s="210" t="s">
        <v>19</v>
      </c>
      <c r="J32" s="211" t="s">
        <v>13</v>
      </c>
    </row>
    <row r="33" spans="1:10" x14ac:dyDescent="0.25">
      <c r="A33" s="106">
        <v>2</v>
      </c>
      <c r="B33" s="146" t="s">
        <v>165</v>
      </c>
      <c r="C33" s="106" t="s">
        <v>143</v>
      </c>
      <c r="D33" s="299">
        <v>120</v>
      </c>
      <c r="E33" s="106">
        <v>330</v>
      </c>
      <c r="F33" s="97">
        <f t="shared" ref="F33:F38" si="4">D33*E33</f>
        <v>39600</v>
      </c>
      <c r="G33" s="97">
        <f t="shared" ref="G33:G38" si="5">F33*9%</f>
        <v>3564</v>
      </c>
      <c r="H33" s="97">
        <f t="shared" ref="H33:H38" si="6">G33</f>
        <v>3564</v>
      </c>
      <c r="I33" s="97">
        <f t="shared" ref="I33:I38" si="7">F33+G33+H33</f>
        <v>46728</v>
      </c>
      <c r="J33" s="129" t="s">
        <v>320</v>
      </c>
    </row>
    <row r="34" spans="1:10" x14ac:dyDescent="0.25">
      <c r="A34" s="106">
        <v>3</v>
      </c>
      <c r="B34" s="146" t="s">
        <v>165</v>
      </c>
      <c r="C34" s="106" t="s">
        <v>164</v>
      </c>
      <c r="D34" s="299">
        <v>72</v>
      </c>
      <c r="E34" s="106">
        <v>520</v>
      </c>
      <c r="F34" s="97">
        <f t="shared" si="4"/>
        <v>37440</v>
      </c>
      <c r="G34" s="97">
        <f t="shared" si="5"/>
        <v>3369.6</v>
      </c>
      <c r="H34" s="97">
        <f t="shared" si="6"/>
        <v>3369.6</v>
      </c>
      <c r="I34" s="97">
        <f t="shared" si="7"/>
        <v>44179.199999999997</v>
      </c>
      <c r="J34" s="129" t="s">
        <v>305</v>
      </c>
    </row>
    <row r="35" spans="1:10" x14ac:dyDescent="0.25">
      <c r="A35" s="106">
        <v>4</v>
      </c>
      <c r="B35" s="106" t="s">
        <v>169</v>
      </c>
      <c r="C35" s="106" t="s">
        <v>139</v>
      </c>
      <c r="D35" s="299">
        <v>264</v>
      </c>
      <c r="E35" s="106">
        <v>560</v>
      </c>
      <c r="F35" s="97">
        <f t="shared" si="4"/>
        <v>147840</v>
      </c>
      <c r="G35" s="97">
        <f t="shared" si="5"/>
        <v>13305.6</v>
      </c>
      <c r="H35" s="97">
        <f t="shared" si="6"/>
        <v>13305.6</v>
      </c>
      <c r="I35" s="97">
        <f t="shared" si="7"/>
        <v>174451.20000000001</v>
      </c>
      <c r="J35" s="129">
        <v>11</v>
      </c>
    </row>
    <row r="36" spans="1:10" x14ac:dyDescent="0.25">
      <c r="A36" s="106">
        <v>5</v>
      </c>
      <c r="B36" s="106" t="s">
        <v>169</v>
      </c>
      <c r="C36" s="106" t="s">
        <v>168</v>
      </c>
      <c r="D36" s="299">
        <v>289.8</v>
      </c>
      <c r="E36" s="106">
        <v>655</v>
      </c>
      <c r="F36" s="97">
        <f t="shared" si="4"/>
        <v>189819</v>
      </c>
      <c r="G36" s="97">
        <f t="shared" si="5"/>
        <v>17083.71</v>
      </c>
      <c r="H36" s="97">
        <f t="shared" si="6"/>
        <v>17083.71</v>
      </c>
      <c r="I36" s="97">
        <f t="shared" si="7"/>
        <v>223986.41999999998</v>
      </c>
      <c r="J36" s="129">
        <v>105</v>
      </c>
    </row>
    <row r="37" spans="1:10" x14ac:dyDescent="0.25">
      <c r="A37" s="106">
        <v>6</v>
      </c>
      <c r="B37" s="106" t="s">
        <v>169</v>
      </c>
      <c r="C37" s="106" t="s">
        <v>171</v>
      </c>
      <c r="D37" s="299">
        <v>110.4</v>
      </c>
      <c r="E37" s="106">
        <v>750</v>
      </c>
      <c r="F37" s="97">
        <f t="shared" si="4"/>
        <v>82800</v>
      </c>
      <c r="G37" s="97">
        <f t="shared" si="5"/>
        <v>7452</v>
      </c>
      <c r="H37" s="97">
        <f t="shared" si="6"/>
        <v>7452</v>
      </c>
      <c r="I37" s="97">
        <f t="shared" si="7"/>
        <v>97704</v>
      </c>
      <c r="J37" s="129">
        <v>40</v>
      </c>
    </row>
    <row r="38" spans="1:10" x14ac:dyDescent="0.25">
      <c r="A38" s="106">
        <v>7</v>
      </c>
      <c r="B38" s="106" t="s">
        <v>179</v>
      </c>
      <c r="C38" s="106"/>
      <c r="D38" s="299">
        <v>20</v>
      </c>
      <c r="E38" s="106">
        <v>565</v>
      </c>
      <c r="F38" s="97">
        <f t="shared" si="4"/>
        <v>11300</v>
      </c>
      <c r="G38" s="97">
        <f t="shared" si="5"/>
        <v>1017</v>
      </c>
      <c r="H38" s="97">
        <f t="shared" si="6"/>
        <v>1017</v>
      </c>
      <c r="I38" s="97">
        <f t="shared" si="7"/>
        <v>13334</v>
      </c>
      <c r="J38" s="129"/>
    </row>
    <row r="39" spans="1:10" x14ac:dyDescent="0.25">
      <c r="A39" s="106"/>
      <c r="B39" s="106"/>
      <c r="C39" s="106"/>
      <c r="D39" s="106"/>
      <c r="E39" s="106"/>
      <c r="F39" s="223">
        <f>SUM(F33:F38)</f>
        <v>508799</v>
      </c>
      <c r="G39" s="223">
        <f>SUM(G33:G38)</f>
        <v>45791.91</v>
      </c>
      <c r="H39" s="223">
        <f>SUM(H33:H38)</f>
        <v>45791.91</v>
      </c>
      <c r="I39" s="223">
        <f>SUM(I33:I38)</f>
        <v>600382.82000000007</v>
      </c>
      <c r="J39" s="106"/>
    </row>
    <row r="41" spans="1:10" ht="18.75" x14ac:dyDescent="0.3">
      <c r="A41" s="53">
        <v>3</v>
      </c>
      <c r="B41" s="340" t="s">
        <v>68</v>
      </c>
      <c r="C41" s="340"/>
      <c r="D41" s="340"/>
      <c r="E41" s="340"/>
      <c r="F41" s="340"/>
      <c r="G41" s="53"/>
      <c r="H41" s="53"/>
      <c r="I41" s="53"/>
      <c r="J41" s="53"/>
    </row>
    <row r="42" spans="1:10" ht="37.5" x14ac:dyDescent="0.25">
      <c r="A42" s="210" t="s">
        <v>11</v>
      </c>
      <c r="B42" s="210" t="s">
        <v>65</v>
      </c>
      <c r="C42" s="211" t="s">
        <v>66</v>
      </c>
      <c r="D42" s="211" t="s">
        <v>64</v>
      </c>
      <c r="E42" s="210" t="s">
        <v>6</v>
      </c>
      <c r="F42" s="210" t="s">
        <v>7</v>
      </c>
      <c r="G42" s="210" t="s">
        <v>16</v>
      </c>
      <c r="H42" s="210" t="s">
        <v>17</v>
      </c>
      <c r="I42" s="210" t="s">
        <v>19</v>
      </c>
      <c r="J42" s="211" t="s">
        <v>13</v>
      </c>
    </row>
    <row r="43" spans="1:10" x14ac:dyDescent="0.25">
      <c r="A43" s="106">
        <v>1</v>
      </c>
      <c r="B43" s="146" t="s">
        <v>170</v>
      </c>
      <c r="C43" s="146" t="s">
        <v>143</v>
      </c>
      <c r="D43" s="299">
        <v>1608</v>
      </c>
      <c r="E43" s="106">
        <v>154</v>
      </c>
      <c r="F43" s="97">
        <f>D43*E43</f>
        <v>247632</v>
      </c>
      <c r="G43" s="97">
        <f>F43*9%</f>
        <v>22286.879999999997</v>
      </c>
      <c r="H43" s="97">
        <f>F43*9%</f>
        <v>22286.879999999997</v>
      </c>
      <c r="I43" s="97">
        <f>SUM(F43:H43)</f>
        <v>292205.76</v>
      </c>
      <c r="J43" s="129" t="s">
        <v>315</v>
      </c>
    </row>
    <row r="44" spans="1:10" x14ac:dyDescent="0.25">
      <c r="A44" s="106">
        <v>2</v>
      </c>
      <c r="B44" s="146" t="s">
        <v>166</v>
      </c>
      <c r="C44" s="146" t="s">
        <v>143</v>
      </c>
      <c r="D44" s="299">
        <v>432</v>
      </c>
      <c r="E44" s="106">
        <v>101</v>
      </c>
      <c r="F44" s="97">
        <f>D44*E44</f>
        <v>43632</v>
      </c>
      <c r="G44" s="97">
        <f>F44*9%</f>
        <v>3926.8799999999997</v>
      </c>
      <c r="H44" s="97">
        <f>F44*9%</f>
        <v>3926.8799999999997</v>
      </c>
      <c r="I44" s="97">
        <f>SUM(F44:H44)</f>
        <v>51485.759999999995</v>
      </c>
      <c r="J44" s="129" t="s">
        <v>314</v>
      </c>
    </row>
    <row r="45" spans="1:10" x14ac:dyDescent="0.25">
      <c r="A45" s="106">
        <v>3</v>
      </c>
      <c r="B45" s="146" t="s">
        <v>174</v>
      </c>
      <c r="C45" s="146" t="s">
        <v>153</v>
      </c>
      <c r="D45" s="299">
        <v>184.8</v>
      </c>
      <c r="E45" s="106">
        <v>162</v>
      </c>
      <c r="F45" s="97">
        <f t="shared" ref="F45:F52" si="8">D45*E45</f>
        <v>29937.600000000002</v>
      </c>
      <c r="G45" s="97">
        <f t="shared" ref="G45:G52" si="9">F45*9%</f>
        <v>2694.384</v>
      </c>
      <c r="H45" s="97">
        <f t="shared" ref="H45:H52" si="10">G45</f>
        <v>2694.384</v>
      </c>
      <c r="I45" s="97">
        <f t="shared" ref="I45:I52" si="11">F45+G45+H45</f>
        <v>35326.368000000002</v>
      </c>
      <c r="J45" s="129" t="s">
        <v>307</v>
      </c>
    </row>
    <row r="46" spans="1:10" x14ac:dyDescent="0.25">
      <c r="A46" s="106">
        <v>4</v>
      </c>
      <c r="B46" s="146" t="s">
        <v>189</v>
      </c>
      <c r="C46" s="146" t="s">
        <v>153</v>
      </c>
      <c r="D46" s="299">
        <v>3830.4</v>
      </c>
      <c r="E46" s="106">
        <v>207</v>
      </c>
      <c r="F46" s="97">
        <f t="shared" si="8"/>
        <v>792892.8</v>
      </c>
      <c r="G46" s="97">
        <f t="shared" si="9"/>
        <v>71360.351999999999</v>
      </c>
      <c r="H46" s="97">
        <f t="shared" si="10"/>
        <v>71360.351999999999</v>
      </c>
      <c r="I46" s="97">
        <f t="shared" si="11"/>
        <v>935613.50399999996</v>
      </c>
      <c r="J46" s="129" t="s">
        <v>316</v>
      </c>
    </row>
    <row r="47" spans="1:10" x14ac:dyDescent="0.25">
      <c r="A47" s="106">
        <v>5</v>
      </c>
      <c r="B47" s="146" t="s">
        <v>175</v>
      </c>
      <c r="C47" s="146" t="s">
        <v>153</v>
      </c>
      <c r="D47" s="299">
        <v>2704.8</v>
      </c>
      <c r="E47" s="106">
        <v>304</v>
      </c>
      <c r="F47" s="97">
        <f t="shared" si="8"/>
        <v>822259.20000000007</v>
      </c>
      <c r="G47" s="97">
        <f t="shared" si="9"/>
        <v>74003.328000000009</v>
      </c>
      <c r="H47" s="97">
        <f t="shared" si="10"/>
        <v>74003.328000000009</v>
      </c>
      <c r="I47" s="97">
        <f t="shared" si="11"/>
        <v>970265.85600000003</v>
      </c>
      <c r="J47" s="129" t="s">
        <v>317</v>
      </c>
    </row>
    <row r="48" spans="1:10" x14ac:dyDescent="0.25">
      <c r="A48" s="106">
        <v>6</v>
      </c>
      <c r="B48" s="146" t="s">
        <v>190</v>
      </c>
      <c r="C48" s="146" t="s">
        <v>162</v>
      </c>
      <c r="D48" s="299">
        <v>1044</v>
      </c>
      <c r="E48" s="106">
        <v>279</v>
      </c>
      <c r="F48" s="97">
        <f t="shared" si="8"/>
        <v>291276</v>
      </c>
      <c r="G48" s="97">
        <f t="shared" si="9"/>
        <v>26214.84</v>
      </c>
      <c r="H48" s="97">
        <f t="shared" si="10"/>
        <v>26214.84</v>
      </c>
      <c r="I48" s="97">
        <f t="shared" si="11"/>
        <v>343705.68000000005</v>
      </c>
      <c r="J48" s="129" t="s">
        <v>318</v>
      </c>
    </row>
    <row r="49" spans="1:10" x14ac:dyDescent="0.25">
      <c r="A49" s="106">
        <v>7</v>
      </c>
      <c r="B49" s="146" t="s">
        <v>175</v>
      </c>
      <c r="C49" s="146" t="s">
        <v>191</v>
      </c>
      <c r="D49" s="299">
        <v>3660</v>
      </c>
      <c r="E49" s="106">
        <v>375</v>
      </c>
      <c r="F49" s="97">
        <f t="shared" si="8"/>
        <v>1372500</v>
      </c>
      <c r="G49" s="97">
        <f t="shared" si="9"/>
        <v>123525</v>
      </c>
      <c r="H49" s="97">
        <f t="shared" si="10"/>
        <v>123525</v>
      </c>
      <c r="I49" s="97">
        <f t="shared" si="11"/>
        <v>1619550</v>
      </c>
      <c r="J49" s="129" t="s">
        <v>304</v>
      </c>
    </row>
    <row r="50" spans="1:10" x14ac:dyDescent="0.25">
      <c r="A50" s="106">
        <v>8</v>
      </c>
      <c r="B50" s="146" t="s">
        <v>165</v>
      </c>
      <c r="C50" s="146" t="s">
        <v>188</v>
      </c>
      <c r="D50" s="299">
        <v>36.6</v>
      </c>
      <c r="E50" s="106">
        <v>330</v>
      </c>
      <c r="F50" s="97">
        <f t="shared" si="8"/>
        <v>12078</v>
      </c>
      <c r="G50" s="97">
        <f t="shared" si="9"/>
        <v>1087.02</v>
      </c>
      <c r="H50" s="97">
        <f t="shared" si="10"/>
        <v>1087.02</v>
      </c>
      <c r="I50" s="97">
        <f t="shared" si="11"/>
        <v>14252.04</v>
      </c>
      <c r="J50" s="129" t="s">
        <v>320</v>
      </c>
    </row>
    <row r="51" spans="1:10" x14ac:dyDescent="0.25">
      <c r="A51" s="106">
        <v>9</v>
      </c>
      <c r="B51" s="146" t="s">
        <v>167</v>
      </c>
      <c r="C51" s="146" t="s">
        <v>139</v>
      </c>
      <c r="D51" s="299">
        <v>120</v>
      </c>
      <c r="E51" s="106">
        <v>385</v>
      </c>
      <c r="F51" s="97">
        <f t="shared" si="8"/>
        <v>46200</v>
      </c>
      <c r="G51" s="97">
        <f t="shared" si="9"/>
        <v>4158</v>
      </c>
      <c r="H51" s="97">
        <f t="shared" si="10"/>
        <v>4158</v>
      </c>
      <c r="I51" s="97">
        <f t="shared" si="11"/>
        <v>54516</v>
      </c>
      <c r="J51" s="129" t="s">
        <v>321</v>
      </c>
    </row>
    <row r="52" spans="1:10" x14ac:dyDescent="0.25">
      <c r="A52" s="106">
        <v>10</v>
      </c>
      <c r="B52" s="146" t="s">
        <v>167</v>
      </c>
      <c r="C52" s="146" t="s">
        <v>168</v>
      </c>
      <c r="D52" s="299">
        <v>224</v>
      </c>
      <c r="E52" s="106">
        <v>555</v>
      </c>
      <c r="F52" s="97">
        <f t="shared" si="8"/>
        <v>124320</v>
      </c>
      <c r="G52" s="97">
        <f t="shared" si="9"/>
        <v>11188.8</v>
      </c>
      <c r="H52" s="97">
        <f t="shared" si="10"/>
        <v>11188.8</v>
      </c>
      <c r="I52" s="97">
        <f t="shared" si="11"/>
        <v>146697.59999999998</v>
      </c>
      <c r="J52" s="129" t="s">
        <v>322</v>
      </c>
    </row>
    <row r="53" spans="1:10" x14ac:dyDescent="0.25">
      <c r="A53" s="106"/>
      <c r="B53" s="106"/>
      <c r="C53" s="106"/>
      <c r="D53" s="106"/>
      <c r="E53" s="106"/>
      <c r="F53" s="223">
        <f>SUM(F43:F52)</f>
        <v>3782727.6</v>
      </c>
      <c r="G53" s="223">
        <f>SUM(G43:G52)</f>
        <v>340445.484</v>
      </c>
      <c r="H53" s="223">
        <f>SUM(H43:H52)</f>
        <v>340445.484</v>
      </c>
      <c r="I53" s="223">
        <f>SUM(I43:I52)</f>
        <v>4463618.568</v>
      </c>
      <c r="J53" s="106"/>
    </row>
    <row r="55" spans="1:10" ht="18.75" x14ac:dyDescent="0.3">
      <c r="A55" s="53">
        <v>5</v>
      </c>
      <c r="B55" s="340" t="s">
        <v>69</v>
      </c>
      <c r="C55" s="340"/>
      <c r="D55" s="340"/>
      <c r="E55" s="340"/>
      <c r="F55" s="340"/>
      <c r="G55" s="53"/>
      <c r="H55" s="53"/>
      <c r="I55" s="53"/>
      <c r="J55" s="53"/>
    </row>
    <row r="56" spans="1:10" ht="37.5" x14ac:dyDescent="0.25">
      <c r="A56" s="210" t="s">
        <v>11</v>
      </c>
      <c r="B56" s="210" t="s">
        <v>65</v>
      </c>
      <c r="C56" s="211" t="s">
        <v>66</v>
      </c>
      <c r="D56" s="211" t="s">
        <v>64</v>
      </c>
      <c r="E56" s="210" t="s">
        <v>6</v>
      </c>
      <c r="F56" s="210" t="s">
        <v>7</v>
      </c>
      <c r="G56" s="210" t="s">
        <v>16</v>
      </c>
      <c r="H56" s="210" t="s">
        <v>17</v>
      </c>
      <c r="I56" s="210" t="s">
        <v>19</v>
      </c>
      <c r="J56" s="211" t="s">
        <v>13</v>
      </c>
    </row>
    <row r="57" spans="1:10" x14ac:dyDescent="0.25">
      <c r="A57" s="106">
        <v>1</v>
      </c>
      <c r="B57" s="179" t="s">
        <v>166</v>
      </c>
      <c r="C57" s="106" t="s">
        <v>143</v>
      </c>
      <c r="D57" s="299">
        <v>3456</v>
      </c>
      <c r="E57" s="106">
        <v>122</v>
      </c>
      <c r="F57" s="97">
        <f t="shared" ref="F57:F60" si="12">D57*E57</f>
        <v>421632</v>
      </c>
      <c r="G57" s="97">
        <f t="shared" ref="G57:G60" si="13">F57*9%</f>
        <v>37946.879999999997</v>
      </c>
      <c r="H57" s="97">
        <f t="shared" ref="H57:H60" si="14">G57</f>
        <v>37946.879999999997</v>
      </c>
      <c r="I57" s="97">
        <f t="shared" ref="I57:I60" si="15">F57+G57+H57</f>
        <v>497525.76000000001</v>
      </c>
      <c r="J57" s="129" t="s">
        <v>373</v>
      </c>
    </row>
    <row r="58" spans="1:10" x14ac:dyDescent="0.25">
      <c r="A58" s="106">
        <v>2</v>
      </c>
      <c r="B58" s="179" t="s">
        <v>166</v>
      </c>
      <c r="C58" s="106" t="s">
        <v>162</v>
      </c>
      <c r="D58" s="299">
        <v>360</v>
      </c>
      <c r="E58" s="106">
        <v>210</v>
      </c>
      <c r="F58" s="97">
        <f t="shared" si="12"/>
        <v>75600</v>
      </c>
      <c r="G58" s="97">
        <f t="shared" si="13"/>
        <v>6804</v>
      </c>
      <c r="H58" s="97">
        <f t="shared" si="14"/>
        <v>6804</v>
      </c>
      <c r="I58" s="97">
        <f t="shared" si="15"/>
        <v>89208</v>
      </c>
      <c r="J58" s="129" t="s">
        <v>323</v>
      </c>
    </row>
    <row r="59" spans="1:10" x14ac:dyDescent="0.25">
      <c r="A59" s="106">
        <v>3</v>
      </c>
      <c r="B59" s="146" t="s">
        <v>184</v>
      </c>
      <c r="C59" s="106" t="s">
        <v>162</v>
      </c>
      <c r="D59" s="299">
        <v>84</v>
      </c>
      <c r="E59" s="106">
        <v>400</v>
      </c>
      <c r="F59" s="97">
        <f t="shared" si="12"/>
        <v>33600</v>
      </c>
      <c r="G59" s="97">
        <f t="shared" si="13"/>
        <v>3024</v>
      </c>
      <c r="H59" s="97">
        <f t="shared" si="14"/>
        <v>3024</v>
      </c>
      <c r="I59" s="97">
        <f t="shared" si="15"/>
        <v>39648</v>
      </c>
      <c r="J59" s="129" t="s">
        <v>306</v>
      </c>
    </row>
    <row r="60" spans="1:10" x14ac:dyDescent="0.25">
      <c r="A60" s="106">
        <v>4</v>
      </c>
      <c r="B60" s="146" t="s">
        <v>192</v>
      </c>
      <c r="C60" s="106"/>
      <c r="D60" s="299">
        <v>98</v>
      </c>
      <c r="E60" s="106">
        <v>155</v>
      </c>
      <c r="F60" s="97">
        <f t="shared" si="12"/>
        <v>15190</v>
      </c>
      <c r="G60" s="97">
        <f t="shared" si="13"/>
        <v>1367.1</v>
      </c>
      <c r="H60" s="97">
        <f t="shared" si="14"/>
        <v>1367.1</v>
      </c>
      <c r="I60" s="97">
        <f t="shared" si="15"/>
        <v>17924.199999999997</v>
      </c>
      <c r="J60" s="129"/>
    </row>
    <row r="61" spans="1:10" x14ac:dyDescent="0.25">
      <c r="A61" s="106"/>
      <c r="B61" s="106"/>
      <c r="C61" s="106"/>
      <c r="D61" s="106"/>
      <c r="E61" s="106"/>
      <c r="F61" s="223">
        <f>SUM(F57:F60)</f>
        <v>546022</v>
      </c>
      <c r="G61" s="223">
        <f>SUM(G57:G60)</f>
        <v>49141.979999999996</v>
      </c>
      <c r="H61" s="223">
        <f>SUM(H57:H60)</f>
        <v>49141.979999999996</v>
      </c>
      <c r="I61" s="223">
        <f>SUM(I57:I60)</f>
        <v>644305.96</v>
      </c>
      <c r="J61" s="106"/>
    </row>
    <row r="63" spans="1:10" ht="18.75" x14ac:dyDescent="0.3">
      <c r="A63" s="53">
        <v>6</v>
      </c>
      <c r="B63" s="341" t="s">
        <v>70</v>
      </c>
      <c r="C63" s="342"/>
      <c r="D63" s="342"/>
      <c r="E63" s="342"/>
      <c r="F63" s="343"/>
      <c r="G63" s="53"/>
      <c r="H63" s="53"/>
      <c r="I63" s="53"/>
      <c r="J63" s="53"/>
    </row>
    <row r="64" spans="1:10" ht="37.5" x14ac:dyDescent="0.25">
      <c r="A64" s="210" t="s">
        <v>11</v>
      </c>
      <c r="B64" s="210" t="s">
        <v>65</v>
      </c>
      <c r="C64" s="211" t="s">
        <v>66</v>
      </c>
      <c r="D64" s="211" t="s">
        <v>64</v>
      </c>
      <c r="E64" s="210" t="s">
        <v>6</v>
      </c>
      <c r="F64" s="210" t="s">
        <v>7</v>
      </c>
      <c r="G64" s="210" t="s">
        <v>16</v>
      </c>
      <c r="H64" s="210" t="s">
        <v>17</v>
      </c>
      <c r="I64" s="210" t="s">
        <v>19</v>
      </c>
      <c r="J64" s="211" t="s">
        <v>13</v>
      </c>
    </row>
    <row r="65" spans="1:10" x14ac:dyDescent="0.25">
      <c r="A65" s="106">
        <v>1</v>
      </c>
      <c r="B65" s="106" t="s">
        <v>167</v>
      </c>
      <c r="C65" s="180" t="s">
        <v>139</v>
      </c>
      <c r="D65" s="299">
        <v>102</v>
      </c>
      <c r="E65" s="106">
        <v>385</v>
      </c>
      <c r="F65" s="97">
        <f t="shared" ref="F65" si="16">D65*E65</f>
        <v>39270</v>
      </c>
      <c r="G65" s="97">
        <f t="shared" ref="G65" si="17">F65*9%</f>
        <v>3534.2999999999997</v>
      </c>
      <c r="H65" s="97">
        <f t="shared" ref="H65" si="18">G65</f>
        <v>3534.2999999999997</v>
      </c>
      <c r="I65" s="97">
        <f t="shared" ref="I65" si="19">F65+G65+H65</f>
        <v>46338.600000000006</v>
      </c>
      <c r="J65" s="129" t="s">
        <v>324</v>
      </c>
    </row>
    <row r="66" spans="1:10" x14ac:dyDescent="0.25">
      <c r="A66" s="106">
        <v>2</v>
      </c>
      <c r="B66" s="106" t="s">
        <v>167</v>
      </c>
      <c r="C66" s="180" t="s">
        <v>172</v>
      </c>
      <c r="D66" s="299">
        <v>396</v>
      </c>
      <c r="E66" s="106">
        <v>650</v>
      </c>
      <c r="F66" s="97">
        <f>D66*E66</f>
        <v>257400</v>
      </c>
      <c r="G66" s="97">
        <f>D66*E66</f>
        <v>257400</v>
      </c>
      <c r="H66" s="97">
        <f>G66*9%</f>
        <v>23166</v>
      </c>
      <c r="I66" s="97">
        <f>F66*9%</f>
        <v>23166</v>
      </c>
      <c r="J66" s="129" t="s">
        <v>325</v>
      </c>
    </row>
    <row r="67" spans="1:10" x14ac:dyDescent="0.25">
      <c r="A67" s="106">
        <v>3</v>
      </c>
      <c r="B67" s="106" t="s">
        <v>167</v>
      </c>
      <c r="C67" s="180" t="s">
        <v>117</v>
      </c>
      <c r="D67" s="299">
        <v>987</v>
      </c>
      <c r="E67" s="106">
        <f>890+33</f>
        <v>923</v>
      </c>
      <c r="F67" s="97">
        <f>D67*E67</f>
        <v>911001</v>
      </c>
      <c r="G67" s="97">
        <f>D67*E67</f>
        <v>911001</v>
      </c>
      <c r="H67" s="97">
        <f>G67*9%</f>
        <v>81990.09</v>
      </c>
      <c r="I67" s="97">
        <f>F67*9%</f>
        <v>81990.09</v>
      </c>
      <c r="J67" s="129" t="s">
        <v>326</v>
      </c>
    </row>
    <row r="68" spans="1:10" x14ac:dyDescent="0.25">
      <c r="A68" s="106"/>
      <c r="B68" s="106"/>
      <c r="C68" s="106"/>
      <c r="D68" s="106"/>
      <c r="E68" s="106"/>
      <c r="F68" s="223">
        <f>SUM(F65:F67)</f>
        <v>1207671</v>
      </c>
      <c r="G68" s="223">
        <f>SUM(G65:G67)</f>
        <v>1171935.3</v>
      </c>
      <c r="H68" s="223">
        <f>SUM(H65:H67)</f>
        <v>108690.39</v>
      </c>
      <c r="I68" s="223">
        <f>SUM(I65:I67)</f>
        <v>151494.69</v>
      </c>
      <c r="J68" s="106"/>
    </row>
    <row r="69" spans="1:10" x14ac:dyDescent="0.25">
      <c r="F69" s="9"/>
      <c r="G69" s="9"/>
      <c r="H69" s="9"/>
      <c r="I69" s="9"/>
    </row>
    <row r="70" spans="1:10" ht="18.75" x14ac:dyDescent="0.3">
      <c r="A70" s="53">
        <v>7</v>
      </c>
      <c r="B70" s="339" t="s">
        <v>119</v>
      </c>
      <c r="C70" s="339"/>
      <c r="D70" s="339"/>
      <c r="E70" s="339"/>
      <c r="F70" s="339"/>
      <c r="G70" s="53"/>
      <c r="H70" s="53"/>
      <c r="I70" s="53"/>
      <c r="J70" s="53"/>
    </row>
    <row r="71" spans="1:10" ht="37.5" x14ac:dyDescent="0.25">
      <c r="A71" s="210" t="s">
        <v>11</v>
      </c>
      <c r="B71" s="210" t="s">
        <v>65</v>
      </c>
      <c r="C71" s="211" t="s">
        <v>66</v>
      </c>
      <c r="D71" s="211" t="s">
        <v>64</v>
      </c>
      <c r="E71" s="210" t="s">
        <v>6</v>
      </c>
      <c r="F71" s="210" t="s">
        <v>7</v>
      </c>
      <c r="G71" s="210" t="s">
        <v>16</v>
      </c>
      <c r="H71" s="210" t="s">
        <v>17</v>
      </c>
      <c r="I71" s="210" t="s">
        <v>19</v>
      </c>
      <c r="J71" s="211" t="s">
        <v>13</v>
      </c>
    </row>
    <row r="72" spans="1:10" x14ac:dyDescent="0.25">
      <c r="A72" s="106">
        <v>1</v>
      </c>
      <c r="B72" s="106" t="s">
        <v>175</v>
      </c>
      <c r="C72" s="106" t="s">
        <v>173</v>
      </c>
      <c r="D72" s="299">
        <v>424</v>
      </c>
      <c r="E72" s="106">
        <v>630</v>
      </c>
      <c r="F72" s="106">
        <f t="shared" ref="F72:F73" si="20">D72*E72</f>
        <v>267120</v>
      </c>
      <c r="G72" s="106">
        <f t="shared" ref="G72:G73" si="21">F72*9%</f>
        <v>24040.799999999999</v>
      </c>
      <c r="H72" s="106">
        <f t="shared" ref="H72:H73" si="22">G72</f>
        <v>24040.799999999999</v>
      </c>
      <c r="I72" s="106">
        <f t="shared" ref="I72:I73" si="23">F72+G72+H72</f>
        <v>315201.59999999998</v>
      </c>
      <c r="J72" s="129" t="s">
        <v>328</v>
      </c>
    </row>
    <row r="73" spans="1:10" x14ac:dyDescent="0.25">
      <c r="A73" s="106">
        <v>2</v>
      </c>
      <c r="B73" s="106" t="s">
        <v>166</v>
      </c>
      <c r="C73" s="106" t="s">
        <v>143</v>
      </c>
      <c r="D73" s="299">
        <v>1188</v>
      </c>
      <c r="E73" s="106">
        <v>115</v>
      </c>
      <c r="F73" s="106">
        <f t="shared" si="20"/>
        <v>136620</v>
      </c>
      <c r="G73" s="106">
        <f t="shared" si="21"/>
        <v>12295.8</v>
      </c>
      <c r="H73" s="106">
        <f t="shared" si="22"/>
        <v>12295.8</v>
      </c>
      <c r="I73" s="106">
        <f t="shared" si="23"/>
        <v>161211.59999999998</v>
      </c>
      <c r="J73" s="129" t="s">
        <v>327</v>
      </c>
    </row>
    <row r="74" spans="1:10" x14ac:dyDescent="0.25">
      <c r="A74" s="106"/>
      <c r="B74" s="106"/>
      <c r="C74" s="106"/>
      <c r="D74" s="106"/>
      <c r="E74" s="106"/>
      <c r="F74" s="223">
        <f>SUM(F72:F73)</f>
        <v>403740</v>
      </c>
      <c r="G74" s="223">
        <f>SUM(G72:G73)</f>
        <v>36336.6</v>
      </c>
      <c r="H74" s="223">
        <f>SUM(H72:H73)</f>
        <v>36336.6</v>
      </c>
      <c r="I74" s="223">
        <f>SUM(I72:I73)</f>
        <v>476413.19999999995</v>
      </c>
      <c r="J74" s="106"/>
    </row>
    <row r="75" spans="1:10" x14ac:dyDescent="0.25">
      <c r="F75" s="9"/>
      <c r="G75" s="9"/>
      <c r="H75" s="9"/>
      <c r="I75" s="9"/>
    </row>
    <row r="76" spans="1:10" ht="18.75" x14ac:dyDescent="0.3">
      <c r="A76" s="53">
        <v>8</v>
      </c>
      <c r="B76" s="339" t="s">
        <v>123</v>
      </c>
      <c r="C76" s="339"/>
      <c r="D76" s="339"/>
      <c r="E76" s="339"/>
      <c r="F76" s="339"/>
      <c r="G76" s="53"/>
      <c r="H76" s="53"/>
      <c r="I76" s="53"/>
      <c r="J76" s="53"/>
    </row>
    <row r="77" spans="1:10" ht="37.5" x14ac:dyDescent="0.25">
      <c r="A77" s="210" t="s">
        <v>11</v>
      </c>
      <c r="B77" s="210" t="s">
        <v>65</v>
      </c>
      <c r="C77" s="211" t="s">
        <v>66</v>
      </c>
      <c r="D77" s="211" t="s">
        <v>64</v>
      </c>
      <c r="E77" s="210" t="s">
        <v>6</v>
      </c>
      <c r="F77" s="210" t="s">
        <v>7</v>
      </c>
      <c r="G77" s="210" t="s">
        <v>16</v>
      </c>
      <c r="H77" s="210" t="s">
        <v>17</v>
      </c>
      <c r="I77" s="210" t="s">
        <v>19</v>
      </c>
      <c r="J77" s="211" t="s">
        <v>13</v>
      </c>
    </row>
    <row r="78" spans="1:10" x14ac:dyDescent="0.25">
      <c r="A78" s="106">
        <v>1</v>
      </c>
      <c r="B78" s="106" t="s">
        <v>165</v>
      </c>
      <c r="C78" s="106" t="s">
        <v>153</v>
      </c>
      <c r="D78" s="299">
        <f>337.5</f>
        <v>337.5</v>
      </c>
      <c r="E78" s="106">
        <v>170</v>
      </c>
      <c r="F78" s="97">
        <f t="shared" ref="F78:F79" si="24">D78*E78</f>
        <v>57375</v>
      </c>
      <c r="G78" s="97">
        <f t="shared" ref="G78:G79" si="25">F78*9%</f>
        <v>5163.75</v>
      </c>
      <c r="H78" s="97">
        <f t="shared" ref="H78:H79" si="26">G78</f>
        <v>5163.75</v>
      </c>
      <c r="I78" s="97">
        <f t="shared" ref="I78:I79" si="27">F78+G78+H78</f>
        <v>67702.5</v>
      </c>
      <c r="J78" s="129"/>
    </row>
    <row r="79" spans="1:10" x14ac:dyDescent="0.25">
      <c r="A79" s="106">
        <v>2</v>
      </c>
      <c r="B79" s="106" t="s">
        <v>167</v>
      </c>
      <c r="C79" s="106" t="s">
        <v>139</v>
      </c>
      <c r="D79" s="299">
        <v>30</v>
      </c>
      <c r="E79" s="106">
        <v>350</v>
      </c>
      <c r="F79" s="97">
        <f t="shared" si="24"/>
        <v>10500</v>
      </c>
      <c r="G79" s="97">
        <f t="shared" si="25"/>
        <v>945</v>
      </c>
      <c r="H79" s="97">
        <f t="shared" si="26"/>
        <v>945</v>
      </c>
      <c r="I79" s="97">
        <f t="shared" si="27"/>
        <v>12390</v>
      </c>
      <c r="J79" s="129"/>
    </row>
    <row r="80" spans="1:10" x14ac:dyDescent="0.25">
      <c r="A80" s="106"/>
      <c r="B80" s="106"/>
      <c r="C80" s="106"/>
      <c r="D80" s="106"/>
      <c r="E80" s="106"/>
      <c r="F80" s="223">
        <f>SUM(F78:F79)</f>
        <v>67875</v>
      </c>
      <c r="G80" s="223">
        <f t="shared" ref="G80:I80" si="28">SUM(G78:G79)</f>
        <v>6108.75</v>
      </c>
      <c r="H80" s="223">
        <f t="shared" si="28"/>
        <v>6108.75</v>
      </c>
      <c r="I80" s="223">
        <f t="shared" si="28"/>
        <v>80092.5</v>
      </c>
      <c r="J80" s="106"/>
    </row>
    <row r="81" spans="1:10" x14ac:dyDescent="0.25">
      <c r="F81" s="9"/>
      <c r="G81" s="9"/>
      <c r="H81" s="9"/>
      <c r="I81" s="9"/>
    </row>
    <row r="82" spans="1:10" ht="18.75" x14ac:dyDescent="0.3">
      <c r="A82" s="53">
        <v>9</v>
      </c>
      <c r="B82" s="339" t="s">
        <v>40</v>
      </c>
      <c r="C82" s="339"/>
      <c r="D82" s="339"/>
      <c r="E82" s="339"/>
      <c r="F82" s="53"/>
      <c r="G82" s="53"/>
      <c r="H82" s="53"/>
      <c r="I82" s="53"/>
      <c r="J82" s="53"/>
    </row>
    <row r="83" spans="1:10" ht="18.75" x14ac:dyDescent="0.25">
      <c r="A83" s="210" t="s">
        <v>11</v>
      </c>
      <c r="B83" s="210" t="s">
        <v>41</v>
      </c>
      <c r="C83" s="210" t="s">
        <v>71</v>
      </c>
      <c r="D83" s="210" t="s">
        <v>72</v>
      </c>
      <c r="E83" s="210" t="s">
        <v>6</v>
      </c>
      <c r="F83" s="210" t="s">
        <v>7</v>
      </c>
      <c r="G83" s="210" t="s">
        <v>16</v>
      </c>
      <c r="H83" s="210" t="s">
        <v>17</v>
      </c>
      <c r="I83" s="210" t="s">
        <v>19</v>
      </c>
      <c r="J83" s="211" t="s">
        <v>13</v>
      </c>
    </row>
    <row r="84" spans="1:10" x14ac:dyDescent="0.25">
      <c r="A84" s="106">
        <v>1</v>
      </c>
      <c r="B84" s="106" t="s">
        <v>74</v>
      </c>
      <c r="C84" s="106" t="s">
        <v>73</v>
      </c>
      <c r="D84" s="299">
        <v>16.5</v>
      </c>
      <c r="E84" s="106">
        <v>925</v>
      </c>
      <c r="F84" s="97">
        <f>D84*E84</f>
        <v>15262.5</v>
      </c>
      <c r="G84" s="97">
        <f t="shared" ref="G84:G85" si="29">F84*9%</f>
        <v>1373.625</v>
      </c>
      <c r="H84" s="97">
        <f t="shared" ref="H84:H85" si="30">G84</f>
        <v>1373.625</v>
      </c>
      <c r="I84" s="97">
        <f t="shared" ref="I84:I85" si="31">F84+G84+H84</f>
        <v>18009.75</v>
      </c>
      <c r="J84" s="106"/>
    </row>
    <row r="85" spans="1:10" x14ac:dyDescent="0.25">
      <c r="A85" s="106">
        <v>2</v>
      </c>
      <c r="B85" s="106" t="s">
        <v>42</v>
      </c>
      <c r="C85" s="106" t="s">
        <v>92</v>
      </c>
      <c r="D85" s="299">
        <f>40*5.4</f>
        <v>216</v>
      </c>
      <c r="E85" s="106">
        <v>127</v>
      </c>
      <c r="F85" s="97">
        <f t="shared" ref="F85" si="32">D85*E85</f>
        <v>27432</v>
      </c>
      <c r="G85" s="97">
        <f t="shared" si="29"/>
        <v>2468.88</v>
      </c>
      <c r="H85" s="97">
        <f t="shared" si="30"/>
        <v>2468.88</v>
      </c>
      <c r="I85" s="97">
        <f t="shared" si="31"/>
        <v>32369.760000000002</v>
      </c>
      <c r="J85" s="106" t="s">
        <v>294</v>
      </c>
    </row>
    <row r="86" spans="1:10" x14ac:dyDescent="0.25">
      <c r="A86" s="106"/>
      <c r="B86" s="106"/>
      <c r="C86" s="106"/>
      <c r="D86" s="106"/>
      <c r="E86" s="106"/>
      <c r="F86" s="223">
        <f>SUM(F84:F85)</f>
        <v>42694.5</v>
      </c>
      <c r="G86" s="223">
        <f>SUM(G84:G85)</f>
        <v>3842.5050000000001</v>
      </c>
      <c r="H86" s="223">
        <f>SUM(H84:H85)</f>
        <v>3842.5050000000001</v>
      </c>
      <c r="I86" s="223">
        <f>SUM(I84:I85)</f>
        <v>50379.51</v>
      </c>
      <c r="J86" s="106"/>
    </row>
  </sheetData>
  <mergeCells count="9">
    <mergeCell ref="A2:C2"/>
    <mergeCell ref="B16:F16"/>
    <mergeCell ref="B31:F31"/>
    <mergeCell ref="B41:F41"/>
    <mergeCell ref="B82:E82"/>
    <mergeCell ref="B55:F55"/>
    <mergeCell ref="B63:F63"/>
    <mergeCell ref="B70:F70"/>
    <mergeCell ref="B76:F76"/>
  </mergeCells>
  <hyperlinks>
    <hyperlink ref="H77" r:id="rId1" display="VAT@14.5%" xr:uid="{46A7C682-81C7-4C36-8738-3838E79DB0FD}"/>
    <hyperlink ref="H71" r:id="rId2" display="VAT@14.5%" xr:uid="{CF64A29D-5BB4-4639-AE0A-832A561FF140}"/>
    <hyperlink ref="H83" r:id="rId3" display="VAT@14.5%" xr:uid="{4D86EE31-7F51-4DCA-9FB3-E767037B6AEA}"/>
    <hyperlink ref="H64" r:id="rId4" display="VAT@14.5%" xr:uid="{F304C111-7873-4CB8-A229-6BD1847591FB}"/>
    <hyperlink ref="H56" r:id="rId5" display="VAT@14.5%" xr:uid="{71C17EBF-6111-41B7-B272-0DB23EA921A1}"/>
    <hyperlink ref="H42" r:id="rId6" display="VAT@14.5%" xr:uid="{E40909DC-DD02-4ADF-8F89-0040F855C764}"/>
    <hyperlink ref="H32" r:id="rId7" display="VAT@14.5%" xr:uid="{E5C8EE69-D0A1-410B-B912-07A0412B60E2}"/>
    <hyperlink ref="H17" r:id="rId8" display="VAT@14.5%" xr:uid="{10C8E429-8B0B-4E69-9659-FABA7F1A1AF8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2:M51"/>
  <sheetViews>
    <sheetView showGridLines="0" topLeftCell="A25" workbookViewId="0">
      <selection activeCell="C6" sqref="C6"/>
    </sheetView>
  </sheetViews>
  <sheetFormatPr defaultRowHeight="15" x14ac:dyDescent="0.25"/>
  <cols>
    <col min="1" max="1" width="3.28515625" bestFit="1" customWidth="1"/>
    <col min="2" max="2" width="30.5703125" bestFit="1" customWidth="1"/>
    <col min="3" max="3" width="51.42578125" customWidth="1"/>
    <col min="4" max="4" width="80" customWidth="1"/>
    <col min="5" max="5" width="13.7109375" bestFit="1" customWidth="1"/>
    <col min="6" max="6" width="13" customWidth="1"/>
    <col min="7" max="7" width="17.85546875" customWidth="1"/>
    <col min="8" max="8" width="16" customWidth="1"/>
    <col min="9" max="9" width="15.85546875" customWidth="1"/>
    <col min="10" max="10" width="20.85546875" customWidth="1"/>
    <col min="11" max="11" width="29.42578125" bestFit="1" customWidth="1"/>
    <col min="12" max="12" width="12.5703125" bestFit="1" customWidth="1"/>
    <col min="13" max="13" width="11.5703125" bestFit="1" customWidth="1"/>
  </cols>
  <sheetData>
    <row r="2" spans="1:13" ht="21" x14ac:dyDescent="0.35">
      <c r="A2" s="353" t="s">
        <v>135</v>
      </c>
      <c r="B2" s="353"/>
      <c r="C2" s="353"/>
      <c r="J2" s="18"/>
      <c r="K2" s="18"/>
    </row>
    <row r="3" spans="1:13" ht="18.75" x14ac:dyDescent="0.3">
      <c r="A3" s="212" t="s">
        <v>11</v>
      </c>
      <c r="B3" s="213" t="s">
        <v>23</v>
      </c>
      <c r="C3" s="213" t="s">
        <v>24</v>
      </c>
      <c r="J3" s="18"/>
      <c r="K3" s="18"/>
    </row>
    <row r="4" spans="1:13" ht="18.75" x14ac:dyDescent="0.3">
      <c r="A4" s="127">
        <v>1</v>
      </c>
      <c r="B4" s="127" t="s">
        <v>53</v>
      </c>
      <c r="C4" s="214">
        <f>G45</f>
        <v>2701224</v>
      </c>
      <c r="J4" s="18"/>
      <c r="K4" s="18"/>
    </row>
    <row r="5" spans="1:13" ht="18.75" x14ac:dyDescent="0.3">
      <c r="A5" s="127">
        <v>2</v>
      </c>
      <c r="B5" s="127" t="s">
        <v>193</v>
      </c>
      <c r="C5" s="214">
        <f>G51</f>
        <v>17864</v>
      </c>
      <c r="J5" s="18"/>
      <c r="K5" s="18"/>
    </row>
    <row r="6" spans="1:13" ht="18.75" x14ac:dyDescent="0.3">
      <c r="A6" s="106"/>
      <c r="B6" s="215" t="s">
        <v>8</v>
      </c>
      <c r="C6" s="128">
        <f>SUM(C4:C5)</f>
        <v>2719088</v>
      </c>
    </row>
    <row r="10" spans="1:13" ht="21" x14ac:dyDescent="0.35">
      <c r="A10" s="354" t="s">
        <v>265</v>
      </c>
      <c r="B10" s="354"/>
      <c r="C10" s="354"/>
      <c r="D10" s="354"/>
      <c r="E10" s="354"/>
      <c r="F10" s="354"/>
      <c r="G10" s="354"/>
      <c r="H10" s="354"/>
      <c r="I10" s="354"/>
      <c r="J10" s="354"/>
    </row>
    <row r="11" spans="1:13" ht="18.75" x14ac:dyDescent="0.25">
      <c r="A11" s="244" t="s">
        <v>43</v>
      </c>
      <c r="B11" s="244" t="s">
        <v>44</v>
      </c>
      <c r="C11" s="244" t="s">
        <v>45</v>
      </c>
      <c r="D11" s="244" t="s">
        <v>49</v>
      </c>
      <c r="E11" s="244" t="s">
        <v>5</v>
      </c>
      <c r="F11" s="244" t="s">
        <v>6</v>
      </c>
      <c r="G11" s="244" t="s">
        <v>48</v>
      </c>
      <c r="H11" s="244" t="s">
        <v>46</v>
      </c>
      <c r="I11" s="244" t="s">
        <v>47</v>
      </c>
      <c r="J11" s="244" t="s">
        <v>8</v>
      </c>
      <c r="K11" s="244" t="s">
        <v>13</v>
      </c>
      <c r="L11" s="271" t="s">
        <v>200</v>
      </c>
    </row>
    <row r="12" spans="1:13" ht="16.5" customHeight="1" x14ac:dyDescent="0.25">
      <c r="A12" s="355">
        <v>1</v>
      </c>
      <c r="B12" s="356" t="s">
        <v>118</v>
      </c>
      <c r="C12" s="357" t="s">
        <v>329</v>
      </c>
      <c r="D12" s="247" t="s">
        <v>330</v>
      </c>
      <c r="E12" s="307">
        <v>2.5</v>
      </c>
      <c r="F12" s="308">
        <f>680+252</f>
        <v>932</v>
      </c>
      <c r="G12" s="97">
        <f t="shared" ref="G12" si="0">E12*F12</f>
        <v>2330</v>
      </c>
      <c r="H12" s="97">
        <f t="shared" ref="H12" si="1">G12*9%</f>
        <v>209.7</v>
      </c>
      <c r="I12" s="97">
        <f t="shared" ref="I12" si="2">G12*9%</f>
        <v>209.7</v>
      </c>
      <c r="J12" s="270">
        <f t="shared" ref="J12" si="3">G12+H12+I12</f>
        <v>2749.3999999999996</v>
      </c>
      <c r="K12" s="358" t="s">
        <v>202</v>
      </c>
      <c r="L12" s="359" t="s">
        <v>199</v>
      </c>
      <c r="M12" s="360"/>
    </row>
    <row r="13" spans="1:13" ht="15.75" customHeight="1" x14ac:dyDescent="0.25">
      <c r="A13" s="355"/>
      <c r="B13" s="356"/>
      <c r="C13" s="357"/>
      <c r="D13" s="247" t="s">
        <v>331</v>
      </c>
      <c r="E13" s="123">
        <f>2.3+2.8+2.1+2.7+3.1+3.1</f>
        <v>16.099999999999998</v>
      </c>
      <c r="F13" s="308">
        <f>795+252</f>
        <v>1047</v>
      </c>
      <c r="G13" s="97">
        <f t="shared" ref="G13" si="4">E13*F13</f>
        <v>16856.699999999997</v>
      </c>
      <c r="H13" s="97">
        <f t="shared" ref="H13" si="5">G13*9%</f>
        <v>1517.1029999999996</v>
      </c>
      <c r="I13" s="97">
        <f t="shared" ref="I13" si="6">G13*9%</f>
        <v>1517.1029999999996</v>
      </c>
      <c r="J13" s="270">
        <f t="shared" ref="J13" si="7">G13+H13+I13</f>
        <v>19890.905999999995</v>
      </c>
      <c r="K13" s="358"/>
      <c r="L13" s="359"/>
      <c r="M13" s="360"/>
    </row>
    <row r="14" spans="1:13" ht="15.75" customHeight="1" x14ac:dyDescent="0.25">
      <c r="A14" s="355"/>
      <c r="B14" s="356"/>
      <c r="C14" s="357"/>
      <c r="D14" s="247" t="s">
        <v>332</v>
      </c>
      <c r="E14" s="123">
        <f>4.3+3.6</f>
        <v>7.9</v>
      </c>
      <c r="F14" s="309">
        <f>950+252</f>
        <v>1202</v>
      </c>
      <c r="G14" s="97">
        <f t="shared" ref="G14:G29" si="8">E14*F14</f>
        <v>9495.8000000000011</v>
      </c>
      <c r="H14" s="97">
        <f t="shared" ref="H14:H29" si="9">G14*9%</f>
        <v>854.62200000000007</v>
      </c>
      <c r="I14" s="97">
        <f t="shared" ref="I14:I29" si="10">G14*9%</f>
        <v>854.62200000000007</v>
      </c>
      <c r="J14" s="270">
        <f t="shared" ref="J14:J29" si="11">G14+H14+I14</f>
        <v>11205.044</v>
      </c>
      <c r="K14" s="358"/>
      <c r="L14" s="359"/>
      <c r="M14" s="360"/>
    </row>
    <row r="15" spans="1:13" ht="15.75" customHeight="1" x14ac:dyDescent="0.25">
      <c r="A15" s="355"/>
      <c r="B15" s="356"/>
      <c r="C15" s="357"/>
      <c r="D15" s="247" t="s">
        <v>333</v>
      </c>
      <c r="E15" s="123">
        <v>19.5</v>
      </c>
      <c r="F15" s="309">
        <v>3300</v>
      </c>
      <c r="G15" s="97">
        <f t="shared" si="8"/>
        <v>64350</v>
      </c>
      <c r="H15" s="97">
        <f t="shared" si="9"/>
        <v>5791.5</v>
      </c>
      <c r="I15" s="97">
        <f t="shared" si="10"/>
        <v>5791.5</v>
      </c>
      <c r="J15" s="270">
        <f t="shared" si="11"/>
        <v>75933</v>
      </c>
      <c r="K15" s="358"/>
      <c r="L15" s="359"/>
      <c r="M15" s="360"/>
    </row>
    <row r="16" spans="1:13" ht="15.75" customHeight="1" x14ac:dyDescent="0.25">
      <c r="A16" s="355">
        <v>3</v>
      </c>
      <c r="B16" s="356" t="s">
        <v>118</v>
      </c>
      <c r="C16" s="357" t="s">
        <v>334</v>
      </c>
      <c r="D16" s="247" t="s">
        <v>264</v>
      </c>
      <c r="E16" s="123">
        <v>54.1</v>
      </c>
      <c r="F16" s="309">
        <v>525</v>
      </c>
      <c r="G16" s="97">
        <f t="shared" si="8"/>
        <v>28402.5</v>
      </c>
      <c r="H16" s="97">
        <f t="shared" si="9"/>
        <v>2556.2249999999999</v>
      </c>
      <c r="I16" s="97">
        <f t="shared" si="10"/>
        <v>2556.2249999999999</v>
      </c>
      <c r="J16" s="270">
        <f t="shared" si="11"/>
        <v>33514.949999999997</v>
      </c>
      <c r="K16" s="358"/>
      <c r="L16" s="359"/>
      <c r="M16" s="359"/>
    </row>
    <row r="17" spans="1:13" ht="15.75" customHeight="1" x14ac:dyDescent="0.25">
      <c r="A17" s="355"/>
      <c r="B17" s="356"/>
      <c r="C17" s="357"/>
      <c r="D17" s="247" t="s">
        <v>335</v>
      </c>
      <c r="E17" s="123">
        <v>799.2</v>
      </c>
      <c r="F17" s="309">
        <v>475</v>
      </c>
      <c r="G17" s="97">
        <f t="shared" si="8"/>
        <v>379620</v>
      </c>
      <c r="H17" s="97">
        <f t="shared" si="9"/>
        <v>34165.799999999996</v>
      </c>
      <c r="I17" s="97">
        <f t="shared" si="10"/>
        <v>34165.799999999996</v>
      </c>
      <c r="J17" s="270">
        <f t="shared" si="11"/>
        <v>447951.6</v>
      </c>
      <c r="K17" s="358"/>
      <c r="L17" s="359"/>
      <c r="M17" s="359"/>
    </row>
    <row r="18" spans="1:13" ht="15.75" customHeight="1" x14ac:dyDescent="0.25">
      <c r="A18" s="355"/>
      <c r="B18" s="356"/>
      <c r="C18" s="357"/>
      <c r="D18" s="247" t="s">
        <v>336</v>
      </c>
      <c r="E18" s="123">
        <v>61.1</v>
      </c>
      <c r="F18" s="309">
        <v>685</v>
      </c>
      <c r="G18" s="97">
        <f t="shared" si="8"/>
        <v>41853.5</v>
      </c>
      <c r="H18" s="97">
        <f t="shared" si="9"/>
        <v>3766.8150000000001</v>
      </c>
      <c r="I18" s="97">
        <f t="shared" si="10"/>
        <v>3766.8150000000001</v>
      </c>
      <c r="J18" s="270">
        <f t="shared" si="11"/>
        <v>49387.130000000005</v>
      </c>
      <c r="K18" s="358"/>
      <c r="L18" s="359"/>
      <c r="M18" s="359"/>
    </row>
    <row r="19" spans="1:13" ht="15.75" customHeight="1" x14ac:dyDescent="0.25">
      <c r="A19" s="355">
        <v>4</v>
      </c>
      <c r="B19" s="356" t="s">
        <v>337</v>
      </c>
      <c r="C19" s="357" t="s">
        <v>338</v>
      </c>
      <c r="D19" s="247" t="s">
        <v>339</v>
      </c>
      <c r="E19" s="123">
        <v>18.399999999999999</v>
      </c>
      <c r="F19" s="309">
        <v>585</v>
      </c>
      <c r="G19" s="97">
        <f t="shared" si="8"/>
        <v>10764</v>
      </c>
      <c r="H19" s="97">
        <f t="shared" si="9"/>
        <v>968.76</v>
      </c>
      <c r="I19" s="97">
        <f t="shared" si="10"/>
        <v>968.76</v>
      </c>
      <c r="J19" s="270">
        <f t="shared" si="11"/>
        <v>12701.52</v>
      </c>
      <c r="K19" s="358" t="s">
        <v>260</v>
      </c>
      <c r="L19" s="359" t="s">
        <v>260</v>
      </c>
      <c r="M19" s="359"/>
    </row>
    <row r="20" spans="1:13" ht="15.75" customHeight="1" x14ac:dyDescent="0.25">
      <c r="A20" s="355"/>
      <c r="B20" s="356"/>
      <c r="C20" s="357"/>
      <c r="D20" s="247" t="s">
        <v>340</v>
      </c>
      <c r="E20" s="123">
        <f>209+122.7+4.4</f>
        <v>336.09999999999997</v>
      </c>
      <c r="F20" s="309">
        <v>585</v>
      </c>
      <c r="G20" s="97">
        <f t="shared" si="8"/>
        <v>196618.49999999997</v>
      </c>
      <c r="H20" s="97">
        <f t="shared" si="9"/>
        <v>17695.664999999997</v>
      </c>
      <c r="I20" s="97">
        <f t="shared" si="10"/>
        <v>17695.664999999997</v>
      </c>
      <c r="J20" s="270">
        <f t="shared" si="11"/>
        <v>232009.83</v>
      </c>
      <c r="K20" s="358"/>
      <c r="L20" s="359"/>
      <c r="M20" s="359"/>
    </row>
    <row r="21" spans="1:13" ht="15.75" customHeight="1" x14ac:dyDescent="0.25">
      <c r="A21" s="355"/>
      <c r="B21" s="356"/>
      <c r="C21" s="357"/>
      <c r="D21" s="247" t="s">
        <v>262</v>
      </c>
      <c r="E21" s="123">
        <v>57.8</v>
      </c>
      <c r="F21" s="309">
        <v>585</v>
      </c>
      <c r="G21" s="97">
        <f t="shared" si="8"/>
        <v>33813</v>
      </c>
      <c r="H21" s="97">
        <f t="shared" si="9"/>
        <v>3043.17</v>
      </c>
      <c r="I21" s="97">
        <f t="shared" si="10"/>
        <v>3043.17</v>
      </c>
      <c r="J21" s="270">
        <f t="shared" si="11"/>
        <v>39899.339999999997</v>
      </c>
      <c r="K21" s="358"/>
      <c r="L21" s="359"/>
      <c r="M21" s="359"/>
    </row>
    <row r="22" spans="1:13" ht="15.75" customHeight="1" x14ac:dyDescent="0.25">
      <c r="A22" s="355"/>
      <c r="B22" s="356"/>
      <c r="C22" s="357"/>
      <c r="D22" s="247" t="s">
        <v>341</v>
      </c>
      <c r="E22" s="123">
        <f>9.9+0.6</f>
        <v>10.5</v>
      </c>
      <c r="F22" s="309">
        <v>585</v>
      </c>
      <c r="G22" s="97">
        <f t="shared" si="8"/>
        <v>6142.5</v>
      </c>
      <c r="H22" s="97">
        <f t="shared" si="9"/>
        <v>552.82499999999993</v>
      </c>
      <c r="I22" s="97">
        <f t="shared" si="10"/>
        <v>552.82499999999993</v>
      </c>
      <c r="J22" s="270">
        <f t="shared" si="11"/>
        <v>7248.15</v>
      </c>
      <c r="K22" s="358"/>
      <c r="L22" s="359"/>
      <c r="M22" s="359"/>
    </row>
    <row r="23" spans="1:13" ht="15.75" customHeight="1" x14ac:dyDescent="0.25">
      <c r="A23" s="355"/>
      <c r="B23" s="356"/>
      <c r="C23" s="357"/>
      <c r="D23" s="247" t="s">
        <v>342</v>
      </c>
      <c r="E23" s="123">
        <v>14.7</v>
      </c>
      <c r="F23" s="309">
        <f>660+380</f>
        <v>1040</v>
      </c>
      <c r="G23" s="97">
        <f t="shared" si="8"/>
        <v>15288</v>
      </c>
      <c r="H23" s="97">
        <f t="shared" si="9"/>
        <v>1375.9199999999998</v>
      </c>
      <c r="I23" s="97">
        <f t="shared" si="10"/>
        <v>1375.9199999999998</v>
      </c>
      <c r="J23" s="270">
        <f t="shared" si="11"/>
        <v>18039.839999999997</v>
      </c>
      <c r="K23" s="358"/>
      <c r="L23" s="359"/>
      <c r="M23" s="359"/>
    </row>
    <row r="24" spans="1:13" ht="15.75" customHeight="1" x14ac:dyDescent="0.25">
      <c r="A24" s="355"/>
      <c r="B24" s="356"/>
      <c r="C24" s="357"/>
      <c r="D24" s="247" t="s">
        <v>343</v>
      </c>
      <c r="E24" s="123">
        <f>10.3+13.2</f>
        <v>23.5</v>
      </c>
      <c r="F24" s="309">
        <f>795+380</f>
        <v>1175</v>
      </c>
      <c r="G24" s="97">
        <f t="shared" si="8"/>
        <v>27612.5</v>
      </c>
      <c r="H24" s="97">
        <f t="shared" si="9"/>
        <v>2485.125</v>
      </c>
      <c r="I24" s="97">
        <f t="shared" si="10"/>
        <v>2485.125</v>
      </c>
      <c r="J24" s="270">
        <f t="shared" si="11"/>
        <v>32582.75</v>
      </c>
      <c r="K24" s="358"/>
      <c r="L24" s="359"/>
      <c r="M24" s="359"/>
    </row>
    <row r="25" spans="1:13" ht="15.75" customHeight="1" x14ac:dyDescent="0.25">
      <c r="A25" s="355"/>
      <c r="B25" s="356"/>
      <c r="C25" s="357"/>
      <c r="D25" s="247" t="s">
        <v>344</v>
      </c>
      <c r="E25" s="123">
        <f>39.5+22.9</f>
        <v>62.4</v>
      </c>
      <c r="F25" s="309">
        <v>790</v>
      </c>
      <c r="G25" s="97">
        <f t="shared" si="8"/>
        <v>49296</v>
      </c>
      <c r="H25" s="97">
        <f t="shared" si="9"/>
        <v>4436.6399999999994</v>
      </c>
      <c r="I25" s="97">
        <f t="shared" si="10"/>
        <v>4436.6399999999994</v>
      </c>
      <c r="J25" s="270">
        <f t="shared" si="11"/>
        <v>58169.279999999999</v>
      </c>
      <c r="K25" s="358"/>
      <c r="L25" s="359"/>
      <c r="M25" s="359"/>
    </row>
    <row r="26" spans="1:13" ht="15.75" customHeight="1" x14ac:dyDescent="0.25">
      <c r="A26" s="355"/>
      <c r="B26" s="356"/>
      <c r="C26" s="357"/>
      <c r="D26" s="247" t="s">
        <v>263</v>
      </c>
      <c r="E26" s="123">
        <v>6.1</v>
      </c>
      <c r="F26" s="309">
        <v>790</v>
      </c>
      <c r="G26" s="97">
        <f t="shared" si="8"/>
        <v>4819</v>
      </c>
      <c r="H26" s="97">
        <f t="shared" si="9"/>
        <v>433.71</v>
      </c>
      <c r="I26" s="97">
        <f t="shared" si="10"/>
        <v>433.71</v>
      </c>
      <c r="J26" s="270">
        <f t="shared" si="11"/>
        <v>5686.42</v>
      </c>
      <c r="K26" s="358"/>
      <c r="L26" s="359"/>
      <c r="M26" s="359"/>
    </row>
    <row r="27" spans="1:13" ht="15.75" customHeight="1" x14ac:dyDescent="0.25">
      <c r="A27" s="355"/>
      <c r="B27" s="356"/>
      <c r="C27" s="357"/>
      <c r="D27" s="247" t="s">
        <v>345</v>
      </c>
      <c r="E27" s="123">
        <v>13.1</v>
      </c>
      <c r="F27" s="309">
        <v>790</v>
      </c>
      <c r="G27" s="97">
        <f t="shared" si="8"/>
        <v>10349</v>
      </c>
      <c r="H27" s="97">
        <f t="shared" si="9"/>
        <v>931.41</v>
      </c>
      <c r="I27" s="97">
        <f t="shared" si="10"/>
        <v>931.41</v>
      </c>
      <c r="J27" s="270">
        <f t="shared" si="11"/>
        <v>12211.82</v>
      </c>
      <c r="K27" s="358"/>
      <c r="L27" s="359"/>
      <c r="M27" s="359"/>
    </row>
    <row r="28" spans="1:13" ht="15.75" customHeight="1" x14ac:dyDescent="0.25">
      <c r="A28" s="355"/>
      <c r="B28" s="356"/>
      <c r="C28" s="357"/>
      <c r="D28" s="247" t="s">
        <v>346</v>
      </c>
      <c r="E28" s="123">
        <f>86.4+40.1</f>
        <v>126.5</v>
      </c>
      <c r="F28" s="309">
        <v>915</v>
      </c>
      <c r="G28" s="97">
        <f t="shared" si="8"/>
        <v>115747.5</v>
      </c>
      <c r="H28" s="97">
        <f t="shared" si="9"/>
        <v>10417.275</v>
      </c>
      <c r="I28" s="97">
        <f t="shared" si="10"/>
        <v>10417.275</v>
      </c>
      <c r="J28" s="270">
        <f t="shared" si="11"/>
        <v>136582.04999999999</v>
      </c>
      <c r="K28" s="358"/>
      <c r="L28" s="359"/>
      <c r="M28" s="359"/>
    </row>
    <row r="29" spans="1:13" ht="15.75" customHeight="1" x14ac:dyDescent="0.25">
      <c r="A29" s="355"/>
      <c r="B29" s="356"/>
      <c r="C29" s="357"/>
      <c r="D29" s="247" t="s">
        <v>347</v>
      </c>
      <c r="E29" s="123">
        <v>6.1</v>
      </c>
      <c r="F29" s="309">
        <v>915</v>
      </c>
      <c r="G29" s="97">
        <f t="shared" si="8"/>
        <v>5581.5</v>
      </c>
      <c r="H29" s="97">
        <f t="shared" si="9"/>
        <v>502.33499999999998</v>
      </c>
      <c r="I29" s="97">
        <f t="shared" si="10"/>
        <v>502.33499999999998</v>
      </c>
      <c r="J29" s="270">
        <f t="shared" si="11"/>
        <v>6586.17</v>
      </c>
      <c r="K29" s="358"/>
      <c r="L29" s="359"/>
      <c r="M29" s="359"/>
    </row>
    <row r="30" spans="1:13" ht="15.75" customHeight="1" x14ac:dyDescent="0.25">
      <c r="A30" s="355"/>
      <c r="B30" s="356"/>
      <c r="C30" s="357"/>
      <c r="D30" s="247" t="s">
        <v>348</v>
      </c>
      <c r="E30" s="123">
        <f>15.8+25.8</f>
        <v>41.6</v>
      </c>
      <c r="F30" s="309">
        <v>1030</v>
      </c>
      <c r="G30" s="97">
        <f t="shared" ref="G30:G32" si="12">E30*F30</f>
        <v>42848</v>
      </c>
      <c r="H30" s="97">
        <f t="shared" ref="H30:H32" si="13">G30*9%</f>
        <v>3856.3199999999997</v>
      </c>
      <c r="I30" s="97">
        <f t="shared" ref="I30:I32" si="14">G30*9%</f>
        <v>3856.3199999999997</v>
      </c>
      <c r="J30" s="270">
        <f t="shared" ref="J30:J32" si="15">G30+H30+I30</f>
        <v>50560.639999999999</v>
      </c>
      <c r="K30" s="358"/>
      <c r="L30" s="359"/>
      <c r="M30" s="359"/>
    </row>
    <row r="31" spans="1:13" ht="15.75" customHeight="1" x14ac:dyDescent="0.25">
      <c r="A31" s="355"/>
      <c r="B31" s="356"/>
      <c r="C31" s="357"/>
      <c r="D31" s="247" t="s">
        <v>349</v>
      </c>
      <c r="E31" s="123">
        <f>29.4+28.1</f>
        <v>57.5</v>
      </c>
      <c r="F31" s="309">
        <v>1030</v>
      </c>
      <c r="G31" s="97">
        <f t="shared" si="12"/>
        <v>59225</v>
      </c>
      <c r="H31" s="97">
        <f t="shared" si="13"/>
        <v>5330.25</v>
      </c>
      <c r="I31" s="97">
        <f t="shared" si="14"/>
        <v>5330.25</v>
      </c>
      <c r="J31" s="270">
        <f t="shared" si="15"/>
        <v>69885.5</v>
      </c>
      <c r="K31" s="358"/>
      <c r="L31" s="359"/>
      <c r="M31" s="359"/>
    </row>
    <row r="32" spans="1:13" ht="15.75" customHeight="1" x14ac:dyDescent="0.25">
      <c r="A32" s="355">
        <v>5</v>
      </c>
      <c r="B32" s="356" t="s">
        <v>118</v>
      </c>
      <c r="C32" s="357" t="s">
        <v>350</v>
      </c>
      <c r="D32" s="247" t="s">
        <v>351</v>
      </c>
      <c r="E32" s="123">
        <f>9.7+45.7</f>
        <v>55.400000000000006</v>
      </c>
      <c r="F32" s="309">
        <v>585</v>
      </c>
      <c r="G32" s="97">
        <f t="shared" si="12"/>
        <v>32409.000000000004</v>
      </c>
      <c r="H32" s="97">
        <f t="shared" si="13"/>
        <v>2916.8100000000004</v>
      </c>
      <c r="I32" s="97">
        <f t="shared" si="14"/>
        <v>2916.8100000000004</v>
      </c>
      <c r="J32" s="270">
        <f t="shared" si="15"/>
        <v>38242.620000000003</v>
      </c>
      <c r="K32" s="361" t="s">
        <v>358</v>
      </c>
      <c r="L32" s="359" t="s">
        <v>260</v>
      </c>
      <c r="M32" s="359"/>
    </row>
    <row r="33" spans="1:13" ht="15.75" customHeight="1" x14ac:dyDescent="0.25">
      <c r="A33" s="355"/>
      <c r="B33" s="356"/>
      <c r="C33" s="357"/>
      <c r="D33" s="247" t="s">
        <v>352</v>
      </c>
      <c r="E33" s="123">
        <f>121.9+206.2</f>
        <v>328.1</v>
      </c>
      <c r="F33" s="309">
        <f>585+289</f>
        <v>874</v>
      </c>
      <c r="G33" s="97">
        <f t="shared" ref="G33:G44" si="16">E33*F33</f>
        <v>286759.40000000002</v>
      </c>
      <c r="H33" s="97">
        <f t="shared" ref="H33:H44" si="17">G33*9%</f>
        <v>25808.346000000001</v>
      </c>
      <c r="I33" s="97">
        <f t="shared" ref="I33:I44" si="18">G33*9%</f>
        <v>25808.346000000001</v>
      </c>
      <c r="J33" s="270">
        <f t="shared" ref="J33:J44" si="19">G33+H33+I33</f>
        <v>338376.09200000006</v>
      </c>
      <c r="K33" s="361"/>
      <c r="L33" s="359"/>
      <c r="M33" s="359"/>
    </row>
    <row r="34" spans="1:13" ht="15.75" customHeight="1" x14ac:dyDescent="0.25">
      <c r="A34" s="355"/>
      <c r="B34" s="356"/>
      <c r="C34" s="357"/>
      <c r="D34" s="247" t="s">
        <v>353</v>
      </c>
      <c r="E34" s="123">
        <f>22.3+36.9</f>
        <v>59.2</v>
      </c>
      <c r="F34" s="309">
        <f>585+805</f>
        <v>1390</v>
      </c>
      <c r="G34" s="97">
        <f t="shared" si="16"/>
        <v>82288</v>
      </c>
      <c r="H34" s="97">
        <f t="shared" si="17"/>
        <v>7405.92</v>
      </c>
      <c r="I34" s="97">
        <f t="shared" si="18"/>
        <v>7405.92</v>
      </c>
      <c r="J34" s="270">
        <f t="shared" si="19"/>
        <v>97099.839999999997</v>
      </c>
      <c r="K34" s="361"/>
      <c r="L34" s="359"/>
      <c r="M34" s="359"/>
    </row>
    <row r="35" spans="1:13" ht="15.75" customHeight="1" x14ac:dyDescent="0.25">
      <c r="A35" s="355"/>
      <c r="B35" s="356"/>
      <c r="C35" s="357"/>
      <c r="D35" s="247" t="s">
        <v>341</v>
      </c>
      <c r="E35" s="123">
        <f>2+18.9</f>
        <v>20.9</v>
      </c>
      <c r="F35" s="309">
        <f>585+1271</f>
        <v>1856</v>
      </c>
      <c r="G35" s="97">
        <f t="shared" si="16"/>
        <v>38790.399999999994</v>
      </c>
      <c r="H35" s="97">
        <f t="shared" si="17"/>
        <v>3491.1359999999995</v>
      </c>
      <c r="I35" s="97">
        <f t="shared" si="18"/>
        <v>3491.1359999999995</v>
      </c>
      <c r="J35" s="270">
        <f t="shared" si="19"/>
        <v>45772.671999999991</v>
      </c>
      <c r="K35" s="361"/>
      <c r="L35" s="359"/>
      <c r="M35" s="359"/>
    </row>
    <row r="36" spans="1:13" ht="15.75" customHeight="1" x14ac:dyDescent="0.25">
      <c r="A36" s="355"/>
      <c r="B36" s="356"/>
      <c r="C36" s="357"/>
      <c r="D36" s="247" t="s">
        <v>354</v>
      </c>
      <c r="E36" s="123">
        <f>44.7+41.8</f>
        <v>86.5</v>
      </c>
      <c r="F36" s="309">
        <f>790+289</f>
        <v>1079</v>
      </c>
      <c r="G36" s="97">
        <f t="shared" si="16"/>
        <v>93333.5</v>
      </c>
      <c r="H36" s="97">
        <f t="shared" si="17"/>
        <v>8400.0149999999994</v>
      </c>
      <c r="I36" s="97">
        <f t="shared" si="18"/>
        <v>8400.0149999999994</v>
      </c>
      <c r="J36" s="270">
        <f t="shared" si="19"/>
        <v>110133.53</v>
      </c>
      <c r="K36" s="361"/>
      <c r="L36" s="359"/>
      <c r="M36" s="359"/>
    </row>
    <row r="37" spans="1:13" ht="15.75" customHeight="1" x14ac:dyDescent="0.25">
      <c r="A37" s="355"/>
      <c r="B37" s="356"/>
      <c r="C37" s="357"/>
      <c r="D37" s="247" t="s">
        <v>345</v>
      </c>
      <c r="E37" s="123">
        <f>49.3+35.2</f>
        <v>84.5</v>
      </c>
      <c r="F37" s="309">
        <f>790+1271</f>
        <v>2061</v>
      </c>
      <c r="G37" s="97">
        <f t="shared" si="16"/>
        <v>174154.5</v>
      </c>
      <c r="H37" s="97">
        <f t="shared" si="17"/>
        <v>15673.904999999999</v>
      </c>
      <c r="I37" s="97">
        <f t="shared" si="18"/>
        <v>15673.904999999999</v>
      </c>
      <c r="J37" s="270">
        <f t="shared" si="19"/>
        <v>205502.31</v>
      </c>
      <c r="K37" s="361"/>
      <c r="L37" s="359"/>
      <c r="M37" s="359"/>
    </row>
    <row r="38" spans="1:13" ht="15.75" customHeight="1" x14ac:dyDescent="0.25">
      <c r="A38" s="355"/>
      <c r="B38" s="356"/>
      <c r="C38" s="357"/>
      <c r="D38" s="247" t="s">
        <v>347</v>
      </c>
      <c r="E38" s="123">
        <v>14.7</v>
      </c>
      <c r="F38" s="309">
        <f>915+1271</f>
        <v>2186</v>
      </c>
      <c r="G38" s="97">
        <f t="shared" si="16"/>
        <v>32134.199999999997</v>
      </c>
      <c r="H38" s="97">
        <f t="shared" si="17"/>
        <v>2892.0779999999995</v>
      </c>
      <c r="I38" s="97">
        <f t="shared" si="18"/>
        <v>2892.0779999999995</v>
      </c>
      <c r="J38" s="270">
        <f t="shared" si="19"/>
        <v>37918.356</v>
      </c>
      <c r="K38" s="361"/>
      <c r="L38" s="359"/>
      <c r="M38" s="359"/>
    </row>
    <row r="39" spans="1:13" ht="15.75" customHeight="1" x14ac:dyDescent="0.25">
      <c r="A39" s="355">
        <v>8</v>
      </c>
      <c r="B39" s="356" t="s">
        <v>118</v>
      </c>
      <c r="C39" s="357" t="s">
        <v>256</v>
      </c>
      <c r="D39" s="247" t="s">
        <v>205</v>
      </c>
      <c r="E39" s="123">
        <f>404.6</f>
        <v>404.6</v>
      </c>
      <c r="F39" s="309">
        <f>565+330</f>
        <v>895</v>
      </c>
      <c r="G39" s="97">
        <f t="shared" si="16"/>
        <v>362117</v>
      </c>
      <c r="H39" s="97">
        <f t="shared" si="17"/>
        <v>32590.53</v>
      </c>
      <c r="I39" s="97">
        <f t="shared" si="18"/>
        <v>32590.53</v>
      </c>
      <c r="J39" s="270">
        <f t="shared" si="19"/>
        <v>427298.06000000006</v>
      </c>
      <c r="K39" s="361" t="s">
        <v>259</v>
      </c>
      <c r="L39" s="359" t="s">
        <v>199</v>
      </c>
      <c r="M39" s="359" t="s">
        <v>199</v>
      </c>
    </row>
    <row r="40" spans="1:13" ht="15.75" customHeight="1" x14ac:dyDescent="0.25">
      <c r="A40" s="355"/>
      <c r="B40" s="356"/>
      <c r="C40" s="357"/>
      <c r="D40" s="247" t="s">
        <v>257</v>
      </c>
      <c r="E40" s="123">
        <v>50.1</v>
      </c>
      <c r="F40" s="309">
        <f>565+850</f>
        <v>1415</v>
      </c>
      <c r="G40" s="97">
        <f t="shared" si="16"/>
        <v>70891.5</v>
      </c>
      <c r="H40" s="97">
        <f t="shared" si="17"/>
        <v>6380.2349999999997</v>
      </c>
      <c r="I40" s="97">
        <f t="shared" si="18"/>
        <v>6380.2349999999997</v>
      </c>
      <c r="J40" s="270">
        <f t="shared" si="19"/>
        <v>83651.97</v>
      </c>
      <c r="K40" s="361"/>
      <c r="L40" s="359"/>
      <c r="M40" s="359"/>
    </row>
    <row r="41" spans="1:13" ht="15.75" customHeight="1" x14ac:dyDescent="0.25">
      <c r="A41" s="355"/>
      <c r="B41" s="356"/>
      <c r="C41" s="357"/>
      <c r="D41" s="247" t="s">
        <v>258</v>
      </c>
      <c r="E41" s="123">
        <v>227.9</v>
      </c>
      <c r="F41" s="309">
        <v>565</v>
      </c>
      <c r="G41" s="97">
        <f t="shared" si="16"/>
        <v>128763.5</v>
      </c>
      <c r="H41" s="97">
        <f t="shared" si="17"/>
        <v>11588.715</v>
      </c>
      <c r="I41" s="97">
        <f t="shared" si="18"/>
        <v>11588.715</v>
      </c>
      <c r="J41" s="270">
        <f t="shared" si="19"/>
        <v>151940.93</v>
      </c>
      <c r="K41" s="361"/>
      <c r="L41" s="359"/>
      <c r="M41" s="359"/>
    </row>
    <row r="42" spans="1:13" ht="15.75" customHeight="1" x14ac:dyDescent="0.25">
      <c r="A42" s="312"/>
      <c r="B42" s="313"/>
      <c r="C42" s="314"/>
      <c r="D42" s="247" t="s">
        <v>355</v>
      </c>
      <c r="E42" s="123">
        <v>171</v>
      </c>
      <c r="F42" s="309">
        <v>350</v>
      </c>
      <c r="G42" s="97">
        <f t="shared" ref="G42:G43" si="20">E42*F42</f>
        <v>59850</v>
      </c>
      <c r="H42" s="97">
        <f t="shared" ref="H42:H43" si="21">G42*9%</f>
        <v>5386.5</v>
      </c>
      <c r="I42" s="97">
        <f t="shared" ref="I42:I43" si="22">G42*9%</f>
        <v>5386.5</v>
      </c>
      <c r="J42" s="270">
        <f t="shared" ref="J42:J43" si="23">G42+H42+I42</f>
        <v>70623</v>
      </c>
      <c r="K42" s="361"/>
      <c r="L42" s="359"/>
      <c r="M42" s="359"/>
    </row>
    <row r="43" spans="1:13" ht="15.75" customHeight="1" x14ac:dyDescent="0.25">
      <c r="A43" s="312"/>
      <c r="B43" s="313"/>
      <c r="C43" s="314"/>
      <c r="D43" s="247" t="s">
        <v>356</v>
      </c>
      <c r="E43" s="123">
        <v>326</v>
      </c>
      <c r="F43" s="309">
        <v>400</v>
      </c>
      <c r="G43" s="97">
        <f t="shared" si="20"/>
        <v>130400</v>
      </c>
      <c r="H43" s="97">
        <f t="shared" si="21"/>
        <v>11736</v>
      </c>
      <c r="I43" s="97">
        <f t="shared" si="22"/>
        <v>11736</v>
      </c>
      <c r="J43" s="98">
        <f t="shared" si="23"/>
        <v>153872</v>
      </c>
      <c r="K43" s="315"/>
      <c r="L43" s="316"/>
    </row>
    <row r="44" spans="1:13" ht="15.75" customHeight="1" x14ac:dyDescent="0.25">
      <c r="A44" s="312"/>
      <c r="B44" s="313"/>
      <c r="C44" s="314"/>
      <c r="D44" s="247" t="s">
        <v>357</v>
      </c>
      <c r="E44" s="123">
        <v>192</v>
      </c>
      <c r="F44" s="309">
        <v>460</v>
      </c>
      <c r="G44" s="97">
        <f t="shared" si="16"/>
        <v>88320</v>
      </c>
      <c r="H44" s="97">
        <f t="shared" si="17"/>
        <v>7948.7999999999993</v>
      </c>
      <c r="I44" s="97">
        <f t="shared" si="18"/>
        <v>7948.7999999999993</v>
      </c>
      <c r="J44" s="98">
        <f t="shared" si="19"/>
        <v>104217.60000000001</v>
      </c>
      <c r="K44" s="311"/>
      <c r="L44" s="310"/>
    </row>
    <row r="45" spans="1:13" ht="15.75" x14ac:dyDescent="0.25">
      <c r="A45" s="261"/>
      <c r="B45" s="344" t="s">
        <v>8</v>
      </c>
      <c r="C45" s="345"/>
      <c r="D45" s="346"/>
      <c r="E45" s="262">
        <f>SUM(E12:E44)</f>
        <v>3755.5999999999995</v>
      </c>
      <c r="F45" s="262"/>
      <c r="G45" s="262">
        <f>SUM(G12:G44)</f>
        <v>2701224</v>
      </c>
      <c r="H45" s="262">
        <f>SUM(H12:H44)</f>
        <v>243110.15999999997</v>
      </c>
      <c r="I45" s="262">
        <f>SUM(I12:I44)</f>
        <v>243110.15999999997</v>
      </c>
      <c r="J45" s="262">
        <f>SUM(J12:J44)</f>
        <v>3187444.3200000008</v>
      </c>
      <c r="K45" s="263"/>
    </row>
    <row r="47" spans="1:13" ht="15.75" thickBot="1" x14ac:dyDescent="0.3"/>
    <row r="48" spans="1:13" ht="21" x14ac:dyDescent="0.35">
      <c r="A48" s="347" t="s">
        <v>266</v>
      </c>
      <c r="B48" s="348"/>
      <c r="C48" s="348"/>
      <c r="D48" s="348"/>
      <c r="E48" s="348"/>
      <c r="F48" s="348"/>
      <c r="G48" s="348"/>
      <c r="H48" s="348"/>
      <c r="I48" s="348"/>
      <c r="J48" s="349"/>
    </row>
    <row r="49" spans="1:10" ht="18.75" x14ac:dyDescent="0.25">
      <c r="A49" s="244" t="s">
        <v>43</v>
      </c>
      <c r="B49" s="244" t="s">
        <v>44</v>
      </c>
      <c r="C49" s="244" t="s">
        <v>45</v>
      </c>
      <c r="D49" s="244" t="s">
        <v>49</v>
      </c>
      <c r="E49" s="244" t="s">
        <v>5</v>
      </c>
      <c r="F49" s="210" t="s">
        <v>6</v>
      </c>
      <c r="G49" s="210" t="s">
        <v>48</v>
      </c>
      <c r="H49" s="210" t="s">
        <v>46</v>
      </c>
      <c r="I49" s="210" t="s">
        <v>47</v>
      </c>
      <c r="J49" s="210" t="s">
        <v>8</v>
      </c>
    </row>
    <row r="50" spans="1:10" ht="15.75" x14ac:dyDescent="0.25">
      <c r="A50" s="295"/>
      <c r="B50" s="297"/>
      <c r="C50" s="296"/>
      <c r="D50" s="247" t="s">
        <v>194</v>
      </c>
      <c r="E50" s="123">
        <f>0.29*110</f>
        <v>31.9</v>
      </c>
      <c r="F50" s="246">
        <v>560</v>
      </c>
      <c r="G50" s="97">
        <f t="shared" ref="G50" si="24">E50*F50</f>
        <v>17864</v>
      </c>
      <c r="H50" s="97">
        <f t="shared" ref="H50" si="25">G50*9%</f>
        <v>1607.76</v>
      </c>
      <c r="I50" s="97">
        <f t="shared" ref="I50" si="26">G50*9%</f>
        <v>1607.76</v>
      </c>
      <c r="J50" s="98">
        <f t="shared" ref="J50" si="27">G50+H50+I50</f>
        <v>21079.519999999997</v>
      </c>
    </row>
    <row r="51" spans="1:10" ht="15.75" x14ac:dyDescent="0.25">
      <c r="A51" s="106"/>
      <c r="B51" s="350" t="s">
        <v>8</v>
      </c>
      <c r="C51" s="351"/>
      <c r="D51" s="352"/>
      <c r="E51" s="228">
        <f>SUM(E50:E50)</f>
        <v>31.9</v>
      </c>
      <c r="F51" s="228"/>
      <c r="G51" s="228">
        <f>SUM(G50:G50)</f>
        <v>17864</v>
      </c>
      <c r="H51" s="228">
        <f>SUM(H50:H50)</f>
        <v>1607.76</v>
      </c>
      <c r="I51" s="228">
        <f>SUM(I50:I50)</f>
        <v>1607.76</v>
      </c>
      <c r="J51" s="228">
        <f>SUM(J50:J50)</f>
        <v>21079.519999999997</v>
      </c>
    </row>
  </sheetData>
  <mergeCells count="35">
    <mergeCell ref="M19:M31"/>
    <mergeCell ref="K32:K38"/>
    <mergeCell ref="L32:L38"/>
    <mergeCell ref="M32:M38"/>
    <mergeCell ref="K39:K42"/>
    <mergeCell ref="L39:L42"/>
    <mergeCell ref="M39:M42"/>
    <mergeCell ref="K19:K31"/>
    <mergeCell ref="L19:L31"/>
    <mergeCell ref="L12:L15"/>
    <mergeCell ref="M12:M15"/>
    <mergeCell ref="K16:K18"/>
    <mergeCell ref="L16:L18"/>
    <mergeCell ref="M16:M18"/>
    <mergeCell ref="C32:C38"/>
    <mergeCell ref="A39:A41"/>
    <mergeCell ref="B39:B41"/>
    <mergeCell ref="C39:C41"/>
    <mergeCell ref="K12:K15"/>
    <mergeCell ref="B45:D45"/>
    <mergeCell ref="A48:J48"/>
    <mergeCell ref="B51:D51"/>
    <mergeCell ref="A2:C2"/>
    <mergeCell ref="A10:J10"/>
    <mergeCell ref="A12:A15"/>
    <mergeCell ref="B12:B15"/>
    <mergeCell ref="C12:C15"/>
    <mergeCell ref="B16:B18"/>
    <mergeCell ref="C16:C18"/>
    <mergeCell ref="A19:A31"/>
    <mergeCell ref="B19:B31"/>
    <mergeCell ref="C19:C31"/>
    <mergeCell ref="A16:A18"/>
    <mergeCell ref="A32:A38"/>
    <mergeCell ref="B32:B38"/>
  </mergeCells>
  <pageMargins left="0.7" right="0.7" top="0.75" bottom="0.75" header="0.3" footer="0.3"/>
  <pageSetup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J126"/>
  <sheetViews>
    <sheetView showGridLines="0" workbookViewId="0">
      <pane ySplit="3" topLeftCell="A4" activePane="bottomLeft" state="frozen"/>
      <selection activeCell="C103" sqref="C103"/>
      <selection pane="bottomLeft" activeCell="G118" sqref="G118"/>
    </sheetView>
  </sheetViews>
  <sheetFormatPr defaultRowHeight="15" x14ac:dyDescent="0.25"/>
  <cols>
    <col min="2" max="2" width="45.85546875" bestFit="1" customWidth="1"/>
    <col min="3" max="3" width="9.7109375" bestFit="1" customWidth="1"/>
    <col min="4" max="4" width="6.7109375" bestFit="1" customWidth="1"/>
    <col min="5" max="5" width="9.140625" style="96"/>
    <col min="6" max="6" width="12.42578125" style="4" customWidth="1"/>
    <col min="7" max="7" width="16.7109375" style="4" bestFit="1" customWidth="1"/>
    <col min="8" max="9" width="14.5703125" bestFit="1" customWidth="1"/>
    <col min="10" max="10" width="16.7109375" bestFit="1" customWidth="1"/>
  </cols>
  <sheetData>
    <row r="1" spans="1:10" ht="15.75" thickBot="1" x14ac:dyDescent="0.3"/>
    <row r="2" spans="1:10" ht="21" x14ac:dyDescent="0.35">
      <c r="A2" s="362" t="s">
        <v>107</v>
      </c>
      <c r="B2" s="363"/>
      <c r="C2" s="363"/>
      <c r="D2" s="363"/>
      <c r="E2" s="363"/>
      <c r="F2" s="363"/>
      <c r="G2" s="364"/>
    </row>
    <row r="3" spans="1:10" ht="30" x14ac:dyDescent="0.25">
      <c r="A3" s="201" t="s">
        <v>27</v>
      </c>
      <c r="B3" s="201" t="s">
        <v>12</v>
      </c>
      <c r="C3" s="201" t="s">
        <v>9</v>
      </c>
      <c r="D3" s="201" t="s">
        <v>5</v>
      </c>
      <c r="E3" s="201" t="s">
        <v>4</v>
      </c>
      <c r="F3" s="202" t="s">
        <v>28</v>
      </c>
      <c r="G3" s="202" t="s">
        <v>29</v>
      </c>
      <c r="H3" s="201" t="s">
        <v>46</v>
      </c>
      <c r="I3" s="201" t="s">
        <v>47</v>
      </c>
      <c r="J3" s="203" t="s">
        <v>8</v>
      </c>
    </row>
    <row r="4" spans="1:10" ht="15.75" x14ac:dyDescent="0.25">
      <c r="A4" s="129">
        <v>1</v>
      </c>
      <c r="B4" s="106" t="s">
        <v>147</v>
      </c>
      <c r="C4" s="106"/>
      <c r="D4" s="123">
        <v>10</v>
      </c>
      <c r="E4" s="129" t="s">
        <v>394</v>
      </c>
      <c r="F4" s="131">
        <v>206</v>
      </c>
      <c r="G4" s="131">
        <f>D4*F4</f>
        <v>2060</v>
      </c>
      <c r="H4" s="97">
        <f t="shared" ref="H4:H13" si="0">G4*9%</f>
        <v>185.4</v>
      </c>
      <c r="I4" s="97">
        <f t="shared" ref="I4:I13" si="1">H4</f>
        <v>185.4</v>
      </c>
      <c r="J4" s="97">
        <f t="shared" ref="J4:J13" si="2">G4+H4+I4</f>
        <v>2430.8000000000002</v>
      </c>
    </row>
    <row r="5" spans="1:10" ht="15.75" x14ac:dyDescent="0.25">
      <c r="A5" s="129">
        <v>2</v>
      </c>
      <c r="B5" s="106" t="s">
        <v>195</v>
      </c>
      <c r="C5" s="106"/>
      <c r="D5" s="123">
        <v>6</v>
      </c>
      <c r="E5" s="129" t="s">
        <v>394</v>
      </c>
      <c r="F5" s="131">
        <v>232</v>
      </c>
      <c r="G5" s="131">
        <f t="shared" ref="G5:G68" si="3">D5*F5</f>
        <v>1392</v>
      </c>
      <c r="H5" s="97">
        <f t="shared" si="0"/>
        <v>125.28</v>
      </c>
      <c r="I5" s="97">
        <f t="shared" si="1"/>
        <v>125.28</v>
      </c>
      <c r="J5" s="97">
        <f t="shared" si="2"/>
        <v>1642.56</v>
      </c>
    </row>
    <row r="6" spans="1:10" ht="15.75" x14ac:dyDescent="0.25">
      <c r="A6" s="129">
        <v>3</v>
      </c>
      <c r="B6" s="106" t="s">
        <v>30</v>
      </c>
      <c r="C6" s="106"/>
      <c r="D6" s="123">
        <v>10</v>
      </c>
      <c r="E6" s="129" t="s">
        <v>394</v>
      </c>
      <c r="F6" s="131">
        <v>411</v>
      </c>
      <c r="G6" s="131">
        <f t="shared" si="3"/>
        <v>4110</v>
      </c>
      <c r="H6" s="97">
        <f t="shared" si="0"/>
        <v>369.9</v>
      </c>
      <c r="I6" s="97">
        <f t="shared" si="1"/>
        <v>369.9</v>
      </c>
      <c r="J6" s="97">
        <f t="shared" si="2"/>
        <v>4849.7999999999993</v>
      </c>
    </row>
    <row r="7" spans="1:10" ht="15" customHeight="1" x14ac:dyDescent="0.25">
      <c r="A7" s="129">
        <v>4</v>
      </c>
      <c r="B7" s="106" t="s">
        <v>146</v>
      </c>
      <c r="C7" s="106"/>
      <c r="D7" s="123">
        <v>25</v>
      </c>
      <c r="E7" s="129" t="s">
        <v>374</v>
      </c>
      <c r="F7" s="131">
        <v>598</v>
      </c>
      <c r="G7" s="131">
        <f t="shared" si="3"/>
        <v>14950</v>
      </c>
      <c r="H7" s="97">
        <f t="shared" si="0"/>
        <v>1345.5</v>
      </c>
      <c r="I7" s="97">
        <f t="shared" si="1"/>
        <v>1345.5</v>
      </c>
      <c r="J7" s="97">
        <f t="shared" si="2"/>
        <v>17641</v>
      </c>
    </row>
    <row r="8" spans="1:10" ht="15.75" x14ac:dyDescent="0.25">
      <c r="A8" s="129">
        <v>5</v>
      </c>
      <c r="B8" s="106" t="s">
        <v>31</v>
      </c>
      <c r="C8" s="106"/>
      <c r="D8" s="123">
        <v>2</v>
      </c>
      <c r="E8" s="129" t="s">
        <v>395</v>
      </c>
      <c r="F8" s="131">
        <v>45</v>
      </c>
      <c r="G8" s="131">
        <f t="shared" si="3"/>
        <v>90</v>
      </c>
      <c r="H8" s="97">
        <f t="shared" si="0"/>
        <v>8.1</v>
      </c>
      <c r="I8" s="97">
        <f t="shared" si="1"/>
        <v>8.1</v>
      </c>
      <c r="J8" s="97">
        <f t="shared" si="2"/>
        <v>106.19999999999999</v>
      </c>
    </row>
    <row r="9" spans="1:10" ht="15.75" x14ac:dyDescent="0.25">
      <c r="A9" s="129">
        <v>6</v>
      </c>
      <c r="B9" s="106" t="s">
        <v>32</v>
      </c>
      <c r="C9" s="106"/>
      <c r="D9" s="123">
        <v>5</v>
      </c>
      <c r="E9" s="129" t="s">
        <v>395</v>
      </c>
      <c r="F9" s="131">
        <v>148</v>
      </c>
      <c r="G9" s="131">
        <f t="shared" si="3"/>
        <v>740</v>
      </c>
      <c r="H9" s="97">
        <f t="shared" si="0"/>
        <v>66.599999999999994</v>
      </c>
      <c r="I9" s="97">
        <f t="shared" si="1"/>
        <v>66.599999999999994</v>
      </c>
      <c r="J9" s="97">
        <f t="shared" si="2"/>
        <v>873.2</v>
      </c>
    </row>
    <row r="10" spans="1:10" ht="15.75" x14ac:dyDescent="0.25">
      <c r="A10" s="129">
        <v>7</v>
      </c>
      <c r="B10" s="106" t="s">
        <v>149</v>
      </c>
      <c r="C10" s="106"/>
      <c r="D10" s="123">
        <v>5</v>
      </c>
      <c r="E10" s="129" t="s">
        <v>395</v>
      </c>
      <c r="F10" s="131">
        <v>165</v>
      </c>
      <c r="G10" s="131">
        <f t="shared" si="3"/>
        <v>825</v>
      </c>
      <c r="H10" s="97">
        <f t="shared" si="0"/>
        <v>74.25</v>
      </c>
      <c r="I10" s="97">
        <f t="shared" si="1"/>
        <v>74.25</v>
      </c>
      <c r="J10" s="97">
        <f t="shared" si="2"/>
        <v>973.5</v>
      </c>
    </row>
    <row r="11" spans="1:10" ht="15.75" x14ac:dyDescent="0.25">
      <c r="A11" s="129">
        <v>8</v>
      </c>
      <c r="B11" s="106" t="s">
        <v>396</v>
      </c>
      <c r="C11" s="106" t="s">
        <v>397</v>
      </c>
      <c r="D11" s="123">
        <v>3</v>
      </c>
      <c r="E11" s="129" t="s">
        <v>374</v>
      </c>
      <c r="F11" s="131">
        <v>682</v>
      </c>
      <c r="G11" s="131">
        <f t="shared" si="3"/>
        <v>2046</v>
      </c>
      <c r="H11" s="97">
        <f t="shared" si="0"/>
        <v>184.14</v>
      </c>
      <c r="I11" s="97">
        <f t="shared" si="1"/>
        <v>184.14</v>
      </c>
      <c r="J11" s="97">
        <f t="shared" si="2"/>
        <v>2414.2799999999997</v>
      </c>
    </row>
    <row r="12" spans="1:10" ht="15.75" x14ac:dyDescent="0.25">
      <c r="A12" s="129">
        <v>9</v>
      </c>
      <c r="B12" s="106" t="s">
        <v>398</v>
      </c>
      <c r="C12" s="106"/>
      <c r="D12" s="123">
        <v>3</v>
      </c>
      <c r="E12" s="129" t="s">
        <v>395</v>
      </c>
      <c r="F12" s="131">
        <v>4450</v>
      </c>
      <c r="G12" s="131">
        <f t="shared" si="3"/>
        <v>13350</v>
      </c>
      <c r="H12" s="97">
        <f t="shared" si="0"/>
        <v>1201.5</v>
      </c>
      <c r="I12" s="97">
        <f t="shared" si="1"/>
        <v>1201.5</v>
      </c>
      <c r="J12" s="97">
        <f t="shared" si="2"/>
        <v>15753</v>
      </c>
    </row>
    <row r="13" spans="1:10" ht="15.75" x14ac:dyDescent="0.25">
      <c r="A13" s="129">
        <v>10</v>
      </c>
      <c r="B13" s="106" t="s">
        <v>399</v>
      </c>
      <c r="C13" s="106"/>
      <c r="D13" s="123">
        <v>3</v>
      </c>
      <c r="E13" s="129" t="s">
        <v>374</v>
      </c>
      <c r="F13" s="131">
        <v>800</v>
      </c>
      <c r="G13" s="131">
        <f t="shared" si="3"/>
        <v>2400</v>
      </c>
      <c r="H13" s="97">
        <f t="shared" si="0"/>
        <v>216</v>
      </c>
      <c r="I13" s="97">
        <f t="shared" si="1"/>
        <v>216</v>
      </c>
      <c r="J13" s="97">
        <f t="shared" si="2"/>
        <v>2832</v>
      </c>
    </row>
    <row r="14" spans="1:10" ht="15.75" x14ac:dyDescent="0.25">
      <c r="A14" s="129">
        <v>11</v>
      </c>
      <c r="B14" s="106" t="s">
        <v>197</v>
      </c>
      <c r="C14" s="106"/>
      <c r="D14" s="123">
        <v>8</v>
      </c>
      <c r="E14" s="129" t="s">
        <v>374</v>
      </c>
      <c r="F14" s="131">
        <v>70</v>
      </c>
      <c r="G14" s="131">
        <f t="shared" si="3"/>
        <v>560</v>
      </c>
      <c r="H14" s="97">
        <f t="shared" ref="H14:H32" si="4">G14*9%</f>
        <v>50.4</v>
      </c>
      <c r="I14" s="97">
        <f t="shared" ref="I14:I32" si="5">H14</f>
        <v>50.4</v>
      </c>
      <c r="J14" s="97">
        <f t="shared" ref="J14:J25" si="6">G14+H14+I14</f>
        <v>660.8</v>
      </c>
    </row>
    <row r="15" spans="1:10" ht="15.75" x14ac:dyDescent="0.25">
      <c r="A15" s="129">
        <v>12</v>
      </c>
      <c r="B15" s="106" t="s">
        <v>400</v>
      </c>
      <c r="C15" s="106"/>
      <c r="D15" s="123">
        <v>2</v>
      </c>
      <c r="E15" s="129" t="s">
        <v>374</v>
      </c>
      <c r="F15" s="131">
        <v>1250</v>
      </c>
      <c r="G15" s="131">
        <f t="shared" si="3"/>
        <v>2500</v>
      </c>
      <c r="H15" s="97">
        <f t="shared" si="4"/>
        <v>225</v>
      </c>
      <c r="I15" s="97">
        <f t="shared" si="5"/>
        <v>225</v>
      </c>
      <c r="J15" s="97">
        <f t="shared" si="6"/>
        <v>2950</v>
      </c>
    </row>
    <row r="16" spans="1:10" ht="15.75" x14ac:dyDescent="0.25">
      <c r="A16" s="129">
        <v>13</v>
      </c>
      <c r="B16" s="106" t="s">
        <v>401</v>
      </c>
      <c r="C16" s="106" t="s">
        <v>402</v>
      </c>
      <c r="D16" s="123">
        <v>34</v>
      </c>
      <c r="E16" s="129" t="s">
        <v>374</v>
      </c>
      <c r="F16" s="131">
        <v>110</v>
      </c>
      <c r="G16" s="131">
        <f t="shared" si="3"/>
        <v>3740</v>
      </c>
      <c r="H16" s="97">
        <f t="shared" si="4"/>
        <v>336.59999999999997</v>
      </c>
      <c r="I16" s="97">
        <f t="shared" si="5"/>
        <v>336.59999999999997</v>
      </c>
      <c r="J16" s="97">
        <f t="shared" si="6"/>
        <v>4413.2</v>
      </c>
    </row>
    <row r="17" spans="1:10" ht="15.75" x14ac:dyDescent="0.25">
      <c r="A17" s="129">
        <v>14</v>
      </c>
      <c r="B17" s="106" t="s">
        <v>182</v>
      </c>
      <c r="C17" s="106"/>
      <c r="D17" s="123">
        <v>13</v>
      </c>
      <c r="E17" s="129" t="s">
        <v>374</v>
      </c>
      <c r="F17" s="131">
        <v>230</v>
      </c>
      <c r="G17" s="131">
        <f t="shared" si="3"/>
        <v>2990</v>
      </c>
      <c r="H17" s="97">
        <f t="shared" si="4"/>
        <v>269.09999999999997</v>
      </c>
      <c r="I17" s="97">
        <f t="shared" si="5"/>
        <v>269.09999999999997</v>
      </c>
      <c r="J17" s="97">
        <f t="shared" si="6"/>
        <v>3528.2</v>
      </c>
    </row>
    <row r="18" spans="1:10" ht="15.75" x14ac:dyDescent="0.25">
      <c r="A18" s="129">
        <v>15</v>
      </c>
      <c r="B18" s="106" t="s">
        <v>403</v>
      </c>
      <c r="C18" s="106"/>
      <c r="D18" s="123">
        <v>22</v>
      </c>
      <c r="E18" s="129" t="s">
        <v>374</v>
      </c>
      <c r="F18" s="131">
        <v>20</v>
      </c>
      <c r="G18" s="131">
        <f t="shared" si="3"/>
        <v>440</v>
      </c>
      <c r="H18" s="97">
        <f t="shared" ref="H18" si="7">G18*9%</f>
        <v>39.6</v>
      </c>
      <c r="I18" s="97">
        <f t="shared" ref="I18" si="8">H18</f>
        <v>39.6</v>
      </c>
      <c r="J18" s="97">
        <f t="shared" ref="J18" si="9">G18+H18+I18</f>
        <v>519.20000000000005</v>
      </c>
    </row>
    <row r="19" spans="1:10" ht="15.75" x14ac:dyDescent="0.25">
      <c r="A19" s="129">
        <v>16</v>
      </c>
      <c r="B19" s="106" t="s">
        <v>404</v>
      </c>
      <c r="C19" s="106"/>
      <c r="D19" s="123">
        <v>31</v>
      </c>
      <c r="E19" s="129" t="s">
        <v>374</v>
      </c>
      <c r="F19" s="131">
        <v>10</v>
      </c>
      <c r="G19" s="131">
        <f t="shared" si="3"/>
        <v>310</v>
      </c>
      <c r="H19" s="97">
        <f t="shared" si="4"/>
        <v>27.9</v>
      </c>
      <c r="I19" s="97">
        <f t="shared" si="5"/>
        <v>27.9</v>
      </c>
      <c r="J19" s="97">
        <f t="shared" si="6"/>
        <v>365.79999999999995</v>
      </c>
    </row>
    <row r="20" spans="1:10" ht="15.75" x14ac:dyDescent="0.25">
      <c r="A20" s="129">
        <v>17</v>
      </c>
      <c r="B20" s="106" t="s">
        <v>405</v>
      </c>
      <c r="C20" s="106" t="s">
        <v>376</v>
      </c>
      <c r="D20" s="123">
        <v>5</v>
      </c>
      <c r="E20" s="129" t="s">
        <v>374</v>
      </c>
      <c r="F20" s="131">
        <v>411</v>
      </c>
      <c r="G20" s="131">
        <f t="shared" si="3"/>
        <v>2055</v>
      </c>
      <c r="H20" s="97">
        <f t="shared" si="4"/>
        <v>184.95</v>
      </c>
      <c r="I20" s="97">
        <f t="shared" si="5"/>
        <v>184.95</v>
      </c>
      <c r="J20" s="97">
        <f t="shared" si="6"/>
        <v>2424.8999999999996</v>
      </c>
    </row>
    <row r="21" spans="1:10" ht="15.75" x14ac:dyDescent="0.25">
      <c r="A21" s="129">
        <v>18</v>
      </c>
      <c r="B21" s="106" t="s">
        <v>406</v>
      </c>
      <c r="C21" s="106" t="s">
        <v>376</v>
      </c>
      <c r="D21" s="123">
        <v>4</v>
      </c>
      <c r="E21" s="129" t="s">
        <v>407</v>
      </c>
      <c r="F21" s="131">
        <v>1463</v>
      </c>
      <c r="G21" s="131">
        <f t="shared" si="3"/>
        <v>5852</v>
      </c>
      <c r="H21" s="97">
        <f t="shared" si="4"/>
        <v>526.67999999999995</v>
      </c>
      <c r="I21" s="97">
        <f t="shared" si="5"/>
        <v>526.67999999999995</v>
      </c>
      <c r="J21" s="97">
        <f t="shared" si="6"/>
        <v>6905.3600000000006</v>
      </c>
    </row>
    <row r="22" spans="1:10" ht="15.75" x14ac:dyDescent="0.25">
      <c r="A22" s="129">
        <v>19</v>
      </c>
      <c r="B22" s="106" t="s">
        <v>408</v>
      </c>
      <c r="C22" s="106" t="s">
        <v>376</v>
      </c>
      <c r="D22" s="123">
        <v>6</v>
      </c>
      <c r="E22" s="129" t="s">
        <v>374</v>
      </c>
      <c r="F22" s="131">
        <v>250</v>
      </c>
      <c r="G22" s="131">
        <f t="shared" si="3"/>
        <v>1500</v>
      </c>
      <c r="H22" s="97">
        <f t="shared" si="4"/>
        <v>135</v>
      </c>
      <c r="I22" s="97">
        <f t="shared" si="5"/>
        <v>135</v>
      </c>
      <c r="J22" s="97">
        <f t="shared" si="6"/>
        <v>1770</v>
      </c>
    </row>
    <row r="23" spans="1:10" ht="15.75" x14ac:dyDescent="0.25">
      <c r="A23" s="129">
        <v>20</v>
      </c>
      <c r="B23" s="106" t="s">
        <v>409</v>
      </c>
      <c r="C23" s="106" t="s">
        <v>376</v>
      </c>
      <c r="D23" s="123">
        <v>4</v>
      </c>
      <c r="E23" s="129" t="s">
        <v>407</v>
      </c>
      <c r="F23" s="131">
        <v>690</v>
      </c>
      <c r="G23" s="131">
        <f t="shared" si="3"/>
        <v>2760</v>
      </c>
      <c r="H23" s="97">
        <f t="shared" si="4"/>
        <v>248.39999999999998</v>
      </c>
      <c r="I23" s="97">
        <f t="shared" si="5"/>
        <v>248.39999999999998</v>
      </c>
      <c r="J23" s="97">
        <f t="shared" si="6"/>
        <v>3256.8</v>
      </c>
    </row>
    <row r="24" spans="1:10" ht="15.75" x14ac:dyDescent="0.25">
      <c r="A24" s="129">
        <v>21</v>
      </c>
      <c r="B24" s="106" t="s">
        <v>410</v>
      </c>
      <c r="C24" s="106" t="s">
        <v>376</v>
      </c>
      <c r="D24" s="123">
        <v>1</v>
      </c>
      <c r="E24" s="129" t="s">
        <v>407</v>
      </c>
      <c r="F24" s="131">
        <v>166</v>
      </c>
      <c r="G24" s="131">
        <f t="shared" si="3"/>
        <v>166</v>
      </c>
      <c r="H24" s="97">
        <f t="shared" si="4"/>
        <v>14.94</v>
      </c>
      <c r="I24" s="97">
        <f t="shared" si="5"/>
        <v>14.94</v>
      </c>
      <c r="J24" s="97">
        <f t="shared" si="6"/>
        <v>195.88</v>
      </c>
    </row>
    <row r="25" spans="1:10" ht="15.75" x14ac:dyDescent="0.25">
      <c r="A25" s="129">
        <v>22</v>
      </c>
      <c r="B25" s="106" t="s">
        <v>411</v>
      </c>
      <c r="C25" s="106" t="s">
        <v>376</v>
      </c>
      <c r="D25" s="123">
        <v>100</v>
      </c>
      <c r="E25" s="129" t="s">
        <v>374</v>
      </c>
      <c r="F25" s="131">
        <v>25</v>
      </c>
      <c r="G25" s="131">
        <f t="shared" si="3"/>
        <v>2500</v>
      </c>
      <c r="H25" s="97">
        <f t="shared" si="4"/>
        <v>225</v>
      </c>
      <c r="I25" s="97">
        <f t="shared" si="5"/>
        <v>225</v>
      </c>
      <c r="J25" s="97">
        <f t="shared" si="6"/>
        <v>2950</v>
      </c>
    </row>
    <row r="26" spans="1:10" ht="15.75" x14ac:dyDescent="0.25">
      <c r="A26" s="129">
        <v>23</v>
      </c>
      <c r="B26" s="106" t="s">
        <v>412</v>
      </c>
      <c r="C26" s="106"/>
      <c r="D26" s="123">
        <v>3</v>
      </c>
      <c r="E26" s="129" t="s">
        <v>374</v>
      </c>
      <c r="F26" s="131">
        <v>290</v>
      </c>
      <c r="G26" s="131">
        <f t="shared" si="3"/>
        <v>870</v>
      </c>
      <c r="H26" s="97">
        <f t="shared" si="4"/>
        <v>78.3</v>
      </c>
      <c r="I26" s="97">
        <f t="shared" si="5"/>
        <v>78.3</v>
      </c>
      <c r="J26" s="97">
        <f t="shared" ref="J26:J32" si="10">G26+H26+I26</f>
        <v>1026.5999999999999</v>
      </c>
    </row>
    <row r="27" spans="1:10" ht="15.75" x14ac:dyDescent="0.25">
      <c r="A27" s="129">
        <v>24</v>
      </c>
      <c r="B27" s="106" t="s">
        <v>413</v>
      </c>
      <c r="C27" s="106" t="s">
        <v>376</v>
      </c>
      <c r="D27" s="123">
        <v>1</v>
      </c>
      <c r="E27" s="129" t="s">
        <v>407</v>
      </c>
      <c r="F27" s="131">
        <v>1800</v>
      </c>
      <c r="G27" s="131">
        <f t="shared" si="3"/>
        <v>1800</v>
      </c>
      <c r="H27" s="97">
        <f t="shared" si="4"/>
        <v>162</v>
      </c>
      <c r="I27" s="97">
        <f t="shared" si="5"/>
        <v>162</v>
      </c>
      <c r="J27" s="97">
        <f t="shared" si="10"/>
        <v>2124</v>
      </c>
    </row>
    <row r="28" spans="1:10" ht="15.75" x14ac:dyDescent="0.25">
      <c r="A28" s="129">
        <v>25</v>
      </c>
      <c r="B28" s="106" t="s">
        <v>414</v>
      </c>
      <c r="C28" s="106" t="s">
        <v>391</v>
      </c>
      <c r="D28" s="123">
        <v>3</v>
      </c>
      <c r="E28" s="129" t="s">
        <v>374</v>
      </c>
      <c r="F28" s="131">
        <v>765</v>
      </c>
      <c r="G28" s="131">
        <f t="shared" si="3"/>
        <v>2295</v>
      </c>
      <c r="H28" s="97">
        <f t="shared" si="4"/>
        <v>206.54999999999998</v>
      </c>
      <c r="I28" s="97">
        <f t="shared" si="5"/>
        <v>206.54999999999998</v>
      </c>
      <c r="J28" s="97">
        <f t="shared" si="10"/>
        <v>2708.1000000000004</v>
      </c>
    </row>
    <row r="29" spans="1:10" ht="15.75" x14ac:dyDescent="0.25">
      <c r="A29" s="129">
        <v>26</v>
      </c>
      <c r="B29" s="106" t="s">
        <v>415</v>
      </c>
      <c r="C29" s="106" t="s">
        <v>391</v>
      </c>
      <c r="D29" s="123">
        <v>3</v>
      </c>
      <c r="E29" s="129" t="s">
        <v>374</v>
      </c>
      <c r="F29" s="131">
        <v>765</v>
      </c>
      <c r="G29" s="131">
        <f t="shared" si="3"/>
        <v>2295</v>
      </c>
      <c r="H29" s="97">
        <f t="shared" si="4"/>
        <v>206.54999999999998</v>
      </c>
      <c r="I29" s="97">
        <f t="shared" si="5"/>
        <v>206.54999999999998</v>
      </c>
      <c r="J29" s="97">
        <f t="shared" si="10"/>
        <v>2708.1000000000004</v>
      </c>
    </row>
    <row r="30" spans="1:10" ht="15.75" x14ac:dyDescent="0.25">
      <c r="A30" s="129">
        <v>27</v>
      </c>
      <c r="B30" s="106" t="s">
        <v>416</v>
      </c>
      <c r="C30" s="106" t="s">
        <v>417</v>
      </c>
      <c r="D30" s="123">
        <v>1</v>
      </c>
      <c r="E30" s="129" t="s">
        <v>374</v>
      </c>
      <c r="F30" s="131">
        <v>4520</v>
      </c>
      <c r="G30" s="131">
        <f t="shared" si="3"/>
        <v>4520</v>
      </c>
      <c r="H30" s="97">
        <f t="shared" si="4"/>
        <v>406.8</v>
      </c>
      <c r="I30" s="97">
        <f t="shared" si="5"/>
        <v>406.8</v>
      </c>
      <c r="J30" s="97">
        <f t="shared" si="10"/>
        <v>5333.6</v>
      </c>
    </row>
    <row r="31" spans="1:10" ht="15.75" x14ac:dyDescent="0.25">
      <c r="A31" s="129">
        <v>28</v>
      </c>
      <c r="B31" s="106" t="s">
        <v>418</v>
      </c>
      <c r="C31" s="106" t="s">
        <v>376</v>
      </c>
      <c r="D31" s="123">
        <v>6</v>
      </c>
      <c r="E31" s="129" t="s">
        <v>374</v>
      </c>
      <c r="F31" s="131">
        <v>260</v>
      </c>
      <c r="G31" s="131">
        <f t="shared" si="3"/>
        <v>1560</v>
      </c>
      <c r="H31" s="97">
        <f t="shared" si="4"/>
        <v>140.4</v>
      </c>
      <c r="I31" s="97">
        <f t="shared" si="5"/>
        <v>140.4</v>
      </c>
      <c r="J31" s="97">
        <f t="shared" si="10"/>
        <v>1840.8000000000002</v>
      </c>
    </row>
    <row r="32" spans="1:10" ht="15.75" x14ac:dyDescent="0.25">
      <c r="A32" s="129">
        <v>29</v>
      </c>
      <c r="B32" s="106" t="s">
        <v>419</v>
      </c>
      <c r="C32" s="106"/>
      <c r="D32" s="123">
        <v>60</v>
      </c>
      <c r="E32" s="129" t="s">
        <v>374</v>
      </c>
      <c r="F32" s="131">
        <v>80</v>
      </c>
      <c r="G32" s="131">
        <f t="shared" si="3"/>
        <v>4800</v>
      </c>
      <c r="H32" s="97">
        <f t="shared" si="4"/>
        <v>432</v>
      </c>
      <c r="I32" s="97">
        <f t="shared" si="5"/>
        <v>432</v>
      </c>
      <c r="J32" s="97">
        <f t="shared" si="10"/>
        <v>5664</v>
      </c>
    </row>
    <row r="33" spans="1:10" ht="15.75" x14ac:dyDescent="0.25">
      <c r="A33" s="129">
        <v>30</v>
      </c>
      <c r="B33" s="106" t="s">
        <v>420</v>
      </c>
      <c r="C33" s="106"/>
      <c r="D33" s="123">
        <v>24</v>
      </c>
      <c r="E33" s="129" t="s">
        <v>374</v>
      </c>
      <c r="F33" s="131">
        <v>20</v>
      </c>
      <c r="G33" s="131">
        <f t="shared" si="3"/>
        <v>480</v>
      </c>
      <c r="H33" s="97">
        <f t="shared" ref="H33:H34" si="11">G33*9%</f>
        <v>43.199999999999996</v>
      </c>
      <c r="I33" s="97">
        <f t="shared" ref="I33:I34" si="12">H33</f>
        <v>43.199999999999996</v>
      </c>
      <c r="J33" s="97">
        <f t="shared" ref="J33:J34" si="13">G33+H33+I33</f>
        <v>566.40000000000009</v>
      </c>
    </row>
    <row r="34" spans="1:10" ht="15.75" x14ac:dyDescent="0.25">
      <c r="A34" s="129">
        <v>31</v>
      </c>
      <c r="B34" s="106" t="s">
        <v>421</v>
      </c>
      <c r="C34" s="106"/>
      <c r="D34" s="123">
        <v>12</v>
      </c>
      <c r="E34" s="129" t="s">
        <v>374</v>
      </c>
      <c r="F34" s="131">
        <v>280</v>
      </c>
      <c r="G34" s="131">
        <f t="shared" si="3"/>
        <v>3360</v>
      </c>
      <c r="H34" s="97">
        <f t="shared" si="11"/>
        <v>302.39999999999998</v>
      </c>
      <c r="I34" s="97">
        <f t="shared" si="12"/>
        <v>302.39999999999998</v>
      </c>
      <c r="J34" s="97">
        <f t="shared" si="13"/>
        <v>3964.8</v>
      </c>
    </row>
    <row r="35" spans="1:10" ht="15.75" x14ac:dyDescent="0.25">
      <c r="A35" s="129">
        <v>32</v>
      </c>
      <c r="B35" s="106" t="s">
        <v>422</v>
      </c>
      <c r="C35" s="106"/>
      <c r="D35" s="123">
        <v>3</v>
      </c>
      <c r="E35" s="129" t="s">
        <v>423</v>
      </c>
      <c r="F35" s="97">
        <v>185</v>
      </c>
      <c r="G35" s="131">
        <f t="shared" si="3"/>
        <v>555</v>
      </c>
      <c r="H35" s="97">
        <f t="shared" ref="H35:H52" si="14">G35*9%</f>
        <v>49.949999999999996</v>
      </c>
      <c r="I35" s="97">
        <f t="shared" ref="I35:I52" si="15">H35</f>
        <v>49.949999999999996</v>
      </c>
      <c r="J35" s="97">
        <f t="shared" ref="J35:J52" si="16">G35+H35+I35</f>
        <v>654.90000000000009</v>
      </c>
    </row>
    <row r="36" spans="1:10" ht="15.75" x14ac:dyDescent="0.25">
      <c r="A36" s="129">
        <v>33</v>
      </c>
      <c r="B36" s="106" t="s">
        <v>424</v>
      </c>
      <c r="C36" s="106"/>
      <c r="D36" s="123">
        <v>6</v>
      </c>
      <c r="E36" s="129" t="s">
        <v>423</v>
      </c>
      <c r="F36" s="97">
        <v>185</v>
      </c>
      <c r="G36" s="131">
        <f t="shared" si="3"/>
        <v>1110</v>
      </c>
      <c r="H36" s="97">
        <f t="shared" si="14"/>
        <v>99.899999999999991</v>
      </c>
      <c r="I36" s="97">
        <f t="shared" si="15"/>
        <v>99.899999999999991</v>
      </c>
      <c r="J36" s="97">
        <f t="shared" si="16"/>
        <v>1309.8000000000002</v>
      </c>
    </row>
    <row r="37" spans="1:10" ht="15.75" x14ac:dyDescent="0.25">
      <c r="A37" s="129">
        <v>34</v>
      </c>
      <c r="B37" s="106" t="s">
        <v>425</v>
      </c>
      <c r="C37" s="106"/>
      <c r="D37" s="123">
        <v>4</v>
      </c>
      <c r="E37" s="129" t="s">
        <v>423</v>
      </c>
      <c r="F37" s="131">
        <v>185</v>
      </c>
      <c r="G37" s="131">
        <f t="shared" si="3"/>
        <v>740</v>
      </c>
      <c r="H37" s="97">
        <f t="shared" si="14"/>
        <v>66.599999999999994</v>
      </c>
      <c r="I37" s="97">
        <f t="shared" si="15"/>
        <v>66.599999999999994</v>
      </c>
      <c r="J37" s="97">
        <f t="shared" si="16"/>
        <v>873.2</v>
      </c>
    </row>
    <row r="38" spans="1:10" ht="15.75" x14ac:dyDescent="0.25">
      <c r="A38" s="129">
        <v>35</v>
      </c>
      <c r="B38" s="106" t="s">
        <v>426</v>
      </c>
      <c r="C38" s="106"/>
      <c r="D38" s="123">
        <v>7</v>
      </c>
      <c r="E38" s="129" t="s">
        <v>423</v>
      </c>
      <c r="F38" s="131">
        <v>185</v>
      </c>
      <c r="G38" s="131">
        <f t="shared" si="3"/>
        <v>1295</v>
      </c>
      <c r="H38" s="97">
        <f t="shared" si="14"/>
        <v>116.55</v>
      </c>
      <c r="I38" s="97">
        <f t="shared" si="15"/>
        <v>116.55</v>
      </c>
      <c r="J38" s="97">
        <f t="shared" si="16"/>
        <v>1528.1</v>
      </c>
    </row>
    <row r="39" spans="1:10" ht="15.75" x14ac:dyDescent="0.25">
      <c r="A39" s="129">
        <v>36</v>
      </c>
      <c r="B39" s="106" t="s">
        <v>427</v>
      </c>
      <c r="C39" s="106"/>
      <c r="D39" s="123">
        <v>6</v>
      </c>
      <c r="E39" s="129" t="s">
        <v>423</v>
      </c>
      <c r="F39" s="131">
        <v>185</v>
      </c>
      <c r="G39" s="131">
        <f t="shared" si="3"/>
        <v>1110</v>
      </c>
      <c r="H39" s="97">
        <f t="shared" si="14"/>
        <v>99.899999999999991</v>
      </c>
      <c r="I39" s="97">
        <f t="shared" si="15"/>
        <v>99.899999999999991</v>
      </c>
      <c r="J39" s="97">
        <f t="shared" si="16"/>
        <v>1309.8000000000002</v>
      </c>
    </row>
    <row r="40" spans="1:10" ht="15.75" x14ac:dyDescent="0.25">
      <c r="A40" s="129">
        <v>37</v>
      </c>
      <c r="B40" s="106" t="s">
        <v>428</v>
      </c>
      <c r="C40" s="106"/>
      <c r="D40" s="123">
        <v>6</v>
      </c>
      <c r="E40" s="129" t="s">
        <v>423</v>
      </c>
      <c r="F40" s="131">
        <v>185</v>
      </c>
      <c r="G40" s="131">
        <f t="shared" si="3"/>
        <v>1110</v>
      </c>
      <c r="H40" s="97">
        <f t="shared" si="14"/>
        <v>99.899999999999991</v>
      </c>
      <c r="I40" s="97">
        <f t="shared" si="15"/>
        <v>99.899999999999991</v>
      </c>
      <c r="J40" s="97">
        <f t="shared" si="16"/>
        <v>1309.8000000000002</v>
      </c>
    </row>
    <row r="41" spans="1:10" ht="15.75" x14ac:dyDescent="0.25">
      <c r="A41" s="129">
        <v>38</v>
      </c>
      <c r="B41" s="106" t="s">
        <v>429</v>
      </c>
      <c r="C41" s="106"/>
      <c r="D41" s="123">
        <v>4</v>
      </c>
      <c r="E41" s="129" t="s">
        <v>374</v>
      </c>
      <c r="F41" s="131">
        <v>150</v>
      </c>
      <c r="G41" s="131">
        <f t="shared" si="3"/>
        <v>600</v>
      </c>
      <c r="H41" s="97">
        <f t="shared" si="14"/>
        <v>54</v>
      </c>
      <c r="I41" s="97">
        <f t="shared" si="15"/>
        <v>54</v>
      </c>
      <c r="J41" s="97">
        <f t="shared" si="16"/>
        <v>708</v>
      </c>
    </row>
    <row r="42" spans="1:10" ht="15.75" x14ac:dyDescent="0.25">
      <c r="A42" s="129">
        <v>39</v>
      </c>
      <c r="B42" s="106" t="s">
        <v>430</v>
      </c>
      <c r="C42" s="106" t="s">
        <v>431</v>
      </c>
      <c r="D42" s="123">
        <v>4</v>
      </c>
      <c r="E42" s="129" t="s">
        <v>394</v>
      </c>
      <c r="F42" s="131">
        <v>68</v>
      </c>
      <c r="G42" s="131">
        <f t="shared" si="3"/>
        <v>272</v>
      </c>
      <c r="H42" s="97">
        <f t="shared" si="14"/>
        <v>24.48</v>
      </c>
      <c r="I42" s="97">
        <f t="shared" si="15"/>
        <v>24.48</v>
      </c>
      <c r="J42" s="97">
        <f t="shared" si="16"/>
        <v>320.96000000000004</v>
      </c>
    </row>
    <row r="43" spans="1:10" ht="15.75" x14ac:dyDescent="0.25">
      <c r="A43" s="129">
        <v>40</v>
      </c>
      <c r="B43" s="106" t="s">
        <v>432</v>
      </c>
      <c r="C43" s="106"/>
      <c r="D43" s="123">
        <v>3</v>
      </c>
      <c r="E43" s="129" t="s">
        <v>394</v>
      </c>
      <c r="F43" s="131">
        <v>68</v>
      </c>
      <c r="G43" s="131">
        <f t="shared" si="3"/>
        <v>204</v>
      </c>
      <c r="H43" s="97">
        <f t="shared" si="14"/>
        <v>18.36</v>
      </c>
      <c r="I43" s="97">
        <f t="shared" si="15"/>
        <v>18.36</v>
      </c>
      <c r="J43" s="97">
        <f t="shared" si="16"/>
        <v>240.72000000000003</v>
      </c>
    </row>
    <row r="44" spans="1:10" ht="15.75" x14ac:dyDescent="0.25">
      <c r="A44" s="129">
        <v>41</v>
      </c>
      <c r="B44" s="106" t="s">
        <v>433</v>
      </c>
      <c r="C44" s="106"/>
      <c r="D44" s="123">
        <v>15</v>
      </c>
      <c r="E44" s="129" t="s">
        <v>374</v>
      </c>
      <c r="F44" s="131">
        <v>20</v>
      </c>
      <c r="G44" s="131">
        <f t="shared" si="3"/>
        <v>300</v>
      </c>
      <c r="H44" s="97">
        <f t="shared" si="14"/>
        <v>27</v>
      </c>
      <c r="I44" s="97">
        <f t="shared" si="15"/>
        <v>27</v>
      </c>
      <c r="J44" s="97">
        <f t="shared" si="16"/>
        <v>354</v>
      </c>
    </row>
    <row r="45" spans="1:10" ht="15.75" x14ac:dyDescent="0.25">
      <c r="A45" s="129">
        <v>42</v>
      </c>
      <c r="B45" s="106" t="s">
        <v>434</v>
      </c>
      <c r="C45" s="106" t="s">
        <v>391</v>
      </c>
      <c r="D45" s="123">
        <v>4</v>
      </c>
      <c r="E45" s="129" t="s">
        <v>407</v>
      </c>
      <c r="F45" s="131">
        <v>400</v>
      </c>
      <c r="G45" s="131">
        <f t="shared" si="3"/>
        <v>1600</v>
      </c>
      <c r="H45" s="97">
        <f t="shared" si="14"/>
        <v>144</v>
      </c>
      <c r="I45" s="97">
        <f t="shared" si="15"/>
        <v>144</v>
      </c>
      <c r="J45" s="97">
        <f t="shared" si="16"/>
        <v>1888</v>
      </c>
    </row>
    <row r="46" spans="1:10" ht="15.75" x14ac:dyDescent="0.25">
      <c r="A46" s="129">
        <v>43</v>
      </c>
      <c r="B46" s="106" t="s">
        <v>435</v>
      </c>
      <c r="C46" s="106" t="s">
        <v>376</v>
      </c>
      <c r="D46" s="123">
        <v>2</v>
      </c>
      <c r="E46" s="129" t="s">
        <v>374</v>
      </c>
      <c r="F46" s="131">
        <v>178</v>
      </c>
      <c r="G46" s="131">
        <f t="shared" si="3"/>
        <v>356</v>
      </c>
      <c r="H46" s="97">
        <f t="shared" si="14"/>
        <v>32.04</v>
      </c>
      <c r="I46" s="97">
        <f t="shared" si="15"/>
        <v>32.04</v>
      </c>
      <c r="J46" s="97">
        <f t="shared" si="16"/>
        <v>420.08000000000004</v>
      </c>
    </row>
    <row r="47" spans="1:10" s="107" customFormat="1" ht="15.75" x14ac:dyDescent="0.25">
      <c r="A47" s="129">
        <v>44</v>
      </c>
      <c r="B47" s="132" t="s">
        <v>435</v>
      </c>
      <c r="C47" s="132" t="s">
        <v>391</v>
      </c>
      <c r="D47" s="208">
        <v>1</v>
      </c>
      <c r="E47" s="133" t="s">
        <v>374</v>
      </c>
      <c r="F47" s="134">
        <v>178</v>
      </c>
      <c r="G47" s="131">
        <f t="shared" si="3"/>
        <v>178</v>
      </c>
      <c r="H47" s="97">
        <f t="shared" si="14"/>
        <v>16.02</v>
      </c>
      <c r="I47" s="97">
        <f t="shared" si="15"/>
        <v>16.02</v>
      </c>
      <c r="J47" s="97">
        <f t="shared" si="16"/>
        <v>210.04000000000002</v>
      </c>
    </row>
    <row r="48" spans="1:10" s="107" customFormat="1" ht="15.75" x14ac:dyDescent="0.25">
      <c r="A48" s="129">
        <v>45</v>
      </c>
      <c r="B48" s="132" t="s">
        <v>436</v>
      </c>
      <c r="C48" s="132"/>
      <c r="D48" s="208">
        <v>50</v>
      </c>
      <c r="E48" s="133" t="s">
        <v>374</v>
      </c>
      <c r="F48" s="134">
        <v>25</v>
      </c>
      <c r="G48" s="131">
        <f t="shared" si="3"/>
        <v>1250</v>
      </c>
      <c r="H48" s="97">
        <f t="shared" si="14"/>
        <v>112.5</v>
      </c>
      <c r="I48" s="97">
        <f t="shared" si="15"/>
        <v>112.5</v>
      </c>
      <c r="J48" s="97">
        <f t="shared" si="16"/>
        <v>1475</v>
      </c>
    </row>
    <row r="49" spans="1:10" ht="15" customHeight="1" x14ac:dyDescent="0.25">
      <c r="A49" s="129">
        <v>46</v>
      </c>
      <c r="B49" s="106" t="s">
        <v>437</v>
      </c>
      <c r="C49" s="106"/>
      <c r="D49" s="123">
        <v>83</v>
      </c>
      <c r="E49" s="133" t="s">
        <v>374</v>
      </c>
      <c r="F49" s="131">
        <v>18</v>
      </c>
      <c r="G49" s="131">
        <f t="shared" si="3"/>
        <v>1494</v>
      </c>
      <c r="H49" s="97">
        <f t="shared" si="14"/>
        <v>134.46</v>
      </c>
      <c r="I49" s="97">
        <f t="shared" si="15"/>
        <v>134.46</v>
      </c>
      <c r="J49" s="97">
        <f t="shared" si="16"/>
        <v>1762.92</v>
      </c>
    </row>
    <row r="50" spans="1:10" ht="15.75" x14ac:dyDescent="0.25">
      <c r="A50" s="129">
        <v>47</v>
      </c>
      <c r="B50" s="106" t="s">
        <v>438</v>
      </c>
      <c r="C50" s="106" t="s">
        <v>397</v>
      </c>
      <c r="D50" s="123">
        <v>1</v>
      </c>
      <c r="E50" s="129" t="s">
        <v>407</v>
      </c>
      <c r="F50" s="131">
        <v>765</v>
      </c>
      <c r="G50" s="131">
        <f t="shared" si="3"/>
        <v>765</v>
      </c>
      <c r="H50" s="97">
        <f t="shared" si="14"/>
        <v>68.849999999999994</v>
      </c>
      <c r="I50" s="97">
        <f t="shared" si="15"/>
        <v>68.849999999999994</v>
      </c>
      <c r="J50" s="97">
        <f t="shared" si="16"/>
        <v>902.7</v>
      </c>
    </row>
    <row r="51" spans="1:10" ht="15.75" x14ac:dyDescent="0.25">
      <c r="A51" s="129">
        <v>48</v>
      </c>
      <c r="B51" s="106" t="s">
        <v>438</v>
      </c>
      <c r="C51" s="106" t="s">
        <v>397</v>
      </c>
      <c r="D51" s="123">
        <v>1</v>
      </c>
      <c r="E51" s="129" t="s">
        <v>407</v>
      </c>
      <c r="F51" s="131">
        <v>860</v>
      </c>
      <c r="G51" s="131">
        <f t="shared" si="3"/>
        <v>860</v>
      </c>
      <c r="H51" s="97">
        <f t="shared" si="14"/>
        <v>77.399999999999991</v>
      </c>
      <c r="I51" s="97">
        <f t="shared" si="15"/>
        <v>77.399999999999991</v>
      </c>
      <c r="J51" s="97">
        <f t="shared" si="16"/>
        <v>1014.8</v>
      </c>
    </row>
    <row r="52" spans="1:10" ht="15.75" x14ac:dyDescent="0.25">
      <c r="A52" s="129">
        <v>49</v>
      </c>
      <c r="B52" s="106" t="s">
        <v>439</v>
      </c>
      <c r="C52" s="106" t="s">
        <v>376</v>
      </c>
      <c r="D52" s="123">
        <v>1</v>
      </c>
      <c r="E52" s="129" t="s">
        <v>407</v>
      </c>
      <c r="F52" s="131">
        <v>860</v>
      </c>
      <c r="G52" s="131">
        <f t="shared" si="3"/>
        <v>860</v>
      </c>
      <c r="H52" s="97">
        <f t="shared" si="14"/>
        <v>77.399999999999991</v>
      </c>
      <c r="I52" s="97">
        <f t="shared" si="15"/>
        <v>77.399999999999991</v>
      </c>
      <c r="J52" s="97">
        <f t="shared" si="16"/>
        <v>1014.8</v>
      </c>
    </row>
    <row r="53" spans="1:10" ht="15.75" x14ac:dyDescent="0.25">
      <c r="A53" s="129">
        <v>50</v>
      </c>
      <c r="B53" s="106" t="s">
        <v>440</v>
      </c>
      <c r="C53" s="106" t="s">
        <v>376</v>
      </c>
      <c r="D53" s="123">
        <v>14</v>
      </c>
      <c r="E53" s="129" t="s">
        <v>374</v>
      </c>
      <c r="F53" s="131">
        <v>31</v>
      </c>
      <c r="G53" s="131">
        <f t="shared" si="3"/>
        <v>434</v>
      </c>
      <c r="H53" s="97">
        <f t="shared" ref="H53:H56" si="17">G53*9%</f>
        <v>39.059999999999995</v>
      </c>
      <c r="I53" s="97">
        <f t="shared" ref="I53:I56" si="18">H53</f>
        <v>39.059999999999995</v>
      </c>
      <c r="J53" s="97">
        <f t="shared" ref="J53:J56" si="19">G53+H53+I53</f>
        <v>512.12</v>
      </c>
    </row>
    <row r="54" spans="1:10" ht="15.75" x14ac:dyDescent="0.25">
      <c r="A54" s="129">
        <v>51</v>
      </c>
      <c r="B54" s="106" t="s">
        <v>441</v>
      </c>
      <c r="C54" s="106" t="s">
        <v>376</v>
      </c>
      <c r="D54" s="123">
        <v>10</v>
      </c>
      <c r="E54" s="129" t="s">
        <v>374</v>
      </c>
      <c r="F54" s="131">
        <v>32</v>
      </c>
      <c r="G54" s="131">
        <f t="shared" si="3"/>
        <v>320</v>
      </c>
      <c r="H54" s="97">
        <f t="shared" si="17"/>
        <v>28.799999999999997</v>
      </c>
      <c r="I54" s="97">
        <f t="shared" si="18"/>
        <v>28.799999999999997</v>
      </c>
      <c r="J54" s="97">
        <f t="shared" si="19"/>
        <v>377.6</v>
      </c>
    </row>
    <row r="55" spans="1:10" ht="15.75" x14ac:dyDescent="0.25">
      <c r="A55" s="129">
        <v>52</v>
      </c>
      <c r="B55" s="106" t="s">
        <v>442</v>
      </c>
      <c r="C55" s="106" t="s">
        <v>376</v>
      </c>
      <c r="D55" s="123">
        <v>5</v>
      </c>
      <c r="E55" s="129" t="s">
        <v>374</v>
      </c>
      <c r="F55" s="131">
        <v>42</v>
      </c>
      <c r="G55" s="131">
        <f t="shared" si="3"/>
        <v>210</v>
      </c>
      <c r="H55" s="97">
        <f t="shared" si="17"/>
        <v>18.899999999999999</v>
      </c>
      <c r="I55" s="97">
        <f t="shared" si="18"/>
        <v>18.899999999999999</v>
      </c>
      <c r="J55" s="97">
        <f t="shared" si="19"/>
        <v>247.8</v>
      </c>
    </row>
    <row r="56" spans="1:10" ht="15.75" x14ac:dyDescent="0.25">
      <c r="A56" s="129">
        <v>53</v>
      </c>
      <c r="B56" s="106" t="s">
        <v>443</v>
      </c>
      <c r="C56" s="106" t="s">
        <v>391</v>
      </c>
      <c r="D56" s="123">
        <v>1</v>
      </c>
      <c r="E56" s="129" t="s">
        <v>407</v>
      </c>
      <c r="F56" s="131">
        <v>1200</v>
      </c>
      <c r="G56" s="131">
        <f t="shared" si="3"/>
        <v>1200</v>
      </c>
      <c r="H56" s="97">
        <f t="shared" si="17"/>
        <v>108</v>
      </c>
      <c r="I56" s="97">
        <f t="shared" si="18"/>
        <v>108</v>
      </c>
      <c r="J56" s="97">
        <f t="shared" si="19"/>
        <v>1416</v>
      </c>
    </row>
    <row r="57" spans="1:10" ht="15.75" x14ac:dyDescent="0.25">
      <c r="A57" s="129">
        <v>54</v>
      </c>
      <c r="B57" s="106" t="s">
        <v>444</v>
      </c>
      <c r="C57" s="106" t="s">
        <v>397</v>
      </c>
      <c r="D57" s="123">
        <v>3</v>
      </c>
      <c r="E57" s="129" t="s">
        <v>374</v>
      </c>
      <c r="F57" s="131">
        <v>180</v>
      </c>
      <c r="G57" s="131">
        <f t="shared" si="3"/>
        <v>540</v>
      </c>
      <c r="H57" s="97">
        <f t="shared" ref="H57:H117" si="20">G57*9%</f>
        <v>48.6</v>
      </c>
      <c r="I57" s="97">
        <f t="shared" ref="I57:I117" si="21">H57</f>
        <v>48.6</v>
      </c>
      <c r="J57" s="97">
        <f t="shared" ref="J57:J117" si="22">G57+H57+I57</f>
        <v>637.20000000000005</v>
      </c>
    </row>
    <row r="58" spans="1:10" ht="15.75" x14ac:dyDescent="0.25">
      <c r="A58" s="129">
        <v>55</v>
      </c>
      <c r="B58" s="106" t="s">
        <v>445</v>
      </c>
      <c r="C58" s="106" t="s">
        <v>397</v>
      </c>
      <c r="D58" s="123">
        <v>5</v>
      </c>
      <c r="E58" s="129" t="s">
        <v>374</v>
      </c>
      <c r="F58" s="131">
        <v>368</v>
      </c>
      <c r="G58" s="131">
        <f t="shared" si="3"/>
        <v>1840</v>
      </c>
      <c r="H58" s="97">
        <f t="shared" si="20"/>
        <v>165.6</v>
      </c>
      <c r="I58" s="97">
        <f t="shared" si="21"/>
        <v>165.6</v>
      </c>
      <c r="J58" s="97">
        <f t="shared" si="22"/>
        <v>2171.1999999999998</v>
      </c>
    </row>
    <row r="59" spans="1:10" ht="15.75" x14ac:dyDescent="0.25">
      <c r="A59" s="129">
        <v>56</v>
      </c>
      <c r="B59" s="106" t="s">
        <v>446</v>
      </c>
      <c r="C59" s="106"/>
      <c r="D59" s="123">
        <v>1</v>
      </c>
      <c r="E59" s="129" t="s">
        <v>407</v>
      </c>
      <c r="F59" s="131">
        <v>12360</v>
      </c>
      <c r="G59" s="131">
        <f t="shared" si="3"/>
        <v>12360</v>
      </c>
      <c r="H59" s="97">
        <f t="shared" si="20"/>
        <v>1112.3999999999999</v>
      </c>
      <c r="I59" s="97">
        <f t="shared" si="21"/>
        <v>1112.3999999999999</v>
      </c>
      <c r="J59" s="97">
        <f t="shared" si="22"/>
        <v>14584.8</v>
      </c>
    </row>
    <row r="60" spans="1:10" ht="15.75" x14ac:dyDescent="0.25">
      <c r="A60" s="129">
        <v>57</v>
      </c>
      <c r="B60" s="106" t="s">
        <v>447</v>
      </c>
      <c r="C60" s="106" t="s">
        <v>448</v>
      </c>
      <c r="D60" s="123">
        <v>1</v>
      </c>
      <c r="E60" s="129" t="s">
        <v>374</v>
      </c>
      <c r="F60" s="131">
        <v>230</v>
      </c>
      <c r="G60" s="131">
        <f t="shared" si="3"/>
        <v>230</v>
      </c>
      <c r="H60" s="97">
        <f t="shared" si="20"/>
        <v>20.7</v>
      </c>
      <c r="I60" s="97">
        <f t="shared" si="21"/>
        <v>20.7</v>
      </c>
      <c r="J60" s="97">
        <f t="shared" si="22"/>
        <v>271.39999999999998</v>
      </c>
    </row>
    <row r="61" spans="1:10" ht="15.75" x14ac:dyDescent="0.25">
      <c r="A61" s="129">
        <v>58</v>
      </c>
      <c r="B61" s="106" t="s">
        <v>449</v>
      </c>
      <c r="C61" s="106"/>
      <c r="D61" s="123">
        <v>5</v>
      </c>
      <c r="E61" s="129" t="s">
        <v>374</v>
      </c>
      <c r="F61" s="131">
        <v>255</v>
      </c>
      <c r="G61" s="131">
        <f t="shared" si="3"/>
        <v>1275</v>
      </c>
      <c r="H61" s="97">
        <f t="shared" si="20"/>
        <v>114.75</v>
      </c>
      <c r="I61" s="97">
        <f t="shared" si="21"/>
        <v>114.75</v>
      </c>
      <c r="J61" s="97">
        <f t="shared" si="22"/>
        <v>1504.5</v>
      </c>
    </row>
    <row r="62" spans="1:10" ht="15.75" x14ac:dyDescent="0.25">
      <c r="A62" s="129">
        <v>59</v>
      </c>
      <c r="B62" s="106" t="s">
        <v>450</v>
      </c>
      <c r="C62" s="106"/>
      <c r="D62" s="123">
        <v>18</v>
      </c>
      <c r="E62" s="129" t="s">
        <v>423</v>
      </c>
      <c r="F62" s="131">
        <v>770</v>
      </c>
      <c r="G62" s="131">
        <f t="shared" si="3"/>
        <v>13860</v>
      </c>
      <c r="H62" s="97">
        <f t="shared" si="20"/>
        <v>1247.3999999999999</v>
      </c>
      <c r="I62" s="97">
        <f t="shared" si="21"/>
        <v>1247.3999999999999</v>
      </c>
      <c r="J62" s="97">
        <f t="shared" si="22"/>
        <v>16354.8</v>
      </c>
    </row>
    <row r="63" spans="1:10" ht="15.75" x14ac:dyDescent="0.25">
      <c r="A63" s="129">
        <v>60</v>
      </c>
      <c r="B63" s="106" t="s">
        <v>451</v>
      </c>
      <c r="C63" s="106"/>
      <c r="D63" s="123">
        <v>6</v>
      </c>
      <c r="E63" s="129" t="s">
        <v>423</v>
      </c>
      <c r="F63" s="131">
        <v>580</v>
      </c>
      <c r="G63" s="131">
        <f t="shared" si="3"/>
        <v>3480</v>
      </c>
      <c r="H63" s="97">
        <f t="shared" si="20"/>
        <v>313.2</v>
      </c>
      <c r="I63" s="97">
        <f t="shared" si="21"/>
        <v>313.2</v>
      </c>
      <c r="J63" s="97">
        <f t="shared" si="22"/>
        <v>4106.3999999999996</v>
      </c>
    </row>
    <row r="64" spans="1:10" ht="15.75" x14ac:dyDescent="0.25">
      <c r="A64" s="129">
        <v>61</v>
      </c>
      <c r="B64" s="106" t="s">
        <v>452</v>
      </c>
      <c r="C64" s="106"/>
      <c r="D64" s="123">
        <v>7</v>
      </c>
      <c r="E64" s="129" t="s">
        <v>394</v>
      </c>
      <c r="F64" s="131">
        <v>290</v>
      </c>
      <c r="G64" s="131">
        <f t="shared" si="3"/>
        <v>2030</v>
      </c>
      <c r="H64" s="97">
        <f t="shared" si="20"/>
        <v>182.7</v>
      </c>
      <c r="I64" s="97">
        <f t="shared" si="21"/>
        <v>182.7</v>
      </c>
      <c r="J64" s="97">
        <f t="shared" si="22"/>
        <v>2395.3999999999996</v>
      </c>
    </row>
    <row r="65" spans="1:10" ht="15.75" x14ac:dyDescent="0.25">
      <c r="A65" s="129">
        <v>62</v>
      </c>
      <c r="B65" s="106" t="s">
        <v>453</v>
      </c>
      <c r="C65" s="106"/>
      <c r="D65" s="123">
        <v>7</v>
      </c>
      <c r="E65" s="129" t="s">
        <v>394</v>
      </c>
      <c r="F65" s="131">
        <v>925</v>
      </c>
      <c r="G65" s="131">
        <f t="shared" si="3"/>
        <v>6475</v>
      </c>
      <c r="H65" s="97">
        <f t="shared" si="20"/>
        <v>582.75</v>
      </c>
      <c r="I65" s="97">
        <f t="shared" si="21"/>
        <v>582.75</v>
      </c>
      <c r="J65" s="97">
        <f t="shared" si="22"/>
        <v>7640.5</v>
      </c>
    </row>
    <row r="66" spans="1:10" ht="15.75" x14ac:dyDescent="0.25">
      <c r="A66" s="129">
        <v>63</v>
      </c>
      <c r="B66" s="106" t="s">
        <v>454</v>
      </c>
      <c r="C66" s="106"/>
      <c r="D66" s="123">
        <v>9</v>
      </c>
      <c r="E66" s="129" t="s">
        <v>423</v>
      </c>
      <c r="F66" s="131">
        <v>200</v>
      </c>
      <c r="G66" s="131">
        <f t="shared" si="3"/>
        <v>1800</v>
      </c>
      <c r="H66" s="97">
        <f t="shared" si="20"/>
        <v>162</v>
      </c>
      <c r="I66" s="97">
        <f t="shared" si="21"/>
        <v>162</v>
      </c>
      <c r="J66" s="97">
        <f t="shared" si="22"/>
        <v>2124</v>
      </c>
    </row>
    <row r="67" spans="1:10" ht="15.75" x14ac:dyDescent="0.25">
      <c r="A67" s="129">
        <v>64</v>
      </c>
      <c r="B67" s="106" t="s">
        <v>455</v>
      </c>
      <c r="C67" s="106"/>
      <c r="D67" s="123">
        <v>5</v>
      </c>
      <c r="E67" s="129" t="s">
        <v>456</v>
      </c>
      <c r="F67" s="131">
        <v>323</v>
      </c>
      <c r="G67" s="131">
        <f t="shared" si="3"/>
        <v>1615</v>
      </c>
      <c r="H67" s="97">
        <f t="shared" si="20"/>
        <v>145.35</v>
      </c>
      <c r="I67" s="97">
        <f t="shared" si="21"/>
        <v>145.35</v>
      </c>
      <c r="J67" s="97">
        <f t="shared" si="22"/>
        <v>1905.6999999999998</v>
      </c>
    </row>
    <row r="68" spans="1:10" ht="15.75" x14ac:dyDescent="0.25">
      <c r="A68" s="129">
        <v>65</v>
      </c>
      <c r="B68" s="106" t="s">
        <v>457</v>
      </c>
      <c r="C68" s="106"/>
      <c r="D68" s="123">
        <v>21</v>
      </c>
      <c r="E68" s="129" t="s">
        <v>456</v>
      </c>
      <c r="F68" s="131">
        <v>124</v>
      </c>
      <c r="G68" s="131">
        <f t="shared" si="3"/>
        <v>2604</v>
      </c>
      <c r="H68" s="97">
        <f t="shared" si="20"/>
        <v>234.35999999999999</v>
      </c>
      <c r="I68" s="97">
        <f t="shared" si="21"/>
        <v>234.35999999999999</v>
      </c>
      <c r="J68" s="97">
        <f t="shared" si="22"/>
        <v>3072.7200000000003</v>
      </c>
    </row>
    <row r="69" spans="1:10" ht="15.75" x14ac:dyDescent="0.25">
      <c r="A69" s="129">
        <v>66</v>
      </c>
      <c r="B69" s="106" t="s">
        <v>458</v>
      </c>
      <c r="C69" s="106" t="s">
        <v>459</v>
      </c>
      <c r="D69" s="123">
        <v>5</v>
      </c>
      <c r="E69" s="129" t="s">
        <v>374</v>
      </c>
      <c r="F69" s="131">
        <v>425</v>
      </c>
      <c r="G69" s="131">
        <f t="shared" ref="G69:G117" si="23">D69*F69</f>
        <v>2125</v>
      </c>
      <c r="H69" s="97">
        <f t="shared" si="20"/>
        <v>191.25</v>
      </c>
      <c r="I69" s="97">
        <f t="shared" si="21"/>
        <v>191.25</v>
      </c>
      <c r="J69" s="97">
        <f t="shared" si="22"/>
        <v>2507.5</v>
      </c>
    </row>
    <row r="70" spans="1:10" ht="15.75" x14ac:dyDescent="0.25">
      <c r="A70" s="129">
        <v>67</v>
      </c>
      <c r="B70" s="106" t="s">
        <v>460</v>
      </c>
      <c r="C70" s="106" t="s">
        <v>461</v>
      </c>
      <c r="D70" s="123">
        <v>250</v>
      </c>
      <c r="E70" s="129" t="s">
        <v>374</v>
      </c>
      <c r="F70" s="131">
        <v>19</v>
      </c>
      <c r="G70" s="131">
        <f t="shared" si="23"/>
        <v>4750</v>
      </c>
      <c r="H70" s="97">
        <f t="shared" si="20"/>
        <v>427.5</v>
      </c>
      <c r="I70" s="97">
        <f t="shared" si="21"/>
        <v>427.5</v>
      </c>
      <c r="J70" s="97">
        <f t="shared" si="22"/>
        <v>5605</v>
      </c>
    </row>
    <row r="71" spans="1:10" ht="15.75" x14ac:dyDescent="0.25">
      <c r="A71" s="129">
        <v>68</v>
      </c>
      <c r="B71" s="106" t="s">
        <v>462</v>
      </c>
      <c r="C71" s="106" t="s">
        <v>461</v>
      </c>
      <c r="D71" s="123">
        <v>170</v>
      </c>
      <c r="E71" s="129" t="s">
        <v>374</v>
      </c>
      <c r="F71" s="131">
        <v>32</v>
      </c>
      <c r="G71" s="131">
        <f t="shared" si="23"/>
        <v>5440</v>
      </c>
      <c r="H71" s="97">
        <f t="shared" si="20"/>
        <v>489.59999999999997</v>
      </c>
      <c r="I71" s="97">
        <f t="shared" si="21"/>
        <v>489.59999999999997</v>
      </c>
      <c r="J71" s="97">
        <f t="shared" si="22"/>
        <v>6419.2000000000007</v>
      </c>
    </row>
    <row r="72" spans="1:10" ht="15.75" x14ac:dyDescent="0.25">
      <c r="A72" s="129">
        <v>69</v>
      </c>
      <c r="B72" s="106" t="s">
        <v>463</v>
      </c>
      <c r="C72" s="106" t="s">
        <v>461</v>
      </c>
      <c r="D72" s="123">
        <v>41</v>
      </c>
      <c r="E72" s="129" t="s">
        <v>374</v>
      </c>
      <c r="F72" s="131">
        <v>35</v>
      </c>
      <c r="G72" s="131">
        <f t="shared" si="23"/>
        <v>1435</v>
      </c>
      <c r="H72" s="97">
        <f t="shared" si="20"/>
        <v>129.15</v>
      </c>
      <c r="I72" s="97">
        <f t="shared" si="21"/>
        <v>129.15</v>
      </c>
      <c r="J72" s="97">
        <f t="shared" si="22"/>
        <v>1693.3000000000002</v>
      </c>
    </row>
    <row r="73" spans="1:10" ht="15.75" x14ac:dyDescent="0.25">
      <c r="A73" s="129">
        <v>70</v>
      </c>
      <c r="B73" s="106" t="s">
        <v>464</v>
      </c>
      <c r="C73" s="106" t="s">
        <v>465</v>
      </c>
      <c r="D73" s="123">
        <v>275</v>
      </c>
      <c r="E73" s="129" t="s">
        <v>374</v>
      </c>
      <c r="F73" s="131">
        <v>24</v>
      </c>
      <c r="G73" s="131">
        <f t="shared" si="23"/>
        <v>6600</v>
      </c>
      <c r="H73" s="97">
        <f t="shared" si="20"/>
        <v>594</v>
      </c>
      <c r="I73" s="97">
        <f t="shared" si="21"/>
        <v>594</v>
      </c>
      <c r="J73" s="97">
        <f t="shared" si="22"/>
        <v>7788</v>
      </c>
    </row>
    <row r="74" spans="1:10" ht="15.75" x14ac:dyDescent="0.25">
      <c r="A74" s="129">
        <v>71</v>
      </c>
      <c r="B74" s="106" t="s">
        <v>466</v>
      </c>
      <c r="C74" s="106" t="s">
        <v>461</v>
      </c>
      <c r="D74" s="123">
        <v>40</v>
      </c>
      <c r="E74" s="129" t="s">
        <v>374</v>
      </c>
      <c r="F74" s="131">
        <v>30</v>
      </c>
      <c r="G74" s="131">
        <f t="shared" si="23"/>
        <v>1200</v>
      </c>
      <c r="H74" s="97">
        <f t="shared" si="20"/>
        <v>108</v>
      </c>
      <c r="I74" s="97">
        <f t="shared" si="21"/>
        <v>108</v>
      </c>
      <c r="J74" s="97">
        <f t="shared" si="22"/>
        <v>1416</v>
      </c>
    </row>
    <row r="75" spans="1:10" ht="15.75" x14ac:dyDescent="0.25">
      <c r="A75" s="129">
        <v>72</v>
      </c>
      <c r="B75" s="106" t="s">
        <v>467</v>
      </c>
      <c r="C75" s="106"/>
      <c r="D75" s="123">
        <v>9</v>
      </c>
      <c r="E75" s="129" t="s">
        <v>374</v>
      </c>
      <c r="F75" s="131">
        <v>2050</v>
      </c>
      <c r="G75" s="131">
        <f t="shared" si="23"/>
        <v>18450</v>
      </c>
      <c r="H75" s="97">
        <f t="shared" si="20"/>
        <v>1660.5</v>
      </c>
      <c r="I75" s="97">
        <f t="shared" si="21"/>
        <v>1660.5</v>
      </c>
      <c r="J75" s="97">
        <f t="shared" si="22"/>
        <v>21771</v>
      </c>
    </row>
    <row r="76" spans="1:10" ht="15.75" x14ac:dyDescent="0.25">
      <c r="A76" s="129">
        <v>73</v>
      </c>
      <c r="B76" s="106" t="s">
        <v>468</v>
      </c>
      <c r="C76" s="106" t="s">
        <v>469</v>
      </c>
      <c r="D76" s="123">
        <v>5</v>
      </c>
      <c r="E76" s="129" t="s">
        <v>394</v>
      </c>
      <c r="F76" s="131">
        <v>2200</v>
      </c>
      <c r="G76" s="131">
        <f t="shared" si="23"/>
        <v>11000</v>
      </c>
      <c r="H76" s="97">
        <f t="shared" si="20"/>
        <v>990</v>
      </c>
      <c r="I76" s="97">
        <f t="shared" si="21"/>
        <v>990</v>
      </c>
      <c r="J76" s="97">
        <f t="shared" si="22"/>
        <v>12980</v>
      </c>
    </row>
    <row r="77" spans="1:10" ht="15.75" x14ac:dyDescent="0.25">
      <c r="A77" s="129">
        <v>74</v>
      </c>
      <c r="B77" s="106" t="s">
        <v>470</v>
      </c>
      <c r="C77" s="106" t="s">
        <v>461</v>
      </c>
      <c r="D77" s="123">
        <v>40</v>
      </c>
      <c r="E77" s="129" t="s">
        <v>14</v>
      </c>
      <c r="F77" s="131">
        <v>154</v>
      </c>
      <c r="G77" s="131">
        <f t="shared" si="23"/>
        <v>6160</v>
      </c>
      <c r="H77" s="97">
        <f t="shared" si="20"/>
        <v>554.4</v>
      </c>
      <c r="I77" s="97">
        <f t="shared" si="21"/>
        <v>554.4</v>
      </c>
      <c r="J77" s="97">
        <f t="shared" si="22"/>
        <v>7268.7999999999993</v>
      </c>
    </row>
    <row r="78" spans="1:10" ht="15.75" x14ac:dyDescent="0.25">
      <c r="A78" s="129">
        <v>75</v>
      </c>
      <c r="B78" s="106" t="s">
        <v>471</v>
      </c>
      <c r="C78" s="106"/>
      <c r="D78" s="123">
        <v>50</v>
      </c>
      <c r="E78" s="129" t="s">
        <v>472</v>
      </c>
      <c r="F78" s="131">
        <v>60</v>
      </c>
      <c r="G78" s="131">
        <f t="shared" si="23"/>
        <v>3000</v>
      </c>
      <c r="H78" s="97">
        <f t="shared" si="20"/>
        <v>270</v>
      </c>
      <c r="I78" s="97">
        <f t="shared" si="21"/>
        <v>270</v>
      </c>
      <c r="J78" s="97">
        <f t="shared" si="22"/>
        <v>3540</v>
      </c>
    </row>
    <row r="79" spans="1:10" ht="15.75" x14ac:dyDescent="0.25">
      <c r="A79" s="129">
        <v>76</v>
      </c>
      <c r="B79" s="106" t="s">
        <v>473</v>
      </c>
      <c r="C79" s="106"/>
      <c r="D79" s="123">
        <v>4</v>
      </c>
      <c r="E79" s="129" t="s">
        <v>374</v>
      </c>
      <c r="F79" s="131">
        <v>300</v>
      </c>
      <c r="G79" s="131">
        <f t="shared" si="23"/>
        <v>1200</v>
      </c>
      <c r="H79" s="97">
        <f t="shared" si="20"/>
        <v>108</v>
      </c>
      <c r="I79" s="97">
        <f t="shared" si="21"/>
        <v>108</v>
      </c>
      <c r="J79" s="97">
        <f t="shared" si="22"/>
        <v>1416</v>
      </c>
    </row>
    <row r="80" spans="1:10" ht="15.75" x14ac:dyDescent="0.25">
      <c r="A80" s="129">
        <v>77</v>
      </c>
      <c r="B80" s="106" t="s">
        <v>115</v>
      </c>
      <c r="C80" s="106"/>
      <c r="D80" s="123">
        <v>15</v>
      </c>
      <c r="E80" s="129" t="s">
        <v>374</v>
      </c>
      <c r="F80" s="131">
        <v>250</v>
      </c>
      <c r="G80" s="131">
        <f t="shared" si="23"/>
        <v>3750</v>
      </c>
      <c r="H80" s="97">
        <f t="shared" si="20"/>
        <v>337.5</v>
      </c>
      <c r="I80" s="97">
        <f t="shared" si="21"/>
        <v>337.5</v>
      </c>
      <c r="J80" s="97">
        <f t="shared" si="22"/>
        <v>4425</v>
      </c>
    </row>
    <row r="81" spans="1:10" ht="15.75" x14ac:dyDescent="0.25">
      <c r="A81" s="129">
        <v>78</v>
      </c>
      <c r="B81" s="106" t="s">
        <v>474</v>
      </c>
      <c r="C81" s="106"/>
      <c r="D81" s="123">
        <v>7</v>
      </c>
      <c r="E81" s="129" t="s">
        <v>374</v>
      </c>
      <c r="F81" s="131">
        <v>1398</v>
      </c>
      <c r="G81" s="131">
        <f t="shared" si="23"/>
        <v>9786</v>
      </c>
      <c r="H81" s="97">
        <f t="shared" si="20"/>
        <v>880.74</v>
      </c>
      <c r="I81" s="97">
        <f t="shared" si="21"/>
        <v>880.74</v>
      </c>
      <c r="J81" s="97">
        <f t="shared" si="22"/>
        <v>11547.48</v>
      </c>
    </row>
    <row r="82" spans="1:10" ht="15.75" x14ac:dyDescent="0.25">
      <c r="A82" s="129">
        <v>79</v>
      </c>
      <c r="B82" s="106" t="s">
        <v>475</v>
      </c>
      <c r="C82" s="106"/>
      <c r="D82" s="123">
        <v>8</v>
      </c>
      <c r="E82" s="129" t="s">
        <v>374</v>
      </c>
      <c r="F82" s="131">
        <v>682</v>
      </c>
      <c r="G82" s="131">
        <f t="shared" si="23"/>
        <v>5456</v>
      </c>
      <c r="H82" s="97">
        <f t="shared" si="20"/>
        <v>491.03999999999996</v>
      </c>
      <c r="I82" s="97">
        <f t="shared" si="21"/>
        <v>491.03999999999996</v>
      </c>
      <c r="J82" s="97">
        <f t="shared" si="22"/>
        <v>6438.08</v>
      </c>
    </row>
    <row r="83" spans="1:10" ht="15.75" x14ac:dyDescent="0.25">
      <c r="A83" s="129">
        <v>80</v>
      </c>
      <c r="B83" s="106" t="s">
        <v>476</v>
      </c>
      <c r="C83" s="106"/>
      <c r="D83" s="123">
        <v>1</v>
      </c>
      <c r="E83" s="129" t="s">
        <v>374</v>
      </c>
      <c r="F83" s="131">
        <v>420</v>
      </c>
      <c r="G83" s="131">
        <f t="shared" si="23"/>
        <v>420</v>
      </c>
      <c r="H83" s="97">
        <f t="shared" si="20"/>
        <v>37.799999999999997</v>
      </c>
      <c r="I83" s="97">
        <f t="shared" si="21"/>
        <v>37.799999999999997</v>
      </c>
      <c r="J83" s="97">
        <f t="shared" si="22"/>
        <v>495.6</v>
      </c>
    </row>
    <row r="84" spans="1:10" ht="15.75" x14ac:dyDescent="0.25">
      <c r="A84" s="129">
        <v>81</v>
      </c>
      <c r="B84" s="106" t="s">
        <v>477</v>
      </c>
      <c r="C84" s="106"/>
      <c r="D84" s="123">
        <v>35</v>
      </c>
      <c r="E84" s="129" t="s">
        <v>478</v>
      </c>
      <c r="F84" s="131">
        <v>155</v>
      </c>
      <c r="G84" s="131">
        <f t="shared" si="23"/>
        <v>5425</v>
      </c>
      <c r="H84" s="97">
        <f t="shared" si="20"/>
        <v>488.25</v>
      </c>
      <c r="I84" s="97">
        <f t="shared" si="21"/>
        <v>488.25</v>
      </c>
      <c r="J84" s="97">
        <f t="shared" si="22"/>
        <v>6401.5</v>
      </c>
    </row>
    <row r="85" spans="1:10" ht="15.75" x14ac:dyDescent="0.25">
      <c r="A85" s="129">
        <v>82</v>
      </c>
      <c r="B85" s="106" t="s">
        <v>479</v>
      </c>
      <c r="C85" s="106" t="s">
        <v>480</v>
      </c>
      <c r="D85" s="123">
        <v>20</v>
      </c>
      <c r="E85" s="129" t="s">
        <v>478</v>
      </c>
      <c r="F85" s="131">
        <v>250</v>
      </c>
      <c r="G85" s="131">
        <f t="shared" si="23"/>
        <v>5000</v>
      </c>
      <c r="H85" s="97">
        <f t="shared" si="20"/>
        <v>450</v>
      </c>
      <c r="I85" s="97">
        <f t="shared" si="21"/>
        <v>450</v>
      </c>
      <c r="J85" s="97">
        <f t="shared" si="22"/>
        <v>5900</v>
      </c>
    </row>
    <row r="86" spans="1:10" ht="15.75" x14ac:dyDescent="0.25">
      <c r="A86" s="129">
        <v>83</v>
      </c>
      <c r="B86" s="106" t="s">
        <v>481</v>
      </c>
      <c r="C86" s="106" t="s">
        <v>480</v>
      </c>
      <c r="D86" s="123">
        <v>4</v>
      </c>
      <c r="E86" s="129" t="s">
        <v>374</v>
      </c>
      <c r="F86" s="131">
        <v>228</v>
      </c>
      <c r="G86" s="131">
        <f t="shared" si="23"/>
        <v>912</v>
      </c>
      <c r="H86" s="97">
        <f t="shared" si="20"/>
        <v>82.08</v>
      </c>
      <c r="I86" s="97">
        <f t="shared" si="21"/>
        <v>82.08</v>
      </c>
      <c r="J86" s="97">
        <f t="shared" si="22"/>
        <v>1076.1600000000001</v>
      </c>
    </row>
    <row r="87" spans="1:10" ht="15.75" x14ac:dyDescent="0.25">
      <c r="A87" s="129">
        <v>84</v>
      </c>
      <c r="B87" s="106" t="s">
        <v>482</v>
      </c>
      <c r="C87" s="106" t="s">
        <v>480</v>
      </c>
      <c r="D87" s="123">
        <v>10</v>
      </c>
      <c r="E87" s="129" t="s">
        <v>478</v>
      </c>
      <c r="F87" s="131">
        <v>200</v>
      </c>
      <c r="G87" s="131">
        <f t="shared" si="23"/>
        <v>2000</v>
      </c>
      <c r="H87" s="97">
        <f t="shared" si="20"/>
        <v>180</v>
      </c>
      <c r="I87" s="97">
        <f t="shared" si="21"/>
        <v>180</v>
      </c>
      <c r="J87" s="97">
        <f t="shared" si="22"/>
        <v>2360</v>
      </c>
    </row>
    <row r="88" spans="1:10" ht="15.75" x14ac:dyDescent="0.25">
      <c r="A88" s="129">
        <v>85</v>
      </c>
      <c r="B88" s="106" t="s">
        <v>483</v>
      </c>
      <c r="C88" s="106" t="s">
        <v>484</v>
      </c>
      <c r="D88" s="123">
        <v>2</v>
      </c>
      <c r="E88" s="129" t="s">
        <v>478</v>
      </c>
      <c r="F88" s="131">
        <v>200</v>
      </c>
      <c r="G88" s="131">
        <f t="shared" si="23"/>
        <v>400</v>
      </c>
      <c r="H88" s="97">
        <f t="shared" si="20"/>
        <v>36</v>
      </c>
      <c r="I88" s="97">
        <f t="shared" si="21"/>
        <v>36</v>
      </c>
      <c r="J88" s="97">
        <f t="shared" si="22"/>
        <v>472</v>
      </c>
    </row>
    <row r="89" spans="1:10" ht="15.75" x14ac:dyDescent="0.25">
      <c r="A89" s="129">
        <v>86</v>
      </c>
      <c r="B89" s="106" t="s">
        <v>485</v>
      </c>
      <c r="C89" s="106"/>
      <c r="D89" s="123">
        <v>8</v>
      </c>
      <c r="E89" s="129" t="s">
        <v>478</v>
      </c>
      <c r="F89" s="131">
        <v>280</v>
      </c>
      <c r="G89" s="131">
        <f t="shared" si="23"/>
        <v>2240</v>
      </c>
      <c r="H89" s="97">
        <f t="shared" si="20"/>
        <v>201.6</v>
      </c>
      <c r="I89" s="97">
        <f t="shared" si="21"/>
        <v>201.6</v>
      </c>
      <c r="J89" s="97">
        <f t="shared" si="22"/>
        <v>2643.2</v>
      </c>
    </row>
    <row r="90" spans="1:10" ht="15.75" x14ac:dyDescent="0.25">
      <c r="A90" s="129">
        <v>87</v>
      </c>
      <c r="B90" s="106" t="s">
        <v>486</v>
      </c>
      <c r="C90" s="106" t="s">
        <v>487</v>
      </c>
      <c r="D90" s="123">
        <v>45</v>
      </c>
      <c r="E90" s="129" t="s">
        <v>478</v>
      </c>
      <c r="F90" s="131">
        <v>370</v>
      </c>
      <c r="G90" s="131">
        <f t="shared" si="23"/>
        <v>16650</v>
      </c>
      <c r="H90" s="97">
        <f t="shared" si="20"/>
        <v>1498.5</v>
      </c>
      <c r="I90" s="97">
        <f t="shared" si="21"/>
        <v>1498.5</v>
      </c>
      <c r="J90" s="97">
        <f t="shared" si="22"/>
        <v>19647</v>
      </c>
    </row>
    <row r="91" spans="1:10" ht="15.75" x14ac:dyDescent="0.25">
      <c r="A91" s="129">
        <v>88</v>
      </c>
      <c r="B91" s="106" t="s">
        <v>488</v>
      </c>
      <c r="C91" s="106"/>
      <c r="D91" s="123">
        <v>40</v>
      </c>
      <c r="E91" s="129" t="s">
        <v>95</v>
      </c>
      <c r="F91" s="131">
        <v>58</v>
      </c>
      <c r="G91" s="131">
        <f t="shared" si="23"/>
        <v>2320</v>
      </c>
      <c r="H91" s="97">
        <f t="shared" si="20"/>
        <v>208.79999999999998</v>
      </c>
      <c r="I91" s="97">
        <f t="shared" si="21"/>
        <v>208.79999999999998</v>
      </c>
      <c r="J91" s="97">
        <f t="shared" si="22"/>
        <v>2737.6000000000004</v>
      </c>
    </row>
    <row r="92" spans="1:10" ht="15.75" x14ac:dyDescent="0.25">
      <c r="A92" s="129">
        <v>89</v>
      </c>
      <c r="B92" s="106" t="s">
        <v>489</v>
      </c>
      <c r="C92" s="106"/>
      <c r="D92" s="123">
        <v>13</v>
      </c>
      <c r="E92" s="129" t="s">
        <v>374</v>
      </c>
      <c r="F92" s="131">
        <v>450</v>
      </c>
      <c r="G92" s="131">
        <f t="shared" si="23"/>
        <v>5850</v>
      </c>
      <c r="H92" s="97">
        <f t="shared" si="20"/>
        <v>526.5</v>
      </c>
      <c r="I92" s="97">
        <f t="shared" si="21"/>
        <v>526.5</v>
      </c>
      <c r="J92" s="97">
        <f t="shared" si="22"/>
        <v>6903</v>
      </c>
    </row>
    <row r="93" spans="1:10" ht="15.75" x14ac:dyDescent="0.25">
      <c r="A93" s="129">
        <v>90</v>
      </c>
      <c r="B93" s="106" t="s">
        <v>490</v>
      </c>
      <c r="C93" s="106"/>
      <c r="D93" s="123">
        <v>8</v>
      </c>
      <c r="E93" s="129" t="s">
        <v>374</v>
      </c>
      <c r="F93" s="131">
        <v>210</v>
      </c>
      <c r="G93" s="131">
        <f t="shared" si="23"/>
        <v>1680</v>
      </c>
      <c r="H93" s="97">
        <f t="shared" si="20"/>
        <v>151.19999999999999</v>
      </c>
      <c r="I93" s="97">
        <f t="shared" si="21"/>
        <v>151.19999999999999</v>
      </c>
      <c r="J93" s="97">
        <f t="shared" si="22"/>
        <v>1982.4</v>
      </c>
    </row>
    <row r="94" spans="1:10" ht="15.75" x14ac:dyDescent="0.25">
      <c r="A94" s="129">
        <v>91</v>
      </c>
      <c r="B94" s="106" t="s">
        <v>491</v>
      </c>
      <c r="C94" s="106"/>
      <c r="D94" s="123">
        <v>8</v>
      </c>
      <c r="E94" s="129" t="s">
        <v>374</v>
      </c>
      <c r="F94" s="131">
        <v>310</v>
      </c>
      <c r="G94" s="131">
        <f t="shared" si="23"/>
        <v>2480</v>
      </c>
      <c r="H94" s="97">
        <f t="shared" si="20"/>
        <v>223.2</v>
      </c>
      <c r="I94" s="97">
        <f t="shared" si="21"/>
        <v>223.2</v>
      </c>
      <c r="J94" s="97">
        <f t="shared" si="22"/>
        <v>2926.3999999999996</v>
      </c>
    </row>
    <row r="95" spans="1:10" ht="15.75" x14ac:dyDescent="0.25">
      <c r="A95" s="129">
        <v>92</v>
      </c>
      <c r="B95" s="106" t="s">
        <v>492</v>
      </c>
      <c r="C95" s="106"/>
      <c r="D95" s="123">
        <v>21</v>
      </c>
      <c r="E95" s="129" t="s">
        <v>374</v>
      </c>
      <c r="F95" s="131">
        <v>400</v>
      </c>
      <c r="G95" s="131">
        <f t="shared" si="23"/>
        <v>8400</v>
      </c>
      <c r="H95" s="97">
        <f t="shared" si="20"/>
        <v>756</v>
      </c>
      <c r="I95" s="97">
        <f t="shared" si="21"/>
        <v>756</v>
      </c>
      <c r="J95" s="97">
        <f t="shared" si="22"/>
        <v>9912</v>
      </c>
    </row>
    <row r="96" spans="1:10" ht="15.75" x14ac:dyDescent="0.25">
      <c r="A96" s="129">
        <v>93</v>
      </c>
      <c r="B96" s="106" t="s">
        <v>493</v>
      </c>
      <c r="C96" s="106"/>
      <c r="D96" s="123">
        <v>10</v>
      </c>
      <c r="E96" s="129" t="s">
        <v>374</v>
      </c>
      <c r="F96" s="131">
        <v>1160</v>
      </c>
      <c r="G96" s="131">
        <f t="shared" si="23"/>
        <v>11600</v>
      </c>
      <c r="H96" s="97">
        <f t="shared" si="20"/>
        <v>1044</v>
      </c>
      <c r="I96" s="97">
        <f t="shared" si="21"/>
        <v>1044</v>
      </c>
      <c r="J96" s="97">
        <f t="shared" si="22"/>
        <v>13688</v>
      </c>
    </row>
    <row r="97" spans="1:10" ht="15.75" x14ac:dyDescent="0.25">
      <c r="A97" s="129">
        <v>94</v>
      </c>
      <c r="B97" s="106" t="s">
        <v>494</v>
      </c>
      <c r="C97" s="106" t="s">
        <v>495</v>
      </c>
      <c r="D97" s="123">
        <v>1</v>
      </c>
      <c r="E97" s="129" t="s">
        <v>374</v>
      </c>
      <c r="F97" s="131">
        <v>1100</v>
      </c>
      <c r="G97" s="131">
        <f t="shared" si="23"/>
        <v>1100</v>
      </c>
      <c r="H97" s="97">
        <f t="shared" si="20"/>
        <v>99</v>
      </c>
      <c r="I97" s="97">
        <f t="shared" si="21"/>
        <v>99</v>
      </c>
      <c r="J97" s="97">
        <f t="shared" si="22"/>
        <v>1298</v>
      </c>
    </row>
    <row r="98" spans="1:10" ht="15.75" x14ac:dyDescent="0.25">
      <c r="A98" s="129">
        <v>95</v>
      </c>
      <c r="B98" s="106" t="s">
        <v>496</v>
      </c>
      <c r="C98" s="106"/>
      <c r="D98" s="123">
        <v>49</v>
      </c>
      <c r="E98" s="129" t="s">
        <v>374</v>
      </c>
      <c r="F98" s="131">
        <v>50</v>
      </c>
      <c r="G98" s="131">
        <f t="shared" si="23"/>
        <v>2450</v>
      </c>
      <c r="H98" s="97">
        <f t="shared" si="20"/>
        <v>220.5</v>
      </c>
      <c r="I98" s="97">
        <f t="shared" si="21"/>
        <v>220.5</v>
      </c>
      <c r="J98" s="97">
        <f t="shared" si="22"/>
        <v>2891</v>
      </c>
    </row>
    <row r="99" spans="1:10" ht="15.75" x14ac:dyDescent="0.25">
      <c r="A99" s="129">
        <v>96</v>
      </c>
      <c r="B99" s="106" t="s">
        <v>497</v>
      </c>
      <c r="C99" s="106"/>
      <c r="D99" s="123">
        <v>40</v>
      </c>
      <c r="E99" s="129" t="s">
        <v>374</v>
      </c>
      <c r="F99" s="131">
        <v>40</v>
      </c>
      <c r="G99" s="131">
        <f t="shared" si="23"/>
        <v>1600</v>
      </c>
      <c r="H99" s="97">
        <f t="shared" si="20"/>
        <v>144</v>
      </c>
      <c r="I99" s="97">
        <f t="shared" si="21"/>
        <v>144</v>
      </c>
      <c r="J99" s="97">
        <f t="shared" si="22"/>
        <v>1888</v>
      </c>
    </row>
    <row r="100" spans="1:10" ht="15.75" x14ac:dyDescent="0.25">
      <c r="A100" s="129">
        <v>97</v>
      </c>
      <c r="B100" s="106" t="s">
        <v>498</v>
      </c>
      <c r="C100" s="106"/>
      <c r="D100" s="123">
        <v>2</v>
      </c>
      <c r="E100" s="129" t="s">
        <v>374</v>
      </c>
      <c r="F100" s="131">
        <v>50</v>
      </c>
      <c r="G100" s="131">
        <f t="shared" si="23"/>
        <v>100</v>
      </c>
      <c r="H100" s="97">
        <f t="shared" si="20"/>
        <v>9</v>
      </c>
      <c r="I100" s="97">
        <f t="shared" si="21"/>
        <v>9</v>
      </c>
      <c r="J100" s="97">
        <f t="shared" si="22"/>
        <v>118</v>
      </c>
    </row>
    <row r="101" spans="1:10" ht="15.75" x14ac:dyDescent="0.25">
      <c r="A101" s="129">
        <v>98</v>
      </c>
      <c r="B101" s="106" t="s">
        <v>499</v>
      </c>
      <c r="C101" s="106"/>
      <c r="D101" s="123">
        <v>40</v>
      </c>
      <c r="E101" s="129" t="s">
        <v>374</v>
      </c>
      <c r="F101" s="131">
        <v>20</v>
      </c>
      <c r="G101" s="131">
        <f t="shared" si="23"/>
        <v>800</v>
      </c>
      <c r="H101" s="97">
        <f t="shared" si="20"/>
        <v>72</v>
      </c>
      <c r="I101" s="97">
        <f t="shared" si="21"/>
        <v>72</v>
      </c>
      <c r="J101" s="97">
        <f t="shared" si="22"/>
        <v>944</v>
      </c>
    </row>
    <row r="102" spans="1:10" ht="15.75" x14ac:dyDescent="0.25">
      <c r="A102" s="129">
        <v>99</v>
      </c>
      <c r="B102" s="106" t="s">
        <v>500</v>
      </c>
      <c r="C102" s="106"/>
      <c r="D102" s="123">
        <v>100</v>
      </c>
      <c r="E102" s="129" t="s">
        <v>374</v>
      </c>
      <c r="F102" s="131">
        <v>15</v>
      </c>
      <c r="G102" s="131">
        <f t="shared" si="23"/>
        <v>1500</v>
      </c>
      <c r="H102" s="97">
        <f t="shared" si="20"/>
        <v>135</v>
      </c>
      <c r="I102" s="97">
        <f t="shared" si="21"/>
        <v>135</v>
      </c>
      <c r="J102" s="97">
        <f t="shared" si="22"/>
        <v>1770</v>
      </c>
    </row>
    <row r="103" spans="1:10" ht="15.75" x14ac:dyDescent="0.25">
      <c r="A103" s="129">
        <v>100</v>
      </c>
      <c r="B103" s="106" t="s">
        <v>501</v>
      </c>
      <c r="C103" s="106"/>
      <c r="D103" s="123">
        <v>150</v>
      </c>
      <c r="E103" s="129" t="s">
        <v>472</v>
      </c>
      <c r="F103" s="131">
        <v>11.5</v>
      </c>
      <c r="G103" s="131">
        <f t="shared" si="23"/>
        <v>1725</v>
      </c>
      <c r="H103" s="97">
        <f t="shared" si="20"/>
        <v>155.25</v>
      </c>
      <c r="I103" s="97">
        <f t="shared" si="21"/>
        <v>155.25</v>
      </c>
      <c r="J103" s="97">
        <f t="shared" si="22"/>
        <v>2035.5</v>
      </c>
    </row>
    <row r="104" spans="1:10" ht="15.75" x14ac:dyDescent="0.25">
      <c r="A104" s="129">
        <v>101</v>
      </c>
      <c r="B104" s="106" t="s">
        <v>502</v>
      </c>
      <c r="C104" s="106"/>
      <c r="D104" s="123">
        <v>30</v>
      </c>
      <c r="E104" s="129" t="s">
        <v>374</v>
      </c>
      <c r="F104" s="131">
        <v>900</v>
      </c>
      <c r="G104" s="131">
        <f t="shared" si="23"/>
        <v>27000</v>
      </c>
      <c r="H104" s="97">
        <f t="shared" si="20"/>
        <v>2430</v>
      </c>
      <c r="I104" s="97">
        <f t="shared" si="21"/>
        <v>2430</v>
      </c>
      <c r="J104" s="97">
        <f t="shared" si="22"/>
        <v>31860</v>
      </c>
    </row>
    <row r="105" spans="1:10" ht="15.75" x14ac:dyDescent="0.25">
      <c r="A105" s="129">
        <v>102</v>
      </c>
      <c r="B105" s="106" t="s">
        <v>503</v>
      </c>
      <c r="C105" s="106"/>
      <c r="D105" s="123">
        <v>30</v>
      </c>
      <c r="E105" s="129" t="s">
        <v>374</v>
      </c>
      <c r="F105" s="131">
        <v>664</v>
      </c>
      <c r="G105" s="131">
        <f t="shared" si="23"/>
        <v>19920</v>
      </c>
      <c r="H105" s="97">
        <f t="shared" si="20"/>
        <v>1792.8</v>
      </c>
      <c r="I105" s="97">
        <f t="shared" si="21"/>
        <v>1792.8</v>
      </c>
      <c r="J105" s="97">
        <f t="shared" si="22"/>
        <v>23505.599999999999</v>
      </c>
    </row>
    <row r="106" spans="1:10" ht="15.75" x14ac:dyDescent="0.25">
      <c r="A106" s="129">
        <v>103</v>
      </c>
      <c r="B106" s="106" t="s">
        <v>114</v>
      </c>
      <c r="C106" s="106"/>
      <c r="D106" s="123">
        <v>3</v>
      </c>
      <c r="E106" s="129" t="s">
        <v>374</v>
      </c>
      <c r="F106" s="131">
        <v>98</v>
      </c>
      <c r="G106" s="131">
        <f t="shared" si="23"/>
        <v>294</v>
      </c>
      <c r="H106" s="97">
        <f t="shared" si="20"/>
        <v>26.459999999999997</v>
      </c>
      <c r="I106" s="97">
        <f t="shared" si="21"/>
        <v>26.459999999999997</v>
      </c>
      <c r="J106" s="97">
        <f t="shared" si="22"/>
        <v>346.91999999999996</v>
      </c>
    </row>
    <row r="107" spans="1:10" ht="15.75" x14ac:dyDescent="0.25">
      <c r="A107" s="129">
        <v>104</v>
      </c>
      <c r="B107" s="106" t="s">
        <v>504</v>
      </c>
      <c r="C107" s="106" t="s">
        <v>505</v>
      </c>
      <c r="D107" s="123">
        <v>7</v>
      </c>
      <c r="E107" s="129" t="s">
        <v>374</v>
      </c>
      <c r="F107" s="131">
        <v>1652</v>
      </c>
      <c r="G107" s="131">
        <f t="shared" si="23"/>
        <v>11564</v>
      </c>
      <c r="H107" s="97">
        <f t="shared" si="20"/>
        <v>1040.76</v>
      </c>
      <c r="I107" s="97">
        <f t="shared" si="21"/>
        <v>1040.76</v>
      </c>
      <c r="J107" s="97">
        <f t="shared" si="22"/>
        <v>13645.52</v>
      </c>
    </row>
    <row r="108" spans="1:10" ht="15.75" x14ac:dyDescent="0.25">
      <c r="A108" s="129">
        <v>105</v>
      </c>
      <c r="B108" s="106" t="s">
        <v>506</v>
      </c>
      <c r="C108" s="106"/>
      <c r="D108" s="123">
        <v>270</v>
      </c>
      <c r="E108" s="129" t="s">
        <v>374</v>
      </c>
      <c r="F108" s="131">
        <v>36</v>
      </c>
      <c r="G108" s="131">
        <f t="shared" si="23"/>
        <v>9720</v>
      </c>
      <c r="H108" s="97">
        <f t="shared" si="20"/>
        <v>874.8</v>
      </c>
      <c r="I108" s="97">
        <f t="shared" si="21"/>
        <v>874.8</v>
      </c>
      <c r="J108" s="97">
        <f t="shared" si="22"/>
        <v>11469.599999999999</v>
      </c>
    </row>
    <row r="109" spans="1:10" ht="15.75" x14ac:dyDescent="0.25">
      <c r="A109" s="129">
        <v>106</v>
      </c>
      <c r="B109" s="106" t="s">
        <v>507</v>
      </c>
      <c r="C109" s="106"/>
      <c r="D109" s="123">
        <v>16</v>
      </c>
      <c r="E109" s="129" t="s">
        <v>374</v>
      </c>
      <c r="F109" s="131">
        <v>890</v>
      </c>
      <c r="G109" s="131">
        <f t="shared" si="23"/>
        <v>14240</v>
      </c>
      <c r="H109" s="97">
        <f t="shared" si="20"/>
        <v>1281.5999999999999</v>
      </c>
      <c r="I109" s="97">
        <f t="shared" si="21"/>
        <v>1281.5999999999999</v>
      </c>
      <c r="J109" s="97">
        <f t="shared" si="22"/>
        <v>16803.2</v>
      </c>
    </row>
    <row r="110" spans="1:10" ht="15.75" x14ac:dyDescent="0.25">
      <c r="A110" s="129">
        <v>107</v>
      </c>
      <c r="B110" s="106" t="s">
        <v>508</v>
      </c>
      <c r="C110" s="106"/>
      <c r="D110" s="123">
        <v>3</v>
      </c>
      <c r="E110" s="129" t="s">
        <v>374</v>
      </c>
      <c r="F110" s="131">
        <v>1500</v>
      </c>
      <c r="G110" s="131">
        <f t="shared" si="23"/>
        <v>4500</v>
      </c>
      <c r="H110" s="97">
        <f t="shared" si="20"/>
        <v>405</v>
      </c>
      <c r="I110" s="97">
        <f t="shared" si="21"/>
        <v>405</v>
      </c>
      <c r="J110" s="97">
        <f t="shared" si="22"/>
        <v>5310</v>
      </c>
    </row>
    <row r="111" spans="1:10" ht="15.75" x14ac:dyDescent="0.25">
      <c r="A111" s="129">
        <v>108</v>
      </c>
      <c r="B111" s="106" t="s">
        <v>509</v>
      </c>
      <c r="C111" s="106"/>
      <c r="D111" s="123">
        <v>1</v>
      </c>
      <c r="E111" s="129" t="s">
        <v>374</v>
      </c>
      <c r="F111" s="131">
        <v>2800</v>
      </c>
      <c r="G111" s="131">
        <f t="shared" si="23"/>
        <v>2800</v>
      </c>
      <c r="H111" s="97">
        <f t="shared" si="20"/>
        <v>252</v>
      </c>
      <c r="I111" s="97">
        <f t="shared" si="21"/>
        <v>252</v>
      </c>
      <c r="J111" s="97">
        <f t="shared" si="22"/>
        <v>3304</v>
      </c>
    </row>
    <row r="112" spans="1:10" ht="15.75" x14ac:dyDescent="0.25">
      <c r="A112" s="129">
        <v>109</v>
      </c>
      <c r="B112" s="106" t="s">
        <v>510</v>
      </c>
      <c r="C112" s="106"/>
      <c r="D112" s="123">
        <v>18</v>
      </c>
      <c r="E112" s="129" t="s">
        <v>374</v>
      </c>
      <c r="F112" s="131">
        <v>368</v>
      </c>
      <c r="G112" s="131">
        <f t="shared" si="23"/>
        <v>6624</v>
      </c>
      <c r="H112" s="97">
        <f t="shared" si="20"/>
        <v>596.16</v>
      </c>
      <c r="I112" s="97">
        <f t="shared" si="21"/>
        <v>596.16</v>
      </c>
      <c r="J112" s="97">
        <f t="shared" si="22"/>
        <v>7816.32</v>
      </c>
    </row>
    <row r="113" spans="1:10" ht="15.75" x14ac:dyDescent="0.25">
      <c r="A113" s="129">
        <v>110</v>
      </c>
      <c r="B113" s="106" t="s">
        <v>511</v>
      </c>
      <c r="C113" s="106"/>
      <c r="D113" s="123">
        <v>20</v>
      </c>
      <c r="E113" s="129" t="s">
        <v>374</v>
      </c>
      <c r="F113" s="131">
        <v>368</v>
      </c>
      <c r="G113" s="131">
        <f t="shared" si="23"/>
        <v>7360</v>
      </c>
      <c r="H113" s="97">
        <f t="shared" si="20"/>
        <v>662.4</v>
      </c>
      <c r="I113" s="97">
        <f t="shared" si="21"/>
        <v>662.4</v>
      </c>
      <c r="J113" s="97">
        <f t="shared" si="22"/>
        <v>8684.7999999999993</v>
      </c>
    </row>
    <row r="114" spans="1:10" ht="15.75" x14ac:dyDescent="0.25">
      <c r="A114" s="129">
        <v>111</v>
      </c>
      <c r="B114" s="106" t="s">
        <v>512</v>
      </c>
      <c r="C114" s="106"/>
      <c r="D114" s="123">
        <v>2</v>
      </c>
      <c r="E114" s="129" t="s">
        <v>374</v>
      </c>
      <c r="F114" s="131">
        <v>466</v>
      </c>
      <c r="G114" s="131">
        <f t="shared" si="23"/>
        <v>932</v>
      </c>
      <c r="H114" s="97">
        <f t="shared" si="20"/>
        <v>83.88</v>
      </c>
      <c r="I114" s="97">
        <f t="shared" si="21"/>
        <v>83.88</v>
      </c>
      <c r="J114" s="97">
        <f t="shared" si="22"/>
        <v>1099.76</v>
      </c>
    </row>
    <row r="115" spans="1:10" ht="15.75" x14ac:dyDescent="0.25">
      <c r="A115" s="129">
        <v>112</v>
      </c>
      <c r="B115" s="106" t="s">
        <v>513</v>
      </c>
      <c r="C115" s="106"/>
      <c r="D115" s="123">
        <v>2</v>
      </c>
      <c r="E115" s="129" t="s">
        <v>374</v>
      </c>
      <c r="F115" s="131">
        <v>299</v>
      </c>
      <c r="G115" s="131">
        <f t="shared" si="23"/>
        <v>598</v>
      </c>
      <c r="H115" s="97">
        <f t="shared" si="20"/>
        <v>53.82</v>
      </c>
      <c r="I115" s="97">
        <f t="shared" si="21"/>
        <v>53.82</v>
      </c>
      <c r="J115" s="97">
        <f t="shared" si="22"/>
        <v>705.6400000000001</v>
      </c>
    </row>
    <row r="116" spans="1:10" ht="15.75" x14ac:dyDescent="0.25">
      <c r="A116" s="129">
        <v>113</v>
      </c>
      <c r="B116" s="106" t="s">
        <v>514</v>
      </c>
      <c r="C116" s="106"/>
      <c r="D116" s="123">
        <v>1</v>
      </c>
      <c r="E116" s="129" t="s">
        <v>374</v>
      </c>
      <c r="F116" s="131">
        <v>750</v>
      </c>
      <c r="G116" s="131">
        <f t="shared" si="23"/>
        <v>750</v>
      </c>
      <c r="H116" s="97">
        <f t="shared" si="20"/>
        <v>67.5</v>
      </c>
      <c r="I116" s="97">
        <f t="shared" si="21"/>
        <v>67.5</v>
      </c>
      <c r="J116" s="97">
        <f t="shared" si="22"/>
        <v>885</v>
      </c>
    </row>
    <row r="117" spans="1:10" ht="15.75" x14ac:dyDescent="0.25">
      <c r="A117" s="129">
        <v>114</v>
      </c>
      <c r="B117" s="106" t="s">
        <v>515</v>
      </c>
      <c r="C117" s="106"/>
      <c r="D117" s="123">
        <v>102</v>
      </c>
      <c r="E117" s="129" t="s">
        <v>374</v>
      </c>
      <c r="F117" s="131">
        <v>98</v>
      </c>
      <c r="G117" s="131">
        <f t="shared" si="23"/>
        <v>9996</v>
      </c>
      <c r="H117" s="97">
        <f t="shared" si="20"/>
        <v>899.64</v>
      </c>
      <c r="I117" s="97">
        <f t="shared" si="21"/>
        <v>899.64</v>
      </c>
      <c r="J117" s="97">
        <f t="shared" si="22"/>
        <v>11795.279999999999</v>
      </c>
    </row>
    <row r="118" spans="1:10" ht="27.75" customHeight="1" x14ac:dyDescent="0.25">
      <c r="A118" s="365" t="s">
        <v>25</v>
      </c>
      <c r="B118" s="365"/>
      <c r="C118" s="365"/>
      <c r="D118" s="365"/>
      <c r="E118" s="365"/>
      <c r="F118" s="365"/>
      <c r="G118" s="226">
        <f>SUM(G4:G117)</f>
        <v>425550</v>
      </c>
      <c r="H118" s="227">
        <f t="shared" ref="H118" si="24">G118*9%</f>
        <v>38299.5</v>
      </c>
      <c r="I118" s="227">
        <f t="shared" ref="I118" si="25">H118</f>
        <v>38299.5</v>
      </c>
      <c r="J118" s="227">
        <f t="shared" ref="J118" si="26">G118+H118+I118</f>
        <v>502149</v>
      </c>
    </row>
    <row r="123" spans="1:10" x14ac:dyDescent="0.25">
      <c r="F123"/>
      <c r="G123"/>
    </row>
    <row r="124" spans="1:10" x14ac:dyDescent="0.25">
      <c r="F124"/>
      <c r="G124"/>
    </row>
    <row r="125" spans="1:10" x14ac:dyDescent="0.25">
      <c r="F125"/>
      <c r="G125"/>
    </row>
    <row r="126" spans="1:10" x14ac:dyDescent="0.25">
      <c r="F126"/>
      <c r="G126"/>
    </row>
  </sheetData>
  <mergeCells count="2">
    <mergeCell ref="A2:G2"/>
    <mergeCell ref="A118:F118"/>
  </mergeCells>
  <printOptions horizontalCentered="1"/>
  <pageMargins left="0.7" right="0.7" top="0.75" bottom="0.75" header="0.3" footer="0.3"/>
  <pageSetup scale="12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  <pageSetUpPr fitToPage="1"/>
  </sheetPr>
  <dimension ref="A1:N30"/>
  <sheetViews>
    <sheetView showGridLines="0" zoomScaleNormal="100" workbookViewId="0">
      <pane ySplit="9" topLeftCell="A10" activePane="bottomLeft" state="frozen"/>
      <selection activeCell="C103" sqref="C103"/>
      <selection pane="bottomLeft" activeCell="G25" sqref="G25"/>
    </sheetView>
  </sheetViews>
  <sheetFormatPr defaultRowHeight="15" x14ac:dyDescent="0.25"/>
  <cols>
    <col min="1" max="1" width="5.5703125" bestFit="1" customWidth="1"/>
    <col min="2" max="2" width="33.7109375" customWidth="1"/>
    <col min="3" max="3" width="16.7109375" style="96" bestFit="1" customWidth="1"/>
    <col min="4" max="4" width="14.5703125" bestFit="1" customWidth="1"/>
    <col min="5" max="5" width="14.5703125" style="4" bestFit="1" customWidth="1"/>
    <col min="6" max="6" width="16.7109375" style="4" bestFit="1" customWidth="1"/>
    <col min="7" max="7" width="12.140625" bestFit="1" customWidth="1"/>
    <col min="9" max="9" width="6.5703125" customWidth="1"/>
    <col min="10" max="10" width="31.85546875" customWidth="1"/>
    <col min="11" max="11" width="8.85546875" customWidth="1"/>
    <col min="12" max="12" width="8.140625" customWidth="1"/>
    <col min="13" max="13" width="18.5703125" customWidth="1"/>
    <col min="14" max="14" width="16.28515625" customWidth="1"/>
  </cols>
  <sheetData>
    <row r="1" spans="1:14" ht="21" x14ac:dyDescent="0.35">
      <c r="A1" s="366" t="s">
        <v>96</v>
      </c>
      <c r="B1" s="367"/>
      <c r="C1" s="368"/>
    </row>
    <row r="2" spans="1:14" ht="19.5" customHeight="1" x14ac:dyDescent="0.35">
      <c r="A2" s="205"/>
      <c r="B2" s="204" t="s">
        <v>23</v>
      </c>
      <c r="C2" s="204" t="s">
        <v>106</v>
      </c>
      <c r="D2" s="204" t="s">
        <v>104</v>
      </c>
      <c r="E2" s="204" t="s">
        <v>105</v>
      </c>
      <c r="F2" s="204" t="s">
        <v>24</v>
      </c>
      <c r="J2" s="94"/>
      <c r="K2" s="94"/>
      <c r="L2" s="94"/>
    </row>
    <row r="3" spans="1:14" ht="19.5" customHeight="1" x14ac:dyDescent="0.3">
      <c r="A3" s="124">
        <v>1</v>
      </c>
      <c r="B3" s="124" t="s">
        <v>34</v>
      </c>
      <c r="C3" s="125">
        <f>G25</f>
        <v>145148</v>
      </c>
      <c r="D3" s="126">
        <f>C3*9%</f>
        <v>13063.32</v>
      </c>
      <c r="E3" s="126">
        <f>C3*9%</f>
        <v>13063.32</v>
      </c>
      <c r="F3" s="126">
        <f>C3+D3+E3</f>
        <v>171274.64</v>
      </c>
    </row>
    <row r="4" spans="1:14" ht="19.5" customHeight="1" x14ac:dyDescent="0.3">
      <c r="A4" s="124">
        <v>2</v>
      </c>
      <c r="B4" s="124" t="s">
        <v>183</v>
      </c>
      <c r="C4" s="125">
        <f>N20</f>
        <v>0</v>
      </c>
      <c r="D4" s="126">
        <f>C4*9%</f>
        <v>0</v>
      </c>
      <c r="E4" s="126">
        <f>C4*9%</f>
        <v>0</v>
      </c>
      <c r="F4" s="126">
        <f>C4+D4+E4</f>
        <v>0</v>
      </c>
    </row>
    <row r="5" spans="1:14" ht="18.75" x14ac:dyDescent="0.3">
      <c r="A5" s="106"/>
      <c r="B5" s="225" t="s">
        <v>8</v>
      </c>
      <c r="C5" s="224">
        <f>SUM(C3:C4)</f>
        <v>145148</v>
      </c>
      <c r="D5" s="224">
        <f t="shared" ref="D5:F5" si="0">SUM(D3:D4)</f>
        <v>13063.32</v>
      </c>
      <c r="E5" s="224">
        <f t="shared" si="0"/>
        <v>13063.32</v>
      </c>
      <c r="F5" s="224">
        <f t="shared" si="0"/>
        <v>171274.64</v>
      </c>
    </row>
    <row r="7" spans="1:14" x14ac:dyDescent="0.25">
      <c r="J7" s="19"/>
      <c r="K7" s="19"/>
      <c r="L7" s="19"/>
      <c r="M7" s="19"/>
    </row>
    <row r="8" spans="1:14" ht="23.25" x14ac:dyDescent="0.35">
      <c r="A8" s="370" t="s">
        <v>26</v>
      </c>
      <c r="B8" s="371"/>
      <c r="C8" s="371"/>
      <c r="D8" s="371"/>
      <c r="E8" s="371"/>
      <c r="F8" s="371"/>
      <c r="G8" s="372"/>
      <c r="I8" s="370" t="s">
        <v>181</v>
      </c>
      <c r="J8" s="371"/>
      <c r="K8" s="371"/>
      <c r="L8" s="371"/>
      <c r="M8" s="371"/>
      <c r="N8" s="372"/>
    </row>
    <row r="9" spans="1:14" s="19" customFormat="1" ht="30" x14ac:dyDescent="0.25">
      <c r="A9" s="206" t="s">
        <v>27</v>
      </c>
      <c r="B9" s="206" t="s">
        <v>12</v>
      </c>
      <c r="C9" s="324" t="s">
        <v>9</v>
      </c>
      <c r="D9" s="206" t="s">
        <v>5</v>
      </c>
      <c r="E9" s="206" t="s">
        <v>4</v>
      </c>
      <c r="F9" s="207" t="s">
        <v>28</v>
      </c>
      <c r="G9" s="207" t="s">
        <v>29</v>
      </c>
      <c r="I9" s="206" t="s">
        <v>27</v>
      </c>
      <c r="J9" s="206" t="s">
        <v>12</v>
      </c>
      <c r="K9" s="206" t="s">
        <v>5</v>
      </c>
      <c r="L9" s="206" t="s">
        <v>4</v>
      </c>
      <c r="M9" s="207" t="s">
        <v>28</v>
      </c>
      <c r="N9" s="207" t="s">
        <v>29</v>
      </c>
    </row>
    <row r="10" spans="1:14" s="19" customFormat="1" ht="15.75" x14ac:dyDescent="0.25">
      <c r="A10" s="129">
        <v>1</v>
      </c>
      <c r="B10" s="106" t="s">
        <v>150</v>
      </c>
      <c r="C10" s="129"/>
      <c r="D10" s="123">
        <v>2</v>
      </c>
      <c r="E10" s="106" t="s">
        <v>374</v>
      </c>
      <c r="F10" s="131">
        <v>215</v>
      </c>
      <c r="G10" s="325">
        <f t="shared" ref="G10:G24" si="1">D10*F10</f>
        <v>430</v>
      </c>
      <c r="I10" s="129"/>
      <c r="J10" s="106"/>
      <c r="K10" s="123"/>
      <c r="L10" s="106"/>
      <c r="M10" s="131"/>
      <c r="N10" s="131">
        <f t="shared" ref="N10:N19" si="2">K10*M10</f>
        <v>0</v>
      </c>
    </row>
    <row r="11" spans="1:14" ht="15.75" x14ac:dyDescent="0.25">
      <c r="A11" s="129">
        <v>2</v>
      </c>
      <c r="B11" s="106" t="s">
        <v>375</v>
      </c>
      <c r="C11" s="129" t="s">
        <v>376</v>
      </c>
      <c r="D11" s="123">
        <v>1</v>
      </c>
      <c r="E11" s="106" t="s">
        <v>374</v>
      </c>
      <c r="F11" s="131">
        <v>585</v>
      </c>
      <c r="G11" s="325">
        <f t="shared" si="1"/>
        <v>585</v>
      </c>
      <c r="I11" s="129"/>
      <c r="J11" s="106"/>
      <c r="K11" s="123"/>
      <c r="L11" s="106"/>
      <c r="M11" s="131"/>
      <c r="N11" s="131">
        <f t="shared" si="2"/>
        <v>0</v>
      </c>
    </row>
    <row r="12" spans="1:14" ht="15.75" x14ac:dyDescent="0.25">
      <c r="A12" s="129">
        <v>3</v>
      </c>
      <c r="B12" s="106" t="s">
        <v>377</v>
      </c>
      <c r="C12" s="129" t="s">
        <v>378</v>
      </c>
      <c r="D12" s="123">
        <v>4</v>
      </c>
      <c r="E12" s="106" t="s">
        <v>374</v>
      </c>
      <c r="F12" s="131">
        <v>1652</v>
      </c>
      <c r="G12" s="325">
        <f t="shared" si="1"/>
        <v>6608</v>
      </c>
      <c r="I12" s="129"/>
      <c r="J12" s="106"/>
      <c r="K12" s="123"/>
      <c r="L12" s="106"/>
      <c r="M12" s="131"/>
      <c r="N12" s="131">
        <f t="shared" si="2"/>
        <v>0</v>
      </c>
    </row>
    <row r="13" spans="1:14" ht="15.75" x14ac:dyDescent="0.25">
      <c r="A13" s="129">
        <v>4</v>
      </c>
      <c r="B13" s="106" t="s">
        <v>379</v>
      </c>
      <c r="C13" s="129" t="s">
        <v>378</v>
      </c>
      <c r="D13" s="123">
        <v>8</v>
      </c>
      <c r="E13" s="106" t="s">
        <v>374</v>
      </c>
      <c r="F13" s="131">
        <v>6589</v>
      </c>
      <c r="G13" s="325">
        <f t="shared" si="1"/>
        <v>52712</v>
      </c>
      <c r="I13" s="129"/>
      <c r="J13" s="106"/>
      <c r="K13" s="123"/>
      <c r="L13" s="106"/>
      <c r="M13" s="131"/>
      <c r="N13" s="131">
        <f t="shared" si="2"/>
        <v>0</v>
      </c>
    </row>
    <row r="14" spans="1:14" ht="15.75" x14ac:dyDescent="0.25">
      <c r="A14" s="129">
        <v>5</v>
      </c>
      <c r="B14" s="106" t="s">
        <v>380</v>
      </c>
      <c r="C14" s="129" t="s">
        <v>376</v>
      </c>
      <c r="D14" s="123">
        <v>6</v>
      </c>
      <c r="E14" s="106" t="s">
        <v>374</v>
      </c>
      <c r="F14" s="131">
        <v>190</v>
      </c>
      <c r="G14" s="325">
        <f t="shared" si="1"/>
        <v>1140</v>
      </c>
      <c r="I14" s="129"/>
      <c r="J14" s="106"/>
      <c r="K14" s="123"/>
      <c r="L14" s="106"/>
      <c r="M14" s="131"/>
      <c r="N14" s="131">
        <f t="shared" si="2"/>
        <v>0</v>
      </c>
    </row>
    <row r="15" spans="1:14" ht="15.75" x14ac:dyDescent="0.25">
      <c r="A15" s="129">
        <v>6</v>
      </c>
      <c r="B15" s="106" t="s">
        <v>381</v>
      </c>
      <c r="C15" s="129" t="s">
        <v>376</v>
      </c>
      <c r="D15" s="123">
        <v>38</v>
      </c>
      <c r="E15" s="106" t="s">
        <v>374</v>
      </c>
      <c r="F15" s="131">
        <v>250</v>
      </c>
      <c r="G15" s="325">
        <f t="shared" si="1"/>
        <v>9500</v>
      </c>
      <c r="I15" s="129"/>
      <c r="J15" s="106"/>
      <c r="K15" s="123"/>
      <c r="L15" s="106"/>
      <c r="M15" s="131"/>
      <c r="N15" s="131">
        <f t="shared" si="2"/>
        <v>0</v>
      </c>
    </row>
    <row r="16" spans="1:14" ht="15.75" x14ac:dyDescent="0.25">
      <c r="A16" s="129">
        <v>7</v>
      </c>
      <c r="B16" s="106" t="s">
        <v>382</v>
      </c>
      <c r="C16" s="129" t="s">
        <v>383</v>
      </c>
      <c r="D16" s="123">
        <v>5</v>
      </c>
      <c r="E16" s="106" t="s">
        <v>374</v>
      </c>
      <c r="F16" s="131">
        <v>6250</v>
      </c>
      <c r="G16" s="325">
        <f t="shared" si="1"/>
        <v>31250</v>
      </c>
      <c r="I16" s="129"/>
      <c r="J16" s="106"/>
      <c r="K16" s="123"/>
      <c r="L16" s="106"/>
      <c r="M16" s="131"/>
      <c r="N16" s="131">
        <f t="shared" si="2"/>
        <v>0</v>
      </c>
    </row>
    <row r="17" spans="1:14" ht="15.75" x14ac:dyDescent="0.25">
      <c r="A17" s="129">
        <v>8</v>
      </c>
      <c r="B17" s="106" t="s">
        <v>384</v>
      </c>
      <c r="C17" s="129" t="s">
        <v>385</v>
      </c>
      <c r="D17" s="123">
        <v>5</v>
      </c>
      <c r="E17" s="106" t="s">
        <v>374</v>
      </c>
      <c r="F17" s="131">
        <v>1350</v>
      </c>
      <c r="G17" s="325">
        <f t="shared" si="1"/>
        <v>6750</v>
      </c>
      <c r="I17" s="129"/>
      <c r="J17" s="106"/>
      <c r="K17" s="123"/>
      <c r="L17" s="106"/>
      <c r="M17" s="131"/>
      <c r="N17" s="131">
        <f t="shared" si="2"/>
        <v>0</v>
      </c>
    </row>
    <row r="18" spans="1:14" ht="15.75" x14ac:dyDescent="0.25">
      <c r="A18" s="129">
        <v>9</v>
      </c>
      <c r="B18" s="106" t="s">
        <v>148</v>
      </c>
      <c r="C18" s="129"/>
      <c r="D18" s="123">
        <v>2</v>
      </c>
      <c r="E18" s="106" t="s">
        <v>374</v>
      </c>
      <c r="F18" s="131">
        <v>710</v>
      </c>
      <c r="G18" s="325">
        <f t="shared" si="1"/>
        <v>1420</v>
      </c>
      <c r="I18" s="129"/>
      <c r="J18" s="106"/>
      <c r="K18" s="123"/>
      <c r="L18" s="106"/>
      <c r="M18" s="131"/>
      <c r="N18" s="131">
        <f t="shared" si="2"/>
        <v>0</v>
      </c>
    </row>
    <row r="19" spans="1:14" ht="15.75" x14ac:dyDescent="0.25">
      <c r="A19" s="129">
        <v>10</v>
      </c>
      <c r="B19" s="106" t="s">
        <v>386</v>
      </c>
      <c r="C19" s="129" t="s">
        <v>376</v>
      </c>
      <c r="D19" s="123">
        <v>5</v>
      </c>
      <c r="E19" s="106" t="s">
        <v>374</v>
      </c>
      <c r="F19" s="131">
        <v>177</v>
      </c>
      <c r="G19" s="325">
        <f>D19*F19</f>
        <v>885</v>
      </c>
      <c r="I19" s="129"/>
      <c r="J19" s="106"/>
      <c r="K19" s="123"/>
      <c r="L19" s="106"/>
      <c r="M19" s="131"/>
      <c r="N19" s="131">
        <f t="shared" si="2"/>
        <v>0</v>
      </c>
    </row>
    <row r="20" spans="1:14" ht="15.75" x14ac:dyDescent="0.25">
      <c r="A20" s="129">
        <v>11</v>
      </c>
      <c r="B20" s="106" t="s">
        <v>387</v>
      </c>
      <c r="C20" s="129" t="s">
        <v>376</v>
      </c>
      <c r="D20" s="123">
        <v>6</v>
      </c>
      <c r="E20" s="106" t="s">
        <v>374</v>
      </c>
      <c r="F20" s="131">
        <v>233</v>
      </c>
      <c r="G20" s="325">
        <f t="shared" si="1"/>
        <v>1398</v>
      </c>
      <c r="I20" s="369" t="s">
        <v>8</v>
      </c>
      <c r="J20" s="369"/>
      <c r="K20" s="369"/>
      <c r="L20" s="369"/>
      <c r="M20" s="369"/>
      <c r="N20" s="223">
        <f>SUM(N10:N19)</f>
        <v>0</v>
      </c>
    </row>
    <row r="21" spans="1:14" ht="15.75" x14ac:dyDescent="0.25">
      <c r="A21" s="129">
        <v>12</v>
      </c>
      <c r="B21" s="106" t="s">
        <v>196</v>
      </c>
      <c r="C21" s="129" t="s">
        <v>378</v>
      </c>
      <c r="D21" s="123">
        <v>2</v>
      </c>
      <c r="E21" s="106" t="s">
        <v>374</v>
      </c>
      <c r="F21" s="131">
        <v>8300</v>
      </c>
      <c r="G21" s="325">
        <f t="shared" si="1"/>
        <v>16600</v>
      </c>
    </row>
    <row r="22" spans="1:14" ht="15.75" x14ac:dyDescent="0.25">
      <c r="A22" s="129">
        <v>13</v>
      </c>
      <c r="B22" s="106" t="s">
        <v>388</v>
      </c>
      <c r="C22" s="129" t="s">
        <v>389</v>
      </c>
      <c r="D22" s="123">
        <v>10</v>
      </c>
      <c r="E22" s="106" t="s">
        <v>374</v>
      </c>
      <c r="F22" s="131">
        <v>690</v>
      </c>
      <c r="G22" s="325">
        <f t="shared" si="1"/>
        <v>6900</v>
      </c>
    </row>
    <row r="23" spans="1:14" ht="15.75" x14ac:dyDescent="0.25">
      <c r="A23" s="129">
        <v>14</v>
      </c>
      <c r="B23" s="106" t="s">
        <v>390</v>
      </c>
      <c r="C23" s="129" t="s">
        <v>391</v>
      </c>
      <c r="D23" s="123">
        <v>5</v>
      </c>
      <c r="E23" s="106" t="s">
        <v>374</v>
      </c>
      <c r="F23" s="131">
        <v>690</v>
      </c>
      <c r="G23" s="325">
        <f t="shared" si="1"/>
        <v>3450</v>
      </c>
    </row>
    <row r="24" spans="1:14" ht="15.75" x14ac:dyDescent="0.25">
      <c r="A24" s="129">
        <v>15</v>
      </c>
      <c r="B24" s="106" t="s">
        <v>392</v>
      </c>
      <c r="C24" s="129" t="s">
        <v>393</v>
      </c>
      <c r="D24" s="123">
        <v>8</v>
      </c>
      <c r="E24" s="106" t="s">
        <v>374</v>
      </c>
      <c r="F24" s="131">
        <v>690</v>
      </c>
      <c r="G24" s="325">
        <f t="shared" si="1"/>
        <v>5520</v>
      </c>
    </row>
    <row r="25" spans="1:14" x14ac:dyDescent="0.25">
      <c r="A25" s="106"/>
      <c r="B25" s="373" t="s">
        <v>8</v>
      </c>
      <c r="C25" s="374"/>
      <c r="D25" s="374"/>
      <c r="E25" s="375"/>
      <c r="F25" s="223">
        <f>SUM(F10:F24)</f>
        <v>28571</v>
      </c>
      <c r="G25" s="223">
        <f>SUM(G10:G24)</f>
        <v>145148</v>
      </c>
    </row>
    <row r="28" spans="1:14" x14ac:dyDescent="0.25">
      <c r="E28"/>
      <c r="F28"/>
    </row>
    <row r="29" spans="1:14" x14ac:dyDescent="0.25">
      <c r="E29"/>
      <c r="F29"/>
    </row>
    <row r="30" spans="1:14" x14ac:dyDescent="0.25">
      <c r="E30"/>
      <c r="F30"/>
    </row>
  </sheetData>
  <mergeCells count="5">
    <mergeCell ref="A1:C1"/>
    <mergeCell ref="I20:M20"/>
    <mergeCell ref="I8:N8"/>
    <mergeCell ref="B25:E25"/>
    <mergeCell ref="A8:G8"/>
  </mergeCells>
  <printOptions horizontalCentered="1"/>
  <pageMargins left="0.2" right="0.2" top="5.75" bottom="0.5" header="5.8" footer="0.05"/>
  <pageSetup scale="2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4:P27"/>
  <sheetViews>
    <sheetView showGridLines="0" zoomScaleNormal="100" workbookViewId="0">
      <selection activeCell="J23" sqref="J23"/>
    </sheetView>
  </sheetViews>
  <sheetFormatPr defaultRowHeight="15" x14ac:dyDescent="0.25"/>
  <cols>
    <col min="1" max="1" width="8.28515625" customWidth="1"/>
    <col min="2" max="2" width="46.7109375" customWidth="1"/>
    <col min="3" max="3" width="10" customWidth="1"/>
    <col min="4" max="4" width="8.85546875" customWidth="1"/>
    <col min="5" max="5" width="12.5703125" bestFit="1" customWidth="1"/>
    <col min="6" max="6" width="10.85546875" customWidth="1"/>
    <col min="7" max="7" width="16.7109375" bestFit="1" customWidth="1"/>
    <col min="8" max="8" width="18.85546875" customWidth="1"/>
    <col min="9" max="9" width="14.140625" customWidth="1"/>
    <col min="10" max="10" width="18.7109375" customWidth="1"/>
    <col min="11" max="11" width="31.85546875" customWidth="1"/>
  </cols>
  <sheetData>
    <row r="4" spans="1:14" ht="28.5" x14ac:dyDescent="0.45">
      <c r="B4" s="319" t="s">
        <v>83</v>
      </c>
      <c r="C4" s="57"/>
      <c r="D4" s="57"/>
    </row>
    <row r="5" spans="1:14" s="22" customFormat="1" ht="18.75" x14ac:dyDescent="0.3">
      <c r="A5" s="210" t="s">
        <v>11</v>
      </c>
      <c r="B5" s="210" t="s">
        <v>12</v>
      </c>
      <c r="C5" s="210" t="s">
        <v>80</v>
      </c>
      <c r="D5" s="210" t="s">
        <v>4</v>
      </c>
      <c r="E5" s="210" t="s">
        <v>18</v>
      </c>
      <c r="F5" s="210" t="s">
        <v>6</v>
      </c>
      <c r="G5" s="210" t="s">
        <v>7</v>
      </c>
      <c r="H5" s="210" t="s">
        <v>16</v>
      </c>
      <c r="I5" s="210" t="s">
        <v>17</v>
      </c>
      <c r="J5" s="210" t="s">
        <v>19</v>
      </c>
      <c r="K5" s="210" t="s">
        <v>13</v>
      </c>
    </row>
    <row r="6" spans="1:14" x14ac:dyDescent="0.25">
      <c r="A6" s="129">
        <v>1</v>
      </c>
      <c r="B6" s="106" t="s">
        <v>98</v>
      </c>
      <c r="C6" s="106" t="s">
        <v>81</v>
      </c>
      <c r="D6" s="106" t="s">
        <v>97</v>
      </c>
      <c r="E6" s="106">
        <f>4.8*54</f>
        <v>259.2</v>
      </c>
      <c r="F6" s="106">
        <v>510</v>
      </c>
      <c r="G6" s="106">
        <f t="shared" ref="G6:G9" si="0">E6*F6</f>
        <v>132192</v>
      </c>
      <c r="H6" s="106">
        <f t="shared" ref="H6:H11" si="1">G6*9%</f>
        <v>11897.279999999999</v>
      </c>
      <c r="I6" s="106">
        <f t="shared" ref="I6:I11" si="2">G6*9%</f>
        <v>11897.279999999999</v>
      </c>
      <c r="J6" s="131">
        <f t="shared" ref="J6:J11" si="3">G6+H6+I6</f>
        <v>155986.56</v>
      </c>
      <c r="K6" s="106" t="s">
        <v>369</v>
      </c>
    </row>
    <row r="7" spans="1:14" x14ac:dyDescent="0.25">
      <c r="A7" s="129">
        <v>2</v>
      </c>
      <c r="B7" s="106" t="s">
        <v>99</v>
      </c>
      <c r="C7" s="106" t="s">
        <v>82</v>
      </c>
      <c r="D7" s="106" t="s">
        <v>97</v>
      </c>
      <c r="E7" s="106">
        <v>138.80000000000001</v>
      </c>
      <c r="F7" s="106">
        <v>545</v>
      </c>
      <c r="G7" s="106">
        <f t="shared" si="0"/>
        <v>75646</v>
      </c>
      <c r="H7" s="106">
        <f t="shared" si="1"/>
        <v>6808.1399999999994</v>
      </c>
      <c r="I7" s="106">
        <f t="shared" si="2"/>
        <v>6808.1399999999994</v>
      </c>
      <c r="J7" s="131">
        <f t="shared" si="3"/>
        <v>89262.28</v>
      </c>
      <c r="K7" s="106" t="s">
        <v>198</v>
      </c>
      <c r="N7" s="135"/>
    </row>
    <row r="8" spans="1:14" x14ac:dyDescent="0.25">
      <c r="A8" s="129">
        <v>3</v>
      </c>
      <c r="B8" s="106" t="s">
        <v>116</v>
      </c>
      <c r="C8" s="106" t="s">
        <v>81</v>
      </c>
      <c r="D8" s="106" t="s">
        <v>14</v>
      </c>
      <c r="E8" s="106">
        <v>60</v>
      </c>
      <c r="F8" s="106">
        <v>58</v>
      </c>
      <c r="G8" s="106">
        <f t="shared" si="0"/>
        <v>3480</v>
      </c>
      <c r="H8" s="106">
        <f t="shared" si="1"/>
        <v>313.2</v>
      </c>
      <c r="I8" s="106">
        <f t="shared" si="2"/>
        <v>313.2</v>
      </c>
      <c r="J8" s="131">
        <f t="shared" si="3"/>
        <v>4106.3999999999996</v>
      </c>
      <c r="K8" s="106"/>
    </row>
    <row r="9" spans="1:14" x14ac:dyDescent="0.25">
      <c r="A9" s="129">
        <v>4</v>
      </c>
      <c r="B9" s="106" t="s">
        <v>85</v>
      </c>
      <c r="C9" s="106"/>
      <c r="D9" s="106" t="s">
        <v>14</v>
      </c>
      <c r="E9" s="106">
        <v>240</v>
      </c>
      <c r="F9" s="106">
        <v>36</v>
      </c>
      <c r="G9" s="106">
        <f t="shared" si="0"/>
        <v>8640</v>
      </c>
      <c r="H9" s="106">
        <f t="shared" si="1"/>
        <v>777.6</v>
      </c>
      <c r="I9" s="106">
        <f t="shared" si="2"/>
        <v>777.6</v>
      </c>
      <c r="J9" s="131">
        <f t="shared" si="3"/>
        <v>10195.200000000001</v>
      </c>
      <c r="K9" s="106"/>
    </row>
    <row r="10" spans="1:14" x14ac:dyDescent="0.25">
      <c r="A10" s="129">
        <v>5</v>
      </c>
      <c r="B10" s="106" t="s">
        <v>158</v>
      </c>
      <c r="C10" s="321" t="s">
        <v>157</v>
      </c>
      <c r="D10" s="106" t="s">
        <v>79</v>
      </c>
      <c r="E10" s="323">
        <v>70</v>
      </c>
      <c r="F10" s="106">
        <v>500</v>
      </c>
      <c r="G10" s="106">
        <f>E10*F10</f>
        <v>35000</v>
      </c>
      <c r="H10" s="106">
        <f t="shared" si="1"/>
        <v>3150</v>
      </c>
      <c r="I10" s="106">
        <f t="shared" si="2"/>
        <v>3150</v>
      </c>
      <c r="J10" s="131">
        <f t="shared" si="3"/>
        <v>41300</v>
      </c>
      <c r="K10" s="106"/>
    </row>
    <row r="11" spans="1:14" x14ac:dyDescent="0.25">
      <c r="A11" s="129">
        <v>6</v>
      </c>
      <c r="B11" s="106" t="s">
        <v>158</v>
      </c>
      <c r="C11" s="321" t="s">
        <v>154</v>
      </c>
      <c r="D11" s="106" t="s">
        <v>79</v>
      </c>
      <c r="E11" s="323">
        <v>34</v>
      </c>
      <c r="F11" s="106">
        <v>600</v>
      </c>
      <c r="G11" s="106">
        <f>E11*F11</f>
        <v>20400</v>
      </c>
      <c r="H11" s="106">
        <f t="shared" si="1"/>
        <v>1836</v>
      </c>
      <c r="I11" s="106">
        <f t="shared" si="2"/>
        <v>1836</v>
      </c>
      <c r="J11" s="131">
        <f t="shared" si="3"/>
        <v>24072</v>
      </c>
      <c r="K11" s="106"/>
    </row>
    <row r="12" spans="1:14" ht="21" x14ac:dyDescent="0.35">
      <c r="A12" s="106"/>
      <c r="B12" s="318" t="s">
        <v>8</v>
      </c>
      <c r="C12" s="322"/>
      <c r="D12" s="318"/>
      <c r="E12" s="318"/>
      <c r="F12" s="318"/>
      <c r="G12" s="243">
        <f>SUM(G6:G11)</f>
        <v>275358</v>
      </c>
      <c r="H12" s="243">
        <f t="shared" ref="H12" si="4">G12*9%</f>
        <v>24782.219999999998</v>
      </c>
      <c r="I12" s="243">
        <f t="shared" ref="I12" si="5">G12*9%</f>
        <v>24782.219999999998</v>
      </c>
      <c r="J12" s="243">
        <f>SUM(J6:J11)</f>
        <v>324922.44</v>
      </c>
      <c r="K12" s="106"/>
    </row>
    <row r="14" spans="1:14" ht="28.5" x14ac:dyDescent="0.25">
      <c r="A14" s="210" t="s">
        <v>11</v>
      </c>
      <c r="B14" s="320" t="s">
        <v>100</v>
      </c>
      <c r="C14" s="210" t="s">
        <v>80</v>
      </c>
      <c r="D14" s="210" t="s">
        <v>4</v>
      </c>
      <c r="E14" s="210" t="s">
        <v>18</v>
      </c>
    </row>
    <row r="15" spans="1:14" ht="15.75" x14ac:dyDescent="0.25">
      <c r="A15" s="129">
        <v>1</v>
      </c>
      <c r="B15" s="106" t="s">
        <v>86</v>
      </c>
      <c r="C15" s="106" t="s">
        <v>82</v>
      </c>
      <c r="D15" s="106" t="s">
        <v>14</v>
      </c>
      <c r="E15" s="130">
        <v>40</v>
      </c>
    </row>
    <row r="16" spans="1:14" ht="15.75" x14ac:dyDescent="0.25">
      <c r="A16" s="129">
        <v>2</v>
      </c>
      <c r="B16" s="106" t="s">
        <v>84</v>
      </c>
      <c r="C16" s="106" t="s">
        <v>82</v>
      </c>
      <c r="D16" s="106" t="s">
        <v>14</v>
      </c>
      <c r="E16" s="130">
        <v>160</v>
      </c>
    </row>
    <row r="17" spans="1:16" ht="15.75" x14ac:dyDescent="0.25">
      <c r="A17" s="129">
        <v>3</v>
      </c>
      <c r="B17" s="106" t="s">
        <v>86</v>
      </c>
      <c r="C17" s="106" t="s">
        <v>81</v>
      </c>
      <c r="D17" s="106" t="s">
        <v>14</v>
      </c>
      <c r="E17" s="130">
        <v>2</v>
      </c>
    </row>
    <row r="18" spans="1:16" ht="15.75" x14ac:dyDescent="0.25">
      <c r="A18" s="129">
        <v>4</v>
      </c>
      <c r="B18" s="106" t="s">
        <v>84</v>
      </c>
      <c r="C18" s="106" t="s">
        <v>81</v>
      </c>
      <c r="D18" s="106" t="s">
        <v>14</v>
      </c>
      <c r="E18" s="130">
        <v>18</v>
      </c>
    </row>
    <row r="19" spans="1:16" ht="15.75" x14ac:dyDescent="0.25">
      <c r="A19" s="129">
        <v>5</v>
      </c>
      <c r="B19" s="106" t="s">
        <v>87</v>
      </c>
      <c r="C19" s="106"/>
      <c r="D19" s="106" t="s">
        <v>14</v>
      </c>
      <c r="E19" s="130">
        <v>80</v>
      </c>
    </row>
    <row r="20" spans="1:16" ht="15.75" x14ac:dyDescent="0.25">
      <c r="A20" s="129">
        <v>6</v>
      </c>
      <c r="B20" s="106" t="s">
        <v>88</v>
      </c>
      <c r="C20" s="106" t="s">
        <v>81</v>
      </c>
      <c r="D20" s="106" t="s">
        <v>14</v>
      </c>
      <c r="E20" s="130">
        <v>30</v>
      </c>
    </row>
    <row r="21" spans="1:16" ht="15.75" x14ac:dyDescent="0.25">
      <c r="A21" s="129">
        <v>7</v>
      </c>
      <c r="B21" s="106" t="s">
        <v>89</v>
      </c>
      <c r="C21" s="106" t="s">
        <v>81</v>
      </c>
      <c r="D21" s="106" t="s">
        <v>14</v>
      </c>
      <c r="E21" s="130">
        <v>60</v>
      </c>
    </row>
    <row r="22" spans="1:16" ht="15.75" x14ac:dyDescent="0.25">
      <c r="A22" s="129">
        <v>8</v>
      </c>
      <c r="B22" s="106" t="s">
        <v>90</v>
      </c>
      <c r="C22" s="106" t="s">
        <v>81</v>
      </c>
      <c r="D22" s="106" t="s">
        <v>14</v>
      </c>
      <c r="E22" s="130">
        <v>10</v>
      </c>
      <c r="P22" t="s">
        <v>126</v>
      </c>
    </row>
    <row r="23" spans="1:16" ht="15.75" x14ac:dyDescent="0.25">
      <c r="A23" s="129">
        <v>9</v>
      </c>
      <c r="B23" s="106" t="s">
        <v>88</v>
      </c>
      <c r="C23" s="106" t="s">
        <v>82</v>
      </c>
      <c r="D23" s="106" t="s">
        <v>14</v>
      </c>
      <c r="E23" s="130">
        <v>5</v>
      </c>
    </row>
    <row r="24" spans="1:16" ht="15.75" x14ac:dyDescent="0.25">
      <c r="A24" s="129">
        <v>10</v>
      </c>
      <c r="B24" s="106" t="s">
        <v>90</v>
      </c>
      <c r="C24" s="106" t="s">
        <v>82</v>
      </c>
      <c r="D24" s="106" t="s">
        <v>14</v>
      </c>
      <c r="E24" s="130">
        <v>5</v>
      </c>
    </row>
    <row r="25" spans="1:16" ht="15.75" x14ac:dyDescent="0.25">
      <c r="A25" s="129">
        <v>11</v>
      </c>
      <c r="B25" s="106" t="s">
        <v>91</v>
      </c>
      <c r="C25" s="106" t="s">
        <v>82</v>
      </c>
      <c r="D25" s="106" t="s">
        <v>14</v>
      </c>
      <c r="E25" s="130">
        <v>1300</v>
      </c>
    </row>
    <row r="26" spans="1:16" ht="15.75" x14ac:dyDescent="0.25">
      <c r="A26" s="129">
        <v>12</v>
      </c>
      <c r="B26" s="106" t="s">
        <v>91</v>
      </c>
      <c r="C26" s="106" t="s">
        <v>81</v>
      </c>
      <c r="D26" s="106" t="s">
        <v>14</v>
      </c>
      <c r="E26" s="130">
        <v>800</v>
      </c>
    </row>
    <row r="27" spans="1:16" ht="15.75" x14ac:dyDescent="0.25">
      <c r="A27" s="129">
        <v>13</v>
      </c>
      <c r="B27" s="106" t="s">
        <v>91</v>
      </c>
      <c r="C27" s="106" t="s">
        <v>82</v>
      </c>
      <c r="D27" s="106" t="s">
        <v>14</v>
      </c>
      <c r="E27" s="130">
        <v>710</v>
      </c>
    </row>
  </sheetData>
  <hyperlinks>
    <hyperlink ref="I5" r:id="rId1" display="VAT@14.5%" xr:uid="{00000000-0004-0000-0600-000000000000}"/>
  </hyperlinks>
  <pageMargins left="0.7" right="0.7" top="1" bottom="0.75" header="0.3" footer="0.3"/>
  <pageSetup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M11"/>
  <sheetViews>
    <sheetView showGridLines="0" workbookViewId="0">
      <selection activeCell="G16" sqref="G16"/>
    </sheetView>
  </sheetViews>
  <sheetFormatPr defaultRowHeight="15" x14ac:dyDescent="0.25"/>
  <cols>
    <col min="2" max="2" width="37.42578125" bestFit="1" customWidth="1"/>
    <col min="3" max="3" width="18.28515625" bestFit="1" customWidth="1"/>
    <col min="4" max="5" width="12.28515625" customWidth="1"/>
    <col min="6" max="6" width="9.140625" customWidth="1"/>
    <col min="7" max="7" width="16.7109375" bestFit="1" customWidth="1"/>
    <col min="8" max="9" width="16.5703125" customWidth="1"/>
    <col min="10" max="10" width="16.7109375" bestFit="1" customWidth="1"/>
    <col min="11" max="11" width="15.28515625" customWidth="1"/>
    <col min="13" max="13" width="9.5703125" bestFit="1" customWidth="1"/>
  </cols>
  <sheetData>
    <row r="1" spans="1:13" ht="21.75" thickBot="1" x14ac:dyDescent="0.4">
      <c r="A1" s="376" t="s">
        <v>103</v>
      </c>
      <c r="B1" s="377"/>
      <c r="C1" s="378"/>
    </row>
    <row r="2" spans="1:13" ht="19.5" thickBot="1" x14ac:dyDescent="0.35">
      <c r="A2" s="216"/>
      <c r="B2" s="166" t="s">
        <v>23</v>
      </c>
      <c r="C2" s="166" t="s">
        <v>24</v>
      </c>
    </row>
    <row r="3" spans="1:13" ht="19.5" thickBot="1" x14ac:dyDescent="0.35">
      <c r="A3" s="217">
        <v>1</v>
      </c>
      <c r="B3" s="21" t="s">
        <v>36</v>
      </c>
      <c r="C3" s="41">
        <f>G11</f>
        <v>0</v>
      </c>
    </row>
    <row r="4" spans="1:13" ht="21.75" thickBot="1" x14ac:dyDescent="0.4">
      <c r="A4" s="5"/>
      <c r="B4" s="222" t="s">
        <v>8</v>
      </c>
      <c r="C4" s="221">
        <f>SUM(C3:C3)</f>
        <v>0</v>
      </c>
    </row>
    <row r="6" spans="1:13" ht="15.75" thickBot="1" x14ac:dyDescent="0.3"/>
    <row r="7" spans="1:13" ht="27" thickBot="1" x14ac:dyDescent="0.45">
      <c r="B7" s="218" t="s">
        <v>36</v>
      </c>
      <c r="C7" s="56"/>
    </row>
    <row r="8" spans="1:13" s="22" customFormat="1" ht="19.5" thickBot="1" x14ac:dyDescent="0.35">
      <c r="A8" s="166" t="s">
        <v>11</v>
      </c>
      <c r="B8" s="167" t="s">
        <v>12</v>
      </c>
      <c r="C8" s="168" t="s">
        <v>41</v>
      </c>
      <c r="D8" s="166" t="s">
        <v>71</v>
      </c>
      <c r="E8" s="167" t="s">
        <v>18</v>
      </c>
      <c r="F8" s="166" t="s">
        <v>6</v>
      </c>
      <c r="G8" s="167" t="s">
        <v>48</v>
      </c>
      <c r="H8" s="166" t="s">
        <v>16</v>
      </c>
      <c r="I8" s="168" t="s">
        <v>17</v>
      </c>
      <c r="J8" s="166" t="s">
        <v>8</v>
      </c>
      <c r="K8" s="166" t="s">
        <v>13</v>
      </c>
    </row>
    <row r="9" spans="1:13" ht="15.75" x14ac:dyDescent="0.25">
      <c r="A9" s="10">
        <v>1</v>
      </c>
      <c r="B9" s="13"/>
      <c r="C9" s="1"/>
      <c r="D9" s="3"/>
      <c r="E9" s="102"/>
      <c r="F9" s="2"/>
      <c r="G9" s="13"/>
      <c r="H9" s="2"/>
      <c r="I9" s="13"/>
      <c r="J9" s="11"/>
      <c r="K9" s="2"/>
      <c r="M9" s="4"/>
    </row>
    <row r="10" spans="1:13" ht="16.5" thickBot="1" x14ac:dyDescent="0.3">
      <c r="A10" s="10">
        <v>2</v>
      </c>
      <c r="B10" s="13"/>
      <c r="C10" s="1"/>
      <c r="D10" s="3"/>
      <c r="E10" s="102"/>
      <c r="F10" s="2"/>
      <c r="G10" s="13"/>
      <c r="H10" s="2"/>
      <c r="I10" s="13"/>
      <c r="J10" s="11"/>
      <c r="K10" s="2"/>
      <c r="M10" s="4"/>
    </row>
    <row r="11" spans="1:13" ht="21.75" thickBot="1" x14ac:dyDescent="0.4">
      <c r="A11" s="5"/>
      <c r="B11" s="376" t="s">
        <v>8</v>
      </c>
      <c r="C11" s="377"/>
      <c r="D11" s="377"/>
      <c r="E11" s="377"/>
      <c r="F11" s="378"/>
      <c r="G11" s="220">
        <f>SUM(G9:G10)</f>
        <v>0</v>
      </c>
      <c r="H11" s="219">
        <f>SUM(H9:H10)</f>
        <v>0</v>
      </c>
      <c r="I11" s="220">
        <f>SUM(I9:I10)</f>
        <v>0</v>
      </c>
      <c r="J11" s="219">
        <f>SUM(J9:J10)</f>
        <v>0</v>
      </c>
      <c r="K11" s="5"/>
    </row>
  </sheetData>
  <mergeCells count="2">
    <mergeCell ref="B11:F11"/>
    <mergeCell ref="A1:C1"/>
  </mergeCells>
  <hyperlinks>
    <hyperlink ref="I8" r:id="rId1" display="VAT@14.5%" xr:uid="{00000000-0004-0000-0700-000000000000}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Coil &amp; Raw Materials</vt:lpstr>
      <vt:lpstr>Insulation</vt:lpstr>
      <vt:lpstr>Finished Goods</vt:lpstr>
      <vt:lpstr>Consumables </vt:lpstr>
      <vt:lpstr>Tools &amp; Electrical</vt:lpstr>
      <vt:lpstr>PIR and PVC Materials</vt:lpstr>
      <vt:lpstr>Others</vt:lpstr>
      <vt:lpstr>'Coil &amp; Raw Materials'!Print_Area</vt:lpstr>
      <vt:lpstr>'PIR and PVC Materials'!Print_Area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</dc:creator>
  <cp:lastModifiedBy>Finance</cp:lastModifiedBy>
  <cp:lastPrinted>2023-04-03T04:17:00Z</cp:lastPrinted>
  <dcterms:created xsi:type="dcterms:W3CDTF">2017-12-29T08:55:38Z</dcterms:created>
  <dcterms:modified xsi:type="dcterms:W3CDTF">2026-04-07T06:53:40Z</dcterms:modified>
</cp:coreProperties>
</file>
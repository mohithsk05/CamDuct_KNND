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hidePivotFieldList="1" defaultThemeVersion="124226"/>
  <xr:revisionPtr revIDLastSave="0" documentId="13_ncr:1_{5F4365B5-7E04-4113-A4F6-99E2A63EE1A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40th week" sheetId="1" state="hidden" r:id="rId1"/>
    <sheet name="Home" sheetId="6" r:id="rId2"/>
    <sheet name="IGR" sheetId="4" r:id="rId3"/>
    <sheet name="BPR" sheetId="3" r:id="rId4"/>
    <sheet name="Petty Cash " sheetId="7" r:id="rId5"/>
  </sheets>
  <externalReferences>
    <externalReference r:id="rId6"/>
  </externalReferences>
  <definedNames>
    <definedName name="_xlnm._FilterDatabase" localSheetId="3" hidden="1">BPR!$A$3:$O$545</definedName>
    <definedName name="_xlnm._FilterDatabase" localSheetId="2" hidden="1">IGR!$A$3:$U$732</definedName>
    <definedName name="_xlnm._FilterDatabase" localSheetId="4" hidden="1">'Petty Cash '!$A$3:$G$591</definedName>
    <definedName name="Raw_Material">OFFSET('[1]Raw material'!$D$2,,,COUNTIF('[1]Raw material'!$D:$D,"*?")-1)</definedName>
  </definedNames>
  <calcPr calcId="191029"/>
  <pivotCaches>
    <pivotCache cacheId="0" r:id="rId7"/>
    <pivotCache cacheId="1" r:id="rId8"/>
    <pivotCache cacheId="2" r:id="rId9"/>
  </pivotCaches>
</workbook>
</file>

<file path=xl/calcChain.xml><?xml version="1.0" encoding="utf-8"?>
<calcChain xmlns="http://schemas.openxmlformats.org/spreadsheetml/2006/main">
  <c r="A459" i="4" l="1"/>
  <c r="L524" i="3"/>
  <c r="M524" i="3"/>
  <c r="N524" i="3" s="1"/>
  <c r="A524" i="3"/>
  <c r="B524" i="3"/>
  <c r="N545" i="3"/>
  <c r="M544" i="3"/>
  <c r="L544" i="3"/>
  <c r="N544" i="3"/>
  <c r="N543" i="3"/>
  <c r="N542" i="3"/>
  <c r="M542" i="3"/>
  <c r="L542" i="3"/>
  <c r="L541" i="3"/>
  <c r="M541" i="3"/>
  <c r="N541" i="3"/>
  <c r="L540" i="3"/>
  <c r="M540" i="3"/>
  <c r="N540" i="3"/>
  <c r="L539" i="3"/>
  <c r="M539" i="3"/>
  <c r="N539" i="3" s="1"/>
  <c r="L538" i="3"/>
  <c r="M538" i="3"/>
  <c r="N538" i="3"/>
  <c r="L537" i="3"/>
  <c r="M537" i="3"/>
  <c r="N537" i="3"/>
  <c r="L536" i="3"/>
  <c r="M536" i="3"/>
  <c r="N536" i="3"/>
  <c r="L535" i="3"/>
  <c r="M535" i="3"/>
  <c r="N535" i="3" s="1"/>
  <c r="L534" i="3"/>
  <c r="M534" i="3"/>
  <c r="N534" i="3"/>
  <c r="L533" i="3"/>
  <c r="N533" i="3" s="1"/>
  <c r="M533" i="3"/>
  <c r="L532" i="3"/>
  <c r="M532" i="3"/>
  <c r="N532" i="3" s="1"/>
  <c r="L531" i="3"/>
  <c r="M531" i="3"/>
  <c r="N531" i="3" s="1"/>
  <c r="L530" i="3"/>
  <c r="M530" i="3"/>
  <c r="N530" i="3"/>
  <c r="N529" i="3"/>
  <c r="M529" i="3"/>
  <c r="L529" i="3"/>
  <c r="I528" i="3"/>
  <c r="M528" i="3"/>
  <c r="L528" i="3"/>
  <c r="N528" i="3" s="1"/>
  <c r="N527" i="3"/>
  <c r="L526" i="3"/>
  <c r="M526" i="3"/>
  <c r="N526" i="3"/>
  <c r="L525" i="3"/>
  <c r="N525" i="3" s="1"/>
  <c r="M525" i="3"/>
  <c r="L523" i="3"/>
  <c r="N523" i="3" s="1"/>
  <c r="M523" i="3"/>
  <c r="L522" i="3"/>
  <c r="N522" i="3" s="1"/>
  <c r="M522" i="3"/>
  <c r="O662" i="4"/>
  <c r="R662" i="4" s="1"/>
  <c r="O661" i="4"/>
  <c r="S661" i="4" s="1"/>
  <c r="O660" i="4"/>
  <c r="R660" i="4" s="1"/>
  <c r="O659" i="4"/>
  <c r="L420" i="4"/>
  <c r="O420" i="4" s="1"/>
  <c r="R420" i="4" s="1"/>
  <c r="L657" i="4"/>
  <c r="O657" i="4" s="1"/>
  <c r="L656" i="4"/>
  <c r="O656" i="4" s="1"/>
  <c r="L655" i="4"/>
  <c r="O655" i="4" s="1"/>
  <c r="Q655" i="4" s="1"/>
  <c r="U655" i="4" s="1"/>
  <c r="L235" i="4"/>
  <c r="O235" i="4" s="1"/>
  <c r="R235" i="4" s="1"/>
  <c r="L413" i="4"/>
  <c r="O413" i="4" s="1"/>
  <c r="R413" i="4" s="1"/>
  <c r="L363" i="4"/>
  <c r="O363" i="4" s="1"/>
  <c r="L651" i="4"/>
  <c r="O651" i="4" s="1"/>
  <c r="L650" i="4"/>
  <c r="O650" i="4" s="1"/>
  <c r="O649" i="4"/>
  <c r="L521" i="3"/>
  <c r="N521" i="3" s="1"/>
  <c r="M521" i="3"/>
  <c r="L520" i="3"/>
  <c r="N520" i="3" s="1"/>
  <c r="M520" i="3"/>
  <c r="L519" i="3"/>
  <c r="M519" i="3"/>
  <c r="A510" i="3"/>
  <c r="M510" i="3"/>
  <c r="L510" i="3"/>
  <c r="N510" i="3" s="1"/>
  <c r="B510" i="3"/>
  <c r="A426" i="7"/>
  <c r="B426" i="7"/>
  <c r="L518" i="3"/>
  <c r="M518" i="3"/>
  <c r="L517" i="3"/>
  <c r="M517" i="3"/>
  <c r="N517" i="3" s="1"/>
  <c r="L516" i="3"/>
  <c r="M516" i="3"/>
  <c r="N516" i="3" s="1"/>
  <c r="L515" i="3"/>
  <c r="N515" i="3" s="1"/>
  <c r="M515" i="3"/>
  <c r="M514" i="3"/>
  <c r="L514" i="3"/>
  <c r="N514" i="3" s="1"/>
  <c r="N513" i="3"/>
  <c r="L512" i="3"/>
  <c r="N512" i="3" s="1"/>
  <c r="M512" i="3"/>
  <c r="L511" i="3"/>
  <c r="M511" i="3"/>
  <c r="L509" i="3"/>
  <c r="N509" i="3" s="1"/>
  <c r="M509" i="3"/>
  <c r="L508" i="3"/>
  <c r="N508" i="3" s="1"/>
  <c r="M508" i="3"/>
  <c r="L507" i="3"/>
  <c r="M507" i="3"/>
  <c r="L506" i="3"/>
  <c r="M506" i="3"/>
  <c r="L505" i="3"/>
  <c r="M505" i="3"/>
  <c r="L504" i="3"/>
  <c r="M504" i="3"/>
  <c r="L503" i="3"/>
  <c r="M503" i="3"/>
  <c r="N503" i="3" s="1"/>
  <c r="L502" i="3"/>
  <c r="N502" i="3" s="1"/>
  <c r="M502" i="3"/>
  <c r="L501" i="3"/>
  <c r="M501" i="3"/>
  <c r="L500" i="3"/>
  <c r="M500" i="3"/>
  <c r="L499" i="3"/>
  <c r="M499" i="3"/>
  <c r="N499" i="3" s="1"/>
  <c r="L498" i="3"/>
  <c r="N498" i="3" s="1"/>
  <c r="M498" i="3"/>
  <c r="L497" i="3"/>
  <c r="N497" i="3" s="1"/>
  <c r="M497" i="3"/>
  <c r="L496" i="3"/>
  <c r="M496" i="3"/>
  <c r="L495" i="3"/>
  <c r="N495" i="3" s="1"/>
  <c r="M495" i="3"/>
  <c r="L494" i="3"/>
  <c r="M494" i="3"/>
  <c r="M493" i="3"/>
  <c r="L493" i="3"/>
  <c r="N493" i="3" s="1"/>
  <c r="M492" i="3"/>
  <c r="L492" i="3"/>
  <c r="M491" i="3"/>
  <c r="L491" i="3"/>
  <c r="M490" i="3"/>
  <c r="L490" i="3"/>
  <c r="N490" i="3" s="1"/>
  <c r="N489" i="3"/>
  <c r="M488" i="3"/>
  <c r="L488" i="3"/>
  <c r="M487" i="3"/>
  <c r="N487" i="3" s="1"/>
  <c r="L487" i="3"/>
  <c r="K485" i="3"/>
  <c r="N485" i="3" s="1"/>
  <c r="L648" i="4"/>
  <c r="O648" i="4" s="1"/>
  <c r="L200" i="4"/>
  <c r="O200" i="4" s="1"/>
  <c r="L199" i="4"/>
  <c r="O199" i="4" s="1"/>
  <c r="O645" i="4"/>
  <c r="S645" i="4" s="1"/>
  <c r="O644" i="4"/>
  <c r="L246" i="4"/>
  <c r="O246" i="4" s="1"/>
  <c r="L245" i="4"/>
  <c r="O245" i="4" s="1"/>
  <c r="L610" i="4"/>
  <c r="O610" i="4" s="1"/>
  <c r="L640" i="4"/>
  <c r="O640" i="4" s="1"/>
  <c r="Q640" i="4" s="1"/>
  <c r="U640" i="4" s="1"/>
  <c r="L639" i="4"/>
  <c r="O639" i="4" s="1"/>
  <c r="L638" i="4"/>
  <c r="O638" i="4" s="1"/>
  <c r="S638" i="4" s="1"/>
  <c r="L654" i="4"/>
  <c r="O654" i="4" s="1"/>
  <c r="L647" i="4"/>
  <c r="O647" i="4" s="1"/>
  <c r="R647" i="4" s="1"/>
  <c r="L646" i="4"/>
  <c r="O646" i="4" s="1"/>
  <c r="S646" i="4" s="1"/>
  <c r="L637" i="4"/>
  <c r="O637" i="4" s="1"/>
  <c r="L244" i="4"/>
  <c r="O244" i="4" s="1"/>
  <c r="S244" i="4" s="1"/>
  <c r="L237" i="4"/>
  <c r="O237" i="4" s="1"/>
  <c r="L216" i="4"/>
  <c r="O216" i="4" s="1"/>
  <c r="R216" i="4" s="1"/>
  <c r="L636" i="4"/>
  <c r="O636" i="4" s="1"/>
  <c r="S636" i="4" s="1"/>
  <c r="L635" i="4"/>
  <c r="O635" i="4" s="1"/>
  <c r="L634" i="4"/>
  <c r="O634" i="4" s="1"/>
  <c r="L627" i="4"/>
  <c r="O627" i="4" s="1"/>
  <c r="L197" i="4"/>
  <c r="O197" i="4" s="1"/>
  <c r="L196" i="4"/>
  <c r="O196" i="4" s="1"/>
  <c r="O624" i="4"/>
  <c r="L623" i="4"/>
  <c r="O623" i="4" s="1"/>
  <c r="L622" i="4"/>
  <c r="O622" i="4" s="1"/>
  <c r="B434" i="7"/>
  <c r="M484" i="3"/>
  <c r="N484" i="3" s="1"/>
  <c r="L484" i="3"/>
  <c r="M483" i="3"/>
  <c r="N483" i="3" s="1"/>
  <c r="L483" i="3"/>
  <c r="L621" i="4"/>
  <c r="O621" i="4" s="1"/>
  <c r="S621" i="4" s="1"/>
  <c r="L620" i="4"/>
  <c r="O620" i="4" s="1"/>
  <c r="S620" i="4" s="1"/>
  <c r="L619" i="4"/>
  <c r="O619" i="4" s="1"/>
  <c r="S619" i="4" s="1"/>
  <c r="L618" i="4"/>
  <c r="O618" i="4" s="1"/>
  <c r="S618" i="4" s="1"/>
  <c r="L232" i="4"/>
  <c r="O232" i="4" s="1"/>
  <c r="S232" i="4" s="1"/>
  <c r="L198" i="4"/>
  <c r="O198" i="4" s="1"/>
  <c r="L195" i="4"/>
  <c r="O195" i="4" s="1"/>
  <c r="S195" i="4" s="1"/>
  <c r="L194" i="4"/>
  <c r="O194" i="4" s="1"/>
  <c r="L193" i="4"/>
  <c r="O193" i="4" s="1"/>
  <c r="L192" i="4"/>
  <c r="O192" i="4" s="1"/>
  <c r="L191" i="4"/>
  <c r="O191" i="4" s="1"/>
  <c r="L362" i="4"/>
  <c r="O362" i="4" s="1"/>
  <c r="Q362" i="4" s="1"/>
  <c r="L609" i="4"/>
  <c r="O609" i="4" s="1"/>
  <c r="Q609" i="4" s="1"/>
  <c r="L608" i="4"/>
  <c r="O608" i="4" s="1"/>
  <c r="Q608" i="4" s="1"/>
  <c r="U608" i="4" s="1"/>
  <c r="L607" i="4"/>
  <c r="O607" i="4" s="1"/>
  <c r="Q607" i="4" s="1"/>
  <c r="U607" i="4" s="1"/>
  <c r="L606" i="4"/>
  <c r="O606" i="4" s="1"/>
  <c r="Q606" i="4" s="1"/>
  <c r="U606" i="4" s="1"/>
  <c r="L228" i="4"/>
  <c r="O228" i="4" s="1"/>
  <c r="L604" i="4"/>
  <c r="O604" i="4" s="1"/>
  <c r="Q604" i="4" s="1"/>
  <c r="L603" i="4"/>
  <c r="O603" i="4" s="1"/>
  <c r="L602" i="4"/>
  <c r="O602" i="4" s="1"/>
  <c r="L601" i="4"/>
  <c r="O601" i="4" s="1"/>
  <c r="A393" i="7"/>
  <c r="A392" i="7"/>
  <c r="B393" i="7"/>
  <c r="B392" i="7"/>
  <c r="O600" i="4"/>
  <c r="S600" i="4" s="1"/>
  <c r="L599" i="4"/>
  <c r="O599" i="4" s="1"/>
  <c r="L598" i="4"/>
  <c r="O598" i="4" s="1"/>
  <c r="L597" i="4"/>
  <c r="O597" i="4" s="1"/>
  <c r="Q597" i="4" s="1"/>
  <c r="U597" i="4" s="1"/>
  <c r="L190" i="4"/>
  <c r="O190" i="4" s="1"/>
  <c r="L184" i="4"/>
  <c r="O184" i="4" s="1"/>
  <c r="S184" i="4" s="1"/>
  <c r="L183" i="4"/>
  <c r="O183" i="4" s="1"/>
  <c r="L182" i="4"/>
  <c r="O182" i="4" s="1"/>
  <c r="R182" i="4" s="1"/>
  <c r="L223" i="4"/>
  <c r="O223" i="4" s="1"/>
  <c r="L229" i="4"/>
  <c r="O229" i="4" s="1"/>
  <c r="L165" i="4"/>
  <c r="O165" i="4" s="1"/>
  <c r="L164" i="4"/>
  <c r="O164" i="4" s="1"/>
  <c r="S164" i="4" s="1"/>
  <c r="L588" i="4"/>
  <c r="O588" i="4" s="1"/>
  <c r="L185" i="4"/>
  <c r="O185" i="4" s="1"/>
  <c r="L586" i="4"/>
  <c r="O586" i="4" s="1"/>
  <c r="L585" i="4"/>
  <c r="O585" i="4" s="1"/>
  <c r="L584" i="4"/>
  <c r="O584" i="4" s="1"/>
  <c r="L35" i="4"/>
  <c r="O35" i="4" s="1"/>
  <c r="L29" i="4"/>
  <c r="O29" i="4" s="1"/>
  <c r="O581" i="4"/>
  <c r="K437" i="3"/>
  <c r="N437" i="3" s="1"/>
  <c r="A436" i="3"/>
  <c r="A437" i="3"/>
  <c r="B436" i="3"/>
  <c r="B437" i="3"/>
  <c r="N482" i="3"/>
  <c r="M481" i="3"/>
  <c r="L481" i="3"/>
  <c r="N480" i="3"/>
  <c r="L479" i="3"/>
  <c r="M479" i="3"/>
  <c r="L478" i="3"/>
  <c r="M478" i="3"/>
  <c r="N478" i="3"/>
  <c r="M477" i="3"/>
  <c r="L477" i="3"/>
  <c r="N477" i="3" s="1"/>
  <c r="K476" i="3"/>
  <c r="N476" i="3" s="1"/>
  <c r="L475" i="3"/>
  <c r="N475" i="3" s="1"/>
  <c r="M475" i="3"/>
  <c r="L474" i="3"/>
  <c r="M474" i="3"/>
  <c r="L473" i="3"/>
  <c r="M473" i="3"/>
  <c r="L472" i="3"/>
  <c r="M472" i="3"/>
  <c r="N472" i="3" s="1"/>
  <c r="L471" i="3"/>
  <c r="M471" i="3"/>
  <c r="L470" i="3"/>
  <c r="M470" i="3"/>
  <c r="N470" i="3" s="1"/>
  <c r="L469" i="3"/>
  <c r="M469" i="3"/>
  <c r="L468" i="3"/>
  <c r="M468" i="3"/>
  <c r="L467" i="3"/>
  <c r="N467" i="3" s="1"/>
  <c r="M467" i="3"/>
  <c r="L466" i="3"/>
  <c r="M466" i="3"/>
  <c r="L465" i="3"/>
  <c r="M465" i="3"/>
  <c r="M464" i="3"/>
  <c r="L464" i="3"/>
  <c r="L463" i="3"/>
  <c r="M463" i="3"/>
  <c r="M462" i="3"/>
  <c r="N462" i="3" s="1"/>
  <c r="L462" i="3"/>
  <c r="L461" i="3"/>
  <c r="M461" i="3"/>
  <c r="A455" i="3"/>
  <c r="A456" i="3"/>
  <c r="A457" i="3"/>
  <c r="A458" i="3"/>
  <c r="A459" i="3"/>
  <c r="A460" i="3"/>
  <c r="A461" i="3"/>
  <c r="A462" i="3"/>
  <c r="A463" i="3"/>
  <c r="A464" i="3"/>
  <c r="L460" i="3"/>
  <c r="M460" i="3"/>
  <c r="M459" i="3"/>
  <c r="L459" i="3"/>
  <c r="N459" i="3" s="1"/>
  <c r="M458" i="3"/>
  <c r="L458" i="3"/>
  <c r="M457" i="3"/>
  <c r="L457" i="3"/>
  <c r="N457" i="3" s="1"/>
  <c r="M456" i="3"/>
  <c r="L456" i="3"/>
  <c r="M455" i="3"/>
  <c r="L455" i="3"/>
  <c r="N454" i="3"/>
  <c r="N453" i="3"/>
  <c r="N452" i="3"/>
  <c r="I451" i="3"/>
  <c r="M451" i="3" s="1"/>
  <c r="L450" i="3"/>
  <c r="M450" i="3"/>
  <c r="M449" i="3"/>
  <c r="L449" i="3"/>
  <c r="N448" i="3"/>
  <c r="A366" i="7"/>
  <c r="B366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4" i="7"/>
  <c r="B395" i="7"/>
  <c r="B396" i="7"/>
  <c r="B397" i="7"/>
  <c r="B398" i="7"/>
  <c r="B399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4" i="7"/>
  <c r="A395" i="7"/>
  <c r="A396" i="7"/>
  <c r="A397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B351" i="7"/>
  <c r="B352" i="7"/>
  <c r="B353" i="7"/>
  <c r="B354" i="7"/>
  <c r="B355" i="7"/>
  <c r="B356" i="7"/>
  <c r="B357" i="7"/>
  <c r="B358" i="7"/>
  <c r="B359" i="7"/>
  <c r="B360" i="7"/>
  <c r="B361" i="7"/>
  <c r="B363" i="7"/>
  <c r="B364" i="7"/>
  <c r="B365" i="7"/>
  <c r="A367" i="7"/>
  <c r="B367" i="7"/>
  <c r="A368" i="7"/>
  <c r="B368" i="7"/>
  <c r="A369" i="7"/>
  <c r="B369" i="7"/>
  <c r="A370" i="7"/>
  <c r="B370" i="7"/>
  <c r="A371" i="7"/>
  <c r="B371" i="7"/>
  <c r="A372" i="7"/>
  <c r="B372" i="7"/>
  <c r="A373" i="7"/>
  <c r="B373" i="7"/>
  <c r="A374" i="7"/>
  <c r="B374" i="7"/>
  <c r="A317" i="7"/>
  <c r="A318" i="7"/>
  <c r="A319" i="7"/>
  <c r="A320" i="7"/>
  <c r="A321" i="7"/>
  <c r="A322" i="7"/>
  <c r="A323" i="7"/>
  <c r="A324" i="7"/>
  <c r="B316" i="7"/>
  <c r="B317" i="7"/>
  <c r="B318" i="7"/>
  <c r="B319" i="7"/>
  <c r="B320" i="7"/>
  <c r="B321" i="7"/>
  <c r="B322" i="7"/>
  <c r="L447" i="3"/>
  <c r="M447" i="3"/>
  <c r="L446" i="3"/>
  <c r="M446" i="3"/>
  <c r="M445" i="3"/>
  <c r="L445" i="3"/>
  <c r="N445" i="3" s="1"/>
  <c r="M444" i="3"/>
  <c r="L444" i="3"/>
  <c r="N443" i="3"/>
  <c r="M443" i="3"/>
  <c r="L443" i="3"/>
  <c r="M442" i="3"/>
  <c r="L442" i="3"/>
  <c r="M441" i="3"/>
  <c r="L441" i="3"/>
  <c r="N441" i="3" s="1"/>
  <c r="R600" i="4" l="1"/>
  <c r="U600" i="4" s="1"/>
  <c r="R645" i="4"/>
  <c r="U645" i="4" s="1"/>
  <c r="S235" i="4"/>
  <c r="U235" i="4" s="1"/>
  <c r="R636" i="4"/>
  <c r="U636" i="4" s="1"/>
  <c r="R197" i="4"/>
  <c r="S197" i="4"/>
  <c r="S584" i="4"/>
  <c r="R584" i="4"/>
  <c r="R637" i="4"/>
  <c r="S637" i="4"/>
  <c r="Q29" i="4"/>
  <c r="U29" i="4" s="1"/>
  <c r="S585" i="4"/>
  <c r="R585" i="4"/>
  <c r="R191" i="4"/>
  <c r="S191" i="4"/>
  <c r="R586" i="4"/>
  <c r="S586" i="4"/>
  <c r="Q602" i="4"/>
  <c r="U602" i="4" s="1"/>
  <c r="S192" i="4"/>
  <c r="R192" i="4"/>
  <c r="R634" i="4"/>
  <c r="S634" i="4"/>
  <c r="S246" i="4"/>
  <c r="R246" i="4"/>
  <c r="S185" i="4"/>
  <c r="R185" i="4"/>
  <c r="R635" i="4"/>
  <c r="S635" i="4"/>
  <c r="S196" i="4"/>
  <c r="R196" i="4"/>
  <c r="S588" i="4"/>
  <c r="R588" i="4"/>
  <c r="S194" i="4"/>
  <c r="R194" i="4"/>
  <c r="S654" i="4"/>
  <c r="R654" i="4"/>
  <c r="S199" i="4"/>
  <c r="R199" i="4"/>
  <c r="Q599" i="4"/>
  <c r="U599" i="4" s="1"/>
  <c r="S228" i="4"/>
  <c r="R228" i="4"/>
  <c r="R200" i="4"/>
  <c r="S200" i="4"/>
  <c r="R651" i="4"/>
  <c r="S651" i="4"/>
  <c r="R198" i="4"/>
  <c r="S198" i="4"/>
  <c r="R639" i="4"/>
  <c r="S639" i="4"/>
  <c r="S648" i="4"/>
  <c r="R648" i="4"/>
  <c r="Q35" i="4"/>
  <c r="U35" i="4" s="1"/>
  <c r="S165" i="4"/>
  <c r="R165" i="4"/>
  <c r="R622" i="4"/>
  <c r="S622" i="4"/>
  <c r="S656" i="4"/>
  <c r="R656" i="4"/>
  <c r="R183" i="4"/>
  <c r="S183" i="4"/>
  <c r="S229" i="4"/>
  <c r="R229" i="4"/>
  <c r="R623" i="4"/>
  <c r="S623" i="4"/>
  <c r="Q610" i="4"/>
  <c r="U610" i="4" s="1"/>
  <c r="S657" i="4"/>
  <c r="R657" i="4"/>
  <c r="S363" i="4"/>
  <c r="R363" i="4"/>
  <c r="R237" i="4"/>
  <c r="S237" i="4"/>
  <c r="S245" i="4"/>
  <c r="R245" i="4"/>
  <c r="S650" i="4"/>
  <c r="R650" i="4"/>
  <c r="R581" i="4"/>
  <c r="S581" i="4"/>
  <c r="Q603" i="4"/>
  <c r="U603" i="4" s="1"/>
  <c r="S662" i="4"/>
  <c r="U662" i="4" s="1"/>
  <c r="R164" i="4"/>
  <c r="U164" i="4" s="1"/>
  <c r="R620" i="4"/>
  <c r="U620" i="4" s="1"/>
  <c r="S216" i="4"/>
  <c r="U216" i="4" s="1"/>
  <c r="S420" i="4"/>
  <c r="U420" i="4" s="1"/>
  <c r="Q598" i="4"/>
  <c r="U598" i="4" s="1"/>
  <c r="R649" i="4"/>
  <c r="R644" i="4"/>
  <c r="S649" i="4"/>
  <c r="R659" i="4"/>
  <c r="S644" i="4"/>
  <c r="S659" i="4"/>
  <c r="Q601" i="4"/>
  <c r="U601" i="4" s="1"/>
  <c r="S413" i="4"/>
  <c r="U413" i="4" s="1"/>
  <c r="R624" i="4"/>
  <c r="S660" i="4"/>
  <c r="U660" i="4" s="1"/>
  <c r="S624" i="4"/>
  <c r="S647" i="4"/>
  <c r="U647" i="4" s="1"/>
  <c r="R661" i="4"/>
  <c r="U661" i="4" s="1"/>
  <c r="N456" i="3"/>
  <c r="N481" i="3"/>
  <c r="N504" i="3"/>
  <c r="N494" i="3"/>
  <c r="N505" i="3"/>
  <c r="N518" i="3"/>
  <c r="N458" i="3"/>
  <c r="N500" i="3"/>
  <c r="N491" i="3"/>
  <c r="N496" i="3"/>
  <c r="N501" i="3"/>
  <c r="N442" i="3"/>
  <c r="N460" i="3"/>
  <c r="N473" i="3"/>
  <c r="N492" i="3"/>
  <c r="N519" i="3"/>
  <c r="N511" i="3"/>
  <c r="N488" i="3"/>
  <c r="N466" i="3"/>
  <c r="N507" i="3"/>
  <c r="N471" i="3"/>
  <c r="N461" i="3"/>
  <c r="N506" i="3"/>
  <c r="R638" i="4"/>
  <c r="U638" i="4" s="1"/>
  <c r="R646" i="4"/>
  <c r="U646" i="4" s="1"/>
  <c r="R244" i="4"/>
  <c r="U244" i="4" s="1"/>
  <c r="S627" i="4"/>
  <c r="R627" i="4"/>
  <c r="N486" i="3"/>
  <c r="R621" i="4"/>
  <c r="U621" i="4" s="1"/>
  <c r="R619" i="4"/>
  <c r="U619" i="4" s="1"/>
  <c r="R618" i="4"/>
  <c r="U618" i="4" s="1"/>
  <c r="R232" i="4"/>
  <c r="U232" i="4" s="1"/>
  <c r="R195" i="4"/>
  <c r="U195" i="4" s="1"/>
  <c r="S193" i="4"/>
  <c r="R193" i="4"/>
  <c r="U362" i="4"/>
  <c r="U609" i="4"/>
  <c r="U604" i="4"/>
  <c r="R190" i="4"/>
  <c r="S190" i="4"/>
  <c r="R184" i="4"/>
  <c r="U184" i="4" s="1"/>
  <c r="S182" i="4"/>
  <c r="U182" i="4" s="1"/>
  <c r="S223" i="4"/>
  <c r="R223" i="4"/>
  <c r="N450" i="3"/>
  <c r="L451" i="3"/>
  <c r="N451" i="3" s="1"/>
  <c r="N468" i="3"/>
  <c r="N479" i="3"/>
  <c r="N469" i="3"/>
  <c r="N465" i="3"/>
  <c r="N463" i="3"/>
  <c r="N464" i="3"/>
  <c r="N444" i="3"/>
  <c r="N449" i="3"/>
  <c r="N455" i="3"/>
  <c r="N446" i="3"/>
  <c r="N474" i="3"/>
  <c r="N447" i="3"/>
  <c r="L180" i="4"/>
  <c r="O180" i="4" s="1"/>
  <c r="S180" i="4" s="1"/>
  <c r="O579" i="4"/>
  <c r="R579" i="4" s="1"/>
  <c r="O578" i="4"/>
  <c r="R578" i="4" s="1"/>
  <c r="L577" i="4"/>
  <c r="O577" i="4" s="1"/>
  <c r="R577" i="4" s="1"/>
  <c r="L576" i="4"/>
  <c r="O576" i="4" s="1"/>
  <c r="S576" i="4" s="1"/>
  <c r="L575" i="4"/>
  <c r="O575" i="4" s="1"/>
  <c r="L574" i="4"/>
  <c r="O574" i="4" s="1"/>
  <c r="S574" i="4" s="1"/>
  <c r="L573" i="4"/>
  <c r="O573" i="4" s="1"/>
  <c r="L572" i="4"/>
  <c r="O572" i="4" s="1"/>
  <c r="R572" i="4" s="1"/>
  <c r="A572" i="4"/>
  <c r="B572" i="4"/>
  <c r="B322" i="4"/>
  <c r="A322" i="4"/>
  <c r="L322" i="4"/>
  <c r="O322" i="4" s="1"/>
  <c r="L316" i="4"/>
  <c r="O316" i="4" s="1"/>
  <c r="L396" i="3"/>
  <c r="M396" i="3"/>
  <c r="B396" i="3"/>
  <c r="N440" i="3"/>
  <c r="L569" i="4"/>
  <c r="O569" i="4" s="1"/>
  <c r="S569" i="4" s="1"/>
  <c r="L568" i="4"/>
  <c r="O568" i="4" s="1"/>
  <c r="L567" i="4"/>
  <c r="O567" i="4" s="1"/>
  <c r="L566" i="4"/>
  <c r="O566" i="4" s="1"/>
  <c r="L179" i="4"/>
  <c r="O179" i="4" s="1"/>
  <c r="L587" i="4"/>
  <c r="O587" i="4" s="1"/>
  <c r="Q587" i="4" s="1"/>
  <c r="U587" i="4" s="1"/>
  <c r="L563" i="4"/>
  <c r="O563" i="4" s="1"/>
  <c r="R563" i="4" s="1"/>
  <c r="L562" i="4"/>
  <c r="O562" i="4" s="1"/>
  <c r="L12" i="4"/>
  <c r="O12" i="4" s="1"/>
  <c r="Q12" i="4" s="1"/>
  <c r="U12" i="4" s="1"/>
  <c r="L311" i="4"/>
  <c r="O311" i="4" s="1"/>
  <c r="L545" i="4"/>
  <c r="O545" i="4" s="1"/>
  <c r="L544" i="4"/>
  <c r="O544" i="4" s="1"/>
  <c r="R544" i="4" s="1"/>
  <c r="L543" i="4"/>
  <c r="O543" i="4" s="1"/>
  <c r="L542" i="4"/>
  <c r="O542" i="4" s="1"/>
  <c r="L509" i="4"/>
  <c r="O509" i="4" s="1"/>
  <c r="L496" i="4"/>
  <c r="O496" i="4" s="1"/>
  <c r="O553" i="4"/>
  <c r="O552" i="4"/>
  <c r="R552" i="4" s="1"/>
  <c r="O551" i="4"/>
  <c r="S551" i="4" s="1"/>
  <c r="O550" i="4"/>
  <c r="L549" i="4"/>
  <c r="O549" i="4" s="1"/>
  <c r="L548" i="4"/>
  <c r="O548" i="4" s="1"/>
  <c r="L547" i="4"/>
  <c r="O547" i="4" s="1"/>
  <c r="S547" i="4" s="1"/>
  <c r="L490" i="4"/>
  <c r="O490" i="4" s="1"/>
  <c r="S490" i="4" s="1"/>
  <c r="L489" i="4"/>
  <c r="O489" i="4" s="1"/>
  <c r="L477" i="4"/>
  <c r="O477" i="4" s="1"/>
  <c r="L476" i="4"/>
  <c r="O476" i="4" s="1"/>
  <c r="S476" i="4" s="1"/>
  <c r="L475" i="4"/>
  <c r="O475" i="4" s="1"/>
  <c r="S475" i="4" s="1"/>
  <c r="O541" i="4"/>
  <c r="S541" i="4" s="1"/>
  <c r="M406" i="3"/>
  <c r="L406" i="3"/>
  <c r="M402" i="3"/>
  <c r="L402" i="3"/>
  <c r="N439" i="3"/>
  <c r="L438" i="3"/>
  <c r="M438" i="3"/>
  <c r="L435" i="3"/>
  <c r="M435" i="3"/>
  <c r="L434" i="3"/>
  <c r="M434" i="3"/>
  <c r="L433" i="3"/>
  <c r="M433" i="3"/>
  <c r="L432" i="3"/>
  <c r="M432" i="3"/>
  <c r="L431" i="3"/>
  <c r="M431" i="3"/>
  <c r="L430" i="3"/>
  <c r="M430" i="3"/>
  <c r="L429" i="3"/>
  <c r="M429" i="3"/>
  <c r="L428" i="3"/>
  <c r="M428" i="3"/>
  <c r="L427" i="3"/>
  <c r="M427" i="3"/>
  <c r="L426" i="3"/>
  <c r="M426" i="3"/>
  <c r="L425" i="3"/>
  <c r="M425" i="3"/>
  <c r="L424" i="3"/>
  <c r="M424" i="3"/>
  <c r="L423" i="3"/>
  <c r="M423" i="3"/>
  <c r="L422" i="3"/>
  <c r="M422" i="3"/>
  <c r="L421" i="3"/>
  <c r="M421" i="3"/>
  <c r="M420" i="3"/>
  <c r="L420" i="3"/>
  <c r="M419" i="3"/>
  <c r="L419" i="3"/>
  <c r="M418" i="3"/>
  <c r="L418" i="3"/>
  <c r="M417" i="3"/>
  <c r="L417" i="3"/>
  <c r="N416" i="3"/>
  <c r="N415" i="3"/>
  <c r="N414" i="3"/>
  <c r="N413" i="3"/>
  <c r="K412" i="3"/>
  <c r="N412" i="3" s="1"/>
  <c r="N411" i="3"/>
  <c r="M410" i="3"/>
  <c r="L410" i="3"/>
  <c r="M409" i="3"/>
  <c r="L409" i="3"/>
  <c r="M408" i="3"/>
  <c r="L408" i="3"/>
  <c r="M407" i="3"/>
  <c r="L407" i="3"/>
  <c r="M403" i="3"/>
  <c r="L403" i="3"/>
  <c r="A392" i="3"/>
  <c r="N392" i="3"/>
  <c r="B392" i="3"/>
  <c r="L540" i="4"/>
  <c r="O540" i="4" s="1"/>
  <c r="O539" i="4"/>
  <c r="R539" i="4" s="1"/>
  <c r="L538" i="4"/>
  <c r="O538" i="4" s="1"/>
  <c r="Q538" i="4" s="1"/>
  <c r="U538" i="4" s="1"/>
  <c r="O537" i="4"/>
  <c r="S537" i="4" s="1"/>
  <c r="O536" i="4"/>
  <c r="S536" i="4" s="1"/>
  <c r="L535" i="4"/>
  <c r="O535" i="4" s="1"/>
  <c r="O534" i="4"/>
  <c r="S534" i="4" s="1"/>
  <c r="O533" i="4"/>
  <c r="S533" i="4" s="1"/>
  <c r="O532" i="4"/>
  <c r="S532" i="4" s="1"/>
  <c r="L531" i="4"/>
  <c r="O531" i="4" s="1"/>
  <c r="S531" i="4" s="1"/>
  <c r="L530" i="4"/>
  <c r="O530" i="4" s="1"/>
  <c r="R530" i="4" s="1"/>
  <c r="L529" i="4"/>
  <c r="O529" i="4" s="1"/>
  <c r="O528" i="4"/>
  <c r="S528" i="4" s="1"/>
  <c r="O527" i="4"/>
  <c r="S527" i="4" s="1"/>
  <c r="O526" i="4"/>
  <c r="R526" i="4" s="1"/>
  <c r="L525" i="4"/>
  <c r="O525" i="4" s="1"/>
  <c r="Q525" i="4" s="1"/>
  <c r="U525" i="4" s="1"/>
  <c r="L524" i="4"/>
  <c r="O524" i="4" s="1"/>
  <c r="L523" i="4"/>
  <c r="O523" i="4" s="1"/>
  <c r="L522" i="4"/>
  <c r="O522" i="4" s="1"/>
  <c r="L521" i="4"/>
  <c r="O521" i="4" s="1"/>
  <c r="R521" i="4" s="1"/>
  <c r="L658" i="4"/>
  <c r="O658" i="4" s="1"/>
  <c r="Q658" i="4" s="1"/>
  <c r="U658" i="4" s="1"/>
  <c r="L519" i="4"/>
  <c r="O519" i="4" s="1"/>
  <c r="L518" i="4"/>
  <c r="O518" i="4" s="1"/>
  <c r="L517" i="4"/>
  <c r="O517" i="4" s="1"/>
  <c r="O516" i="4"/>
  <c r="R516" i="4" s="1"/>
  <c r="O515" i="4"/>
  <c r="R515" i="4" s="1"/>
  <c r="L514" i="4"/>
  <c r="O514" i="4" s="1"/>
  <c r="R514" i="4" s="1"/>
  <c r="L513" i="4"/>
  <c r="O513" i="4" s="1"/>
  <c r="L512" i="4"/>
  <c r="O512" i="4" s="1"/>
  <c r="L511" i="4"/>
  <c r="O511" i="4" s="1"/>
  <c r="L168" i="4"/>
  <c r="O168" i="4" s="1"/>
  <c r="R534" i="4" l="1"/>
  <c r="U534" i="4" s="1"/>
  <c r="U229" i="4"/>
  <c r="U637" i="4"/>
  <c r="U199" i="4"/>
  <c r="U624" i="4"/>
  <c r="U586" i="4"/>
  <c r="U627" i="4"/>
  <c r="U165" i="4"/>
  <c r="U228" i="4"/>
  <c r="U223" i="4"/>
  <c r="U245" i="4"/>
  <c r="U183" i="4"/>
  <c r="U654" i="4"/>
  <c r="U363" i="4"/>
  <c r="U656" i="4"/>
  <c r="U194" i="4"/>
  <c r="U659" i="4"/>
  <c r="U196" i="4"/>
  <c r="U644" i="4"/>
  <c r="U650" i="4"/>
  <c r="U623" i="4"/>
  <c r="U649" i="4"/>
  <c r="U185" i="4"/>
  <c r="U651" i="4"/>
  <c r="U192" i="4"/>
  <c r="U639" i="4"/>
  <c r="U622" i="4"/>
  <c r="U585" i="4"/>
  <c r="U634" i="4"/>
  <c r="U648" i="4"/>
  <c r="U584" i="4"/>
  <c r="U237" i="4"/>
  <c r="U635" i="4"/>
  <c r="U193" i="4"/>
  <c r="U246" i="4"/>
  <c r="U191" i="4"/>
  <c r="S516" i="4"/>
  <c r="U516" i="4" s="1"/>
  <c r="U581" i="4"/>
  <c r="U200" i="4"/>
  <c r="S515" i="4"/>
  <c r="U515" i="4" s="1"/>
  <c r="U657" i="4"/>
  <c r="U190" i="4"/>
  <c r="U588" i="4"/>
  <c r="U197" i="4"/>
  <c r="U198" i="4"/>
  <c r="N420" i="3"/>
  <c r="N406" i="3"/>
  <c r="N435" i="3"/>
  <c r="N418" i="3"/>
  <c r="N396" i="3"/>
  <c r="N429" i="3"/>
  <c r="N424" i="3"/>
  <c r="N428" i="3"/>
  <c r="N434" i="3"/>
  <c r="N425" i="3"/>
  <c r="R512" i="4"/>
  <c r="S512" i="4"/>
  <c r="R496" i="4"/>
  <c r="S496" i="4"/>
  <c r="R532" i="4"/>
  <c r="U532" i="4" s="1"/>
  <c r="S578" i="4"/>
  <c r="U578" i="4" s="1"/>
  <c r="R536" i="4"/>
  <c r="U536" i="4" s="1"/>
  <c r="S540" i="4"/>
  <c r="R540" i="4"/>
  <c r="S316" i="4"/>
  <c r="R316" i="4"/>
  <c r="S322" i="4"/>
  <c r="R322" i="4"/>
  <c r="S509" i="4"/>
  <c r="R509" i="4"/>
  <c r="S567" i="4"/>
  <c r="R567" i="4"/>
  <c r="R489" i="4"/>
  <c r="S489" i="4"/>
  <c r="S542" i="4"/>
  <c r="R542" i="4"/>
  <c r="R549" i="4"/>
  <c r="S549" i="4"/>
  <c r="S566" i="4"/>
  <c r="R566" i="4"/>
  <c r="S524" i="4"/>
  <c r="R524" i="4"/>
  <c r="R535" i="4"/>
  <c r="S535" i="4"/>
  <c r="S568" i="4"/>
  <c r="R568" i="4"/>
  <c r="R575" i="4"/>
  <c r="S575" i="4"/>
  <c r="S548" i="4"/>
  <c r="R548" i="4"/>
  <c r="R523" i="4"/>
  <c r="S523" i="4"/>
  <c r="S168" i="4"/>
  <c r="R168" i="4"/>
  <c r="S529" i="4"/>
  <c r="R529" i="4"/>
  <c r="R179" i="4"/>
  <c r="S179" i="4"/>
  <c r="R545" i="4"/>
  <c r="S545" i="4"/>
  <c r="S517" i="4"/>
  <c r="R517" i="4"/>
  <c r="S513" i="4"/>
  <c r="R513" i="4"/>
  <c r="R562" i="4"/>
  <c r="S562" i="4"/>
  <c r="S477" i="4"/>
  <c r="R477" i="4"/>
  <c r="R573" i="4"/>
  <c r="S573" i="4"/>
  <c r="R522" i="4"/>
  <c r="S579" i="4"/>
  <c r="U579" i="4" s="1"/>
  <c r="S539" i="4"/>
  <c r="U539" i="4" s="1"/>
  <c r="S552" i="4"/>
  <c r="U552" i="4" s="1"/>
  <c r="R576" i="4"/>
  <c r="U576" i="4" s="1"/>
  <c r="S526" i="4"/>
  <c r="U526" i="4" s="1"/>
  <c r="S514" i="4"/>
  <c r="U514" i="4" s="1"/>
  <c r="R527" i="4"/>
  <c r="U527" i="4" s="1"/>
  <c r="R541" i="4"/>
  <c r="U541" i="4" s="1"/>
  <c r="S563" i="4"/>
  <c r="U563" i="4" s="1"/>
  <c r="R569" i="4"/>
  <c r="U569" i="4" s="1"/>
  <c r="R180" i="4"/>
  <c r="U180" i="4" s="1"/>
  <c r="R518" i="4"/>
  <c r="R550" i="4"/>
  <c r="R543" i="4"/>
  <c r="S518" i="4"/>
  <c r="S522" i="4"/>
  <c r="S550" i="4"/>
  <c r="S543" i="4"/>
  <c r="S577" i="4"/>
  <c r="U577" i="4" s="1"/>
  <c r="R574" i="4"/>
  <c r="U574" i="4" s="1"/>
  <c r="S572" i="4"/>
  <c r="U572" i="4" s="1"/>
  <c r="S311" i="4"/>
  <c r="R311" i="4"/>
  <c r="S544" i="4"/>
  <c r="U544" i="4" s="1"/>
  <c r="U553" i="4"/>
  <c r="R551" i="4"/>
  <c r="U551" i="4" s="1"/>
  <c r="R547" i="4"/>
  <c r="U547" i="4" s="1"/>
  <c r="R490" i="4"/>
  <c r="U490" i="4" s="1"/>
  <c r="R475" i="4"/>
  <c r="U475" i="4" s="1"/>
  <c r="R476" i="4"/>
  <c r="U476" i="4" s="1"/>
  <c r="N421" i="3"/>
  <c r="N408" i="3"/>
  <c r="N417" i="3"/>
  <c r="N409" i="3"/>
  <c r="N410" i="3"/>
  <c r="N419" i="3"/>
  <c r="N402" i="3"/>
  <c r="N422" i="3"/>
  <c r="N423" i="3"/>
  <c r="N403" i="3"/>
  <c r="N407" i="3"/>
  <c r="N430" i="3"/>
  <c r="N431" i="3"/>
  <c r="N426" i="3"/>
  <c r="N427" i="3"/>
  <c r="N432" i="3"/>
  <c r="N433" i="3"/>
  <c r="N438" i="3"/>
  <c r="R537" i="4"/>
  <c r="U537" i="4" s="1"/>
  <c r="R533" i="4"/>
  <c r="U533" i="4" s="1"/>
  <c r="R531" i="4"/>
  <c r="U531" i="4" s="1"/>
  <c r="S530" i="4"/>
  <c r="U530" i="4" s="1"/>
  <c r="R528" i="4"/>
  <c r="U528" i="4" s="1"/>
  <c r="S521" i="4"/>
  <c r="U521" i="4" s="1"/>
  <c r="R519" i="4"/>
  <c r="S519" i="4"/>
  <c r="S511" i="4"/>
  <c r="R511" i="4"/>
  <c r="U568" i="4" l="1"/>
  <c r="U489" i="4"/>
  <c r="U517" i="4"/>
  <c r="U548" i="4"/>
  <c r="U316" i="4"/>
  <c r="U513" i="4"/>
  <c r="U322" i="4"/>
  <c r="U529" i="4"/>
  <c r="U168" i="4"/>
  <c r="U509" i="4"/>
  <c r="U511" i="4"/>
  <c r="U543" i="4"/>
  <c r="U311" i="4"/>
  <c r="U540" i="4"/>
  <c r="U549" i="4"/>
  <c r="U567" i="4"/>
  <c r="U550" i="4"/>
  <c r="U518" i="4"/>
  <c r="U524" i="4"/>
  <c r="U522" i="4"/>
  <c r="U542" i="4"/>
  <c r="U496" i="4"/>
  <c r="U535" i="4"/>
  <c r="U512" i="4"/>
  <c r="U179" i="4"/>
  <c r="U566" i="4"/>
  <c r="U575" i="4"/>
  <c r="U562" i="4"/>
  <c r="U477" i="4"/>
  <c r="U573" i="4"/>
  <c r="U519" i="4"/>
  <c r="U545" i="4"/>
  <c r="U523" i="4"/>
  <c r="L222" i="4"/>
  <c r="O222" i="4" s="1"/>
  <c r="L147" i="4"/>
  <c r="O147" i="4" s="1"/>
  <c r="L507" i="4"/>
  <c r="O507" i="4" s="1"/>
  <c r="O506" i="4"/>
  <c r="Q506" i="4" s="1"/>
  <c r="O505" i="4"/>
  <c r="Q505" i="4" s="1"/>
  <c r="U505" i="4" s="1"/>
  <c r="N405" i="3"/>
  <c r="M404" i="3"/>
  <c r="L404" i="3"/>
  <c r="B403" i="3"/>
  <c r="B402" i="3"/>
  <c r="A402" i="3"/>
  <c r="O504" i="4"/>
  <c r="S504" i="4" s="1"/>
  <c r="O503" i="4"/>
  <c r="R503" i="4" s="1"/>
  <c r="L502" i="4"/>
  <c r="O502" i="4" s="1"/>
  <c r="L501" i="4"/>
  <c r="O501" i="4" s="1"/>
  <c r="O500" i="4"/>
  <c r="S500" i="4" s="1"/>
  <c r="L499" i="4"/>
  <c r="O499" i="4" s="1"/>
  <c r="S499" i="4" s="1"/>
  <c r="L498" i="4"/>
  <c r="O498" i="4" s="1"/>
  <c r="L583" i="4"/>
  <c r="O583" i="4" s="1"/>
  <c r="Q583" i="4" s="1"/>
  <c r="U583" i="4" s="1"/>
  <c r="L159" i="4"/>
  <c r="O159" i="4" s="1"/>
  <c r="L495" i="4"/>
  <c r="O495" i="4" s="1"/>
  <c r="S495" i="4" s="1"/>
  <c r="L494" i="4"/>
  <c r="O494" i="4" s="1"/>
  <c r="R494" i="4" s="1"/>
  <c r="O493" i="4"/>
  <c r="A491" i="4"/>
  <c r="L492" i="4"/>
  <c r="O492" i="4" s="1"/>
  <c r="L491" i="4"/>
  <c r="O491" i="4" s="1"/>
  <c r="R491" i="4" s="1"/>
  <c r="K401" i="3"/>
  <c r="N401" i="3" s="1"/>
  <c r="M400" i="3"/>
  <c r="L400" i="3"/>
  <c r="A396" i="3"/>
  <c r="L391" i="3"/>
  <c r="M391" i="3"/>
  <c r="B391" i="3"/>
  <c r="A390" i="3"/>
  <c r="A389" i="3"/>
  <c r="L390" i="3"/>
  <c r="M390" i="3"/>
  <c r="B390" i="3"/>
  <c r="L389" i="3"/>
  <c r="M389" i="3"/>
  <c r="B389" i="3"/>
  <c r="B388" i="3"/>
  <c r="A388" i="3"/>
  <c r="L388" i="3"/>
  <c r="M388" i="3"/>
  <c r="L387" i="3"/>
  <c r="M387" i="3"/>
  <c r="B387" i="3"/>
  <c r="A387" i="3"/>
  <c r="L386" i="3"/>
  <c r="M386" i="3"/>
  <c r="L385" i="3"/>
  <c r="M385" i="3"/>
  <c r="L384" i="3"/>
  <c r="M384" i="3"/>
  <c r="L383" i="3"/>
  <c r="M383" i="3"/>
  <c r="L382" i="3"/>
  <c r="M382" i="3"/>
  <c r="L381" i="3"/>
  <c r="M381" i="3"/>
  <c r="L380" i="3"/>
  <c r="M380" i="3"/>
  <c r="L379" i="3"/>
  <c r="M379" i="3"/>
  <c r="M378" i="3"/>
  <c r="L378" i="3"/>
  <c r="M377" i="3"/>
  <c r="L377" i="3"/>
  <c r="B377" i="3"/>
  <c r="B378" i="3"/>
  <c r="B379" i="3"/>
  <c r="B380" i="3"/>
  <c r="B381" i="3"/>
  <c r="B382" i="3"/>
  <c r="B383" i="3"/>
  <c r="B384" i="3"/>
  <c r="B385" i="3"/>
  <c r="B386" i="3"/>
  <c r="A377" i="3"/>
  <c r="A378" i="3"/>
  <c r="A379" i="3"/>
  <c r="A380" i="3"/>
  <c r="A381" i="3"/>
  <c r="A382" i="3"/>
  <c r="A383" i="3"/>
  <c r="A384" i="3"/>
  <c r="A385" i="3"/>
  <c r="A386" i="3"/>
  <c r="A391" i="3"/>
  <c r="A376" i="3"/>
  <c r="A375" i="3"/>
  <c r="A393" i="3"/>
  <c r="B376" i="3"/>
  <c r="B393" i="3"/>
  <c r="M376" i="3"/>
  <c r="L376" i="3"/>
  <c r="M375" i="3"/>
  <c r="L375" i="3"/>
  <c r="B375" i="3"/>
  <c r="B329" i="7"/>
  <c r="B328" i="7"/>
  <c r="A328" i="7"/>
  <c r="A315" i="7"/>
  <c r="A316" i="7"/>
  <c r="B315" i="7"/>
  <c r="L399" i="3"/>
  <c r="M399" i="3"/>
  <c r="M398" i="3"/>
  <c r="L398" i="3"/>
  <c r="N397" i="3"/>
  <c r="M395" i="3"/>
  <c r="L395" i="3"/>
  <c r="M394" i="3"/>
  <c r="L394" i="3"/>
  <c r="B374" i="3"/>
  <c r="N374" i="3"/>
  <c r="B373" i="3"/>
  <c r="A374" i="3"/>
  <c r="A373" i="3"/>
  <c r="A372" i="3"/>
  <c r="A371" i="3"/>
  <c r="B372" i="3"/>
  <c r="N373" i="3"/>
  <c r="M372" i="3"/>
  <c r="L372" i="3"/>
  <c r="M371" i="3"/>
  <c r="L371" i="3"/>
  <c r="N371" i="3" s="1"/>
  <c r="B371" i="3"/>
  <c r="N353" i="3"/>
  <c r="A353" i="3"/>
  <c r="B353" i="3"/>
  <c r="L152" i="4"/>
  <c r="O152" i="4" s="1"/>
  <c r="R152" i="4" s="1"/>
  <c r="L151" i="4"/>
  <c r="O151" i="4" s="1"/>
  <c r="O488" i="4"/>
  <c r="R488" i="4" s="1"/>
  <c r="A488" i="4"/>
  <c r="B488" i="4"/>
  <c r="O487" i="4"/>
  <c r="S487" i="4" s="1"/>
  <c r="O486" i="4"/>
  <c r="S486" i="4" s="1"/>
  <c r="O485" i="4"/>
  <c r="L310" i="4"/>
  <c r="O310" i="4" s="1"/>
  <c r="S310" i="4" s="1"/>
  <c r="L139" i="4"/>
  <c r="O139" i="4" s="1"/>
  <c r="R139" i="4" s="1"/>
  <c r="L482" i="4"/>
  <c r="O482" i="4" s="1"/>
  <c r="L481" i="4"/>
  <c r="O481" i="4" s="1"/>
  <c r="O480" i="4"/>
  <c r="L479" i="4"/>
  <c r="O479" i="4" s="1"/>
  <c r="S479" i="4" s="1"/>
  <c r="L478" i="4"/>
  <c r="O478" i="4" s="1"/>
  <c r="M393" i="3"/>
  <c r="L393" i="3"/>
  <c r="N370" i="3"/>
  <c r="N369" i="3"/>
  <c r="L368" i="3"/>
  <c r="M368" i="3"/>
  <c r="B312" i="7"/>
  <c r="B304" i="7"/>
  <c r="B301" i="7"/>
  <c r="B282" i="7"/>
  <c r="A282" i="7"/>
  <c r="B281" i="7"/>
  <c r="B280" i="7"/>
  <c r="B279" i="7"/>
  <c r="A283" i="7"/>
  <c r="A281" i="7"/>
  <c r="A280" i="7"/>
  <c r="A279" i="7"/>
  <c r="A278" i="7"/>
  <c r="B278" i="7"/>
  <c r="L367" i="3"/>
  <c r="M367" i="3"/>
  <c r="M366" i="3"/>
  <c r="L366" i="3"/>
  <c r="N365" i="3"/>
  <c r="L364" i="3"/>
  <c r="M364" i="3"/>
  <c r="L363" i="3"/>
  <c r="M363" i="3"/>
  <c r="M362" i="3"/>
  <c r="L362" i="3"/>
  <c r="L361" i="3"/>
  <c r="M361" i="3"/>
  <c r="L360" i="3"/>
  <c r="M360" i="3"/>
  <c r="N382" i="3" l="1"/>
  <c r="N400" i="3"/>
  <c r="R482" i="4"/>
  <c r="S482" i="4"/>
  <c r="S503" i="4"/>
  <c r="U503" i="4" s="1"/>
  <c r="R486" i="4"/>
  <c r="U486" i="4" s="1"/>
  <c r="R501" i="4"/>
  <c r="S501" i="4"/>
  <c r="R502" i="4"/>
  <c r="S502" i="4"/>
  <c r="S507" i="4"/>
  <c r="R507" i="4"/>
  <c r="S151" i="4"/>
  <c r="R151" i="4"/>
  <c r="S159" i="4"/>
  <c r="R159" i="4"/>
  <c r="S222" i="4"/>
  <c r="R222" i="4"/>
  <c r="R478" i="4"/>
  <c r="S478" i="4"/>
  <c r="S498" i="4"/>
  <c r="R498" i="4"/>
  <c r="S147" i="4"/>
  <c r="R147" i="4"/>
  <c r="R492" i="4"/>
  <c r="S492" i="4"/>
  <c r="R310" i="4"/>
  <c r="U310" i="4" s="1"/>
  <c r="R487" i="4"/>
  <c r="U487" i="4" s="1"/>
  <c r="R504" i="4"/>
  <c r="U504" i="4" s="1"/>
  <c r="U506" i="4"/>
  <c r="R485" i="4"/>
  <c r="R480" i="4"/>
  <c r="S485" i="4"/>
  <c r="S480" i="4"/>
  <c r="S488" i="4"/>
  <c r="U488" i="4" s="1"/>
  <c r="R493" i="4"/>
  <c r="S139" i="4"/>
  <c r="U139" i="4" s="1"/>
  <c r="S493" i="4"/>
  <c r="R500" i="4"/>
  <c r="U500" i="4" s="1"/>
  <c r="S491" i="4"/>
  <c r="U491" i="4" s="1"/>
  <c r="R481" i="4"/>
  <c r="S481" i="4"/>
  <c r="S494" i="4"/>
  <c r="U494" i="4" s="1"/>
  <c r="N391" i="3"/>
  <c r="N404" i="3"/>
  <c r="N379" i="3"/>
  <c r="R499" i="4"/>
  <c r="U499" i="4" s="1"/>
  <c r="R495" i="4"/>
  <c r="U495" i="4" s="1"/>
  <c r="N375" i="3"/>
  <c r="N390" i="3"/>
  <c r="N380" i="3"/>
  <c r="N389" i="3"/>
  <c r="N381" i="3"/>
  <c r="N387" i="3"/>
  <c r="N388" i="3"/>
  <c r="N377" i="3"/>
  <c r="N378" i="3"/>
  <c r="N384" i="3"/>
  <c r="N385" i="3"/>
  <c r="N376" i="3"/>
  <c r="N383" i="3"/>
  <c r="N386" i="3"/>
  <c r="N399" i="3"/>
  <c r="N398" i="3"/>
  <c r="N372" i="3"/>
  <c r="N395" i="3"/>
  <c r="N394" i="3"/>
  <c r="N366" i="3"/>
  <c r="N393" i="3"/>
  <c r="N367" i="3"/>
  <c r="N364" i="3"/>
  <c r="N368" i="3"/>
  <c r="N360" i="3"/>
  <c r="N361" i="3"/>
  <c r="N362" i="3"/>
  <c r="S152" i="4"/>
  <c r="U152" i="4" s="1"/>
  <c r="R479" i="4"/>
  <c r="U479" i="4" s="1"/>
  <c r="N363" i="3"/>
  <c r="M359" i="3"/>
  <c r="L359" i="3"/>
  <c r="L144" i="4"/>
  <c r="O144" i="4" s="1"/>
  <c r="L143" i="4"/>
  <c r="O143" i="4" s="1"/>
  <c r="L142" i="4"/>
  <c r="O142" i="4" s="1"/>
  <c r="S142" i="4" s="1"/>
  <c r="L141" i="4"/>
  <c r="O141" i="4" s="1"/>
  <c r="L473" i="4"/>
  <c r="O473" i="4" s="1"/>
  <c r="Q473" i="4" s="1"/>
  <c r="U473" i="4" s="1"/>
  <c r="L472" i="4"/>
  <c r="O472" i="4" s="1"/>
  <c r="L471" i="4"/>
  <c r="O471" i="4" s="1"/>
  <c r="O470" i="4"/>
  <c r="O469" i="4"/>
  <c r="S469" i="4" s="1"/>
  <c r="L468" i="4"/>
  <c r="O468" i="4" s="1"/>
  <c r="L467" i="4"/>
  <c r="O467" i="4" s="1"/>
  <c r="N329" i="3"/>
  <c r="B277" i="7"/>
  <c r="A277" i="7"/>
  <c r="N352" i="3"/>
  <c r="B352" i="3"/>
  <c r="L351" i="3"/>
  <c r="M351" i="3"/>
  <c r="L350" i="3"/>
  <c r="M350" i="3"/>
  <c r="A350" i="3"/>
  <c r="B350" i="3"/>
  <c r="A351" i="3"/>
  <c r="B351" i="3"/>
  <c r="A352" i="3"/>
  <c r="A354" i="3"/>
  <c r="B354" i="3"/>
  <c r="B349" i="3"/>
  <c r="A349" i="3"/>
  <c r="A348" i="3"/>
  <c r="L349" i="3"/>
  <c r="M349" i="3"/>
  <c r="L348" i="3"/>
  <c r="M348" i="3"/>
  <c r="B348" i="3"/>
  <c r="A347" i="3"/>
  <c r="L347" i="3"/>
  <c r="M347" i="3"/>
  <c r="B347" i="3"/>
  <c r="L346" i="3"/>
  <c r="M346" i="3"/>
  <c r="A346" i="3"/>
  <c r="A345" i="3"/>
  <c r="B345" i="3"/>
  <c r="L345" i="3"/>
  <c r="M345" i="3"/>
  <c r="A344" i="3"/>
  <c r="L344" i="3"/>
  <c r="M344" i="3"/>
  <c r="B344" i="3"/>
  <c r="L343" i="3"/>
  <c r="M343" i="3"/>
  <c r="A343" i="3"/>
  <c r="B343" i="3"/>
  <c r="B346" i="3"/>
  <c r="L342" i="3"/>
  <c r="M342" i="3"/>
  <c r="A342" i="3"/>
  <c r="A341" i="3"/>
  <c r="B342" i="3"/>
  <c r="B341" i="3"/>
  <c r="L341" i="3"/>
  <c r="M341" i="3"/>
  <c r="L340" i="3"/>
  <c r="M340" i="3"/>
  <c r="M339" i="3"/>
  <c r="L339" i="3"/>
  <c r="B340" i="3"/>
  <c r="A340" i="3"/>
  <c r="A339" i="3"/>
  <c r="B339" i="3"/>
  <c r="A338" i="3"/>
  <c r="A337" i="3"/>
  <c r="B338" i="3"/>
  <c r="M338" i="3"/>
  <c r="L338" i="3"/>
  <c r="B337" i="3"/>
  <c r="M337" i="3"/>
  <c r="L337" i="3"/>
  <c r="A336" i="3"/>
  <c r="M336" i="3"/>
  <c r="L336" i="3"/>
  <c r="B336" i="3"/>
  <c r="N358" i="3"/>
  <c r="M335" i="3"/>
  <c r="L335" i="3"/>
  <c r="B335" i="3"/>
  <c r="A335" i="3"/>
  <c r="A334" i="3"/>
  <c r="B334" i="3"/>
  <c r="M334" i="3"/>
  <c r="L334" i="3"/>
  <c r="N333" i="3"/>
  <c r="A333" i="3"/>
  <c r="B333" i="3"/>
  <c r="K330" i="3"/>
  <c r="N330" i="3" s="1"/>
  <c r="A295" i="7"/>
  <c r="B295" i="7"/>
  <c r="B294" i="7"/>
  <c r="U147" i="4" l="1"/>
  <c r="U498" i="4"/>
  <c r="U485" i="4"/>
  <c r="U501" i="4"/>
  <c r="U151" i="4"/>
  <c r="U222" i="4"/>
  <c r="U481" i="4"/>
  <c r="U482" i="4"/>
  <c r="U480" i="4"/>
  <c r="R469" i="4"/>
  <c r="U469" i="4" s="1"/>
  <c r="U159" i="4"/>
  <c r="U492" i="4"/>
  <c r="U502" i="4"/>
  <c r="U493" i="4"/>
  <c r="U478" i="4"/>
  <c r="S467" i="4"/>
  <c r="R467" i="4"/>
  <c r="R143" i="4"/>
  <c r="S143" i="4"/>
  <c r="R468" i="4"/>
  <c r="S468" i="4"/>
  <c r="R144" i="4"/>
  <c r="S144" i="4"/>
  <c r="S471" i="4"/>
  <c r="R471" i="4"/>
  <c r="S472" i="4"/>
  <c r="R472" i="4"/>
  <c r="S141" i="4"/>
  <c r="R141" i="4"/>
  <c r="U507" i="4"/>
  <c r="R470" i="4"/>
  <c r="S470" i="4"/>
  <c r="R142" i="4"/>
  <c r="U142" i="4" s="1"/>
  <c r="N359" i="3"/>
  <c r="N349" i="3"/>
  <c r="N348" i="3"/>
  <c r="N350" i="3"/>
  <c r="N351" i="3"/>
  <c r="N346" i="3"/>
  <c r="N344" i="3"/>
  <c r="N347" i="3"/>
  <c r="N345" i="3"/>
  <c r="N343" i="3"/>
  <c r="N340" i="3"/>
  <c r="N336" i="3"/>
  <c r="N337" i="3"/>
  <c r="N339" i="3"/>
  <c r="N338" i="3"/>
  <c r="N341" i="3"/>
  <c r="N342" i="3"/>
  <c r="N334" i="3"/>
  <c r="N335" i="3"/>
  <c r="A286" i="7"/>
  <c r="B286" i="7"/>
  <c r="U467" i="4" l="1"/>
  <c r="U472" i="4"/>
  <c r="U471" i="4"/>
  <c r="U470" i="4"/>
  <c r="U144" i="4"/>
  <c r="U143" i="4"/>
  <c r="U141" i="4"/>
  <c r="U468" i="4"/>
  <c r="L37" i="4"/>
  <c r="O37" i="4" s="1"/>
  <c r="A37" i="4"/>
  <c r="L137" i="4"/>
  <c r="O137" i="4" s="1"/>
  <c r="L464" i="4"/>
  <c r="O464" i="4" s="1"/>
  <c r="B270" i="7"/>
  <c r="M357" i="3"/>
  <c r="L357" i="3"/>
  <c r="M356" i="3"/>
  <c r="L356" i="3"/>
  <c r="M355" i="3"/>
  <c r="L355" i="3"/>
  <c r="M354" i="3"/>
  <c r="L354" i="3"/>
  <c r="N332" i="3"/>
  <c r="N331" i="3"/>
  <c r="L328" i="3"/>
  <c r="M328" i="3"/>
  <c r="L327" i="3"/>
  <c r="M327" i="3"/>
  <c r="L326" i="3"/>
  <c r="M326" i="3"/>
  <c r="L325" i="3"/>
  <c r="M325" i="3"/>
  <c r="M324" i="3"/>
  <c r="L324" i="3"/>
  <c r="M323" i="3"/>
  <c r="L323" i="3"/>
  <c r="O463" i="4"/>
  <c r="R463" i="4" s="1"/>
  <c r="L462" i="4"/>
  <c r="O462" i="4" s="1"/>
  <c r="B458" i="4"/>
  <c r="B459" i="4"/>
  <c r="B460" i="4"/>
  <c r="B461" i="4"/>
  <c r="B462" i="4"/>
  <c r="B463" i="4"/>
  <c r="A457" i="4"/>
  <c r="A458" i="4"/>
  <c r="A460" i="4"/>
  <c r="A461" i="4"/>
  <c r="A462" i="4"/>
  <c r="A463" i="4"/>
  <c r="A464" i="4"/>
  <c r="A137" i="4"/>
  <c r="L461" i="4"/>
  <c r="L460" i="4"/>
  <c r="S464" i="4" l="1"/>
  <c r="R464" i="4"/>
  <c r="S462" i="4"/>
  <c r="R462" i="4"/>
  <c r="S137" i="4"/>
  <c r="R137" i="4"/>
  <c r="R37" i="4"/>
  <c r="S37" i="4"/>
  <c r="S463" i="4"/>
  <c r="U463" i="4" s="1"/>
  <c r="N354" i="3"/>
  <c r="N357" i="3"/>
  <c r="N356" i="3"/>
  <c r="N355" i="3"/>
  <c r="N328" i="3"/>
  <c r="N325" i="3"/>
  <c r="N327" i="3"/>
  <c r="N326" i="3"/>
  <c r="N324" i="3"/>
  <c r="N323" i="3"/>
  <c r="U462" i="4" l="1"/>
  <c r="U137" i="4"/>
  <c r="U37" i="4"/>
  <c r="U464" i="4"/>
  <c r="O461" i="4"/>
  <c r="O460" i="4"/>
  <c r="Q460" i="4" s="1"/>
  <c r="U460" i="4" s="1"/>
  <c r="L459" i="4"/>
  <c r="O459" i="4" s="1"/>
  <c r="L458" i="4"/>
  <c r="O458" i="4" s="1"/>
  <c r="R458" i="4" s="1"/>
  <c r="L457" i="4"/>
  <c r="O457" i="4" s="1"/>
  <c r="L456" i="4"/>
  <c r="O456" i="4" s="1"/>
  <c r="R456" i="4" s="1"/>
  <c r="O455" i="4"/>
  <c r="S455" i="4" s="1"/>
  <c r="L582" i="4"/>
  <c r="O582" i="4" s="1"/>
  <c r="L580" i="4"/>
  <c r="O580" i="4" s="1"/>
  <c r="L571" i="4"/>
  <c r="O571" i="4" s="1"/>
  <c r="Q571" i="4" s="1"/>
  <c r="U571" i="4" s="1"/>
  <c r="O451" i="4"/>
  <c r="R451" i="4" s="1"/>
  <c r="A237" i="7"/>
  <c r="B237" i="7"/>
  <c r="A227" i="7"/>
  <c r="B227" i="7"/>
  <c r="L322" i="3"/>
  <c r="M322" i="3"/>
  <c r="L321" i="3"/>
  <c r="M321" i="3"/>
  <c r="L320" i="3"/>
  <c r="M320" i="3"/>
  <c r="M319" i="3"/>
  <c r="L319" i="3"/>
  <c r="O423" i="4"/>
  <c r="R423" i="4" s="1"/>
  <c r="O450" i="4"/>
  <c r="R450" i="4" s="1"/>
  <c r="O449" i="4"/>
  <c r="S449" i="4" s="1"/>
  <c r="L28" i="4"/>
  <c r="O28" i="4" s="1"/>
  <c r="B26" i="4"/>
  <c r="A26" i="4"/>
  <c r="L27" i="4"/>
  <c r="O27" i="4" s="1"/>
  <c r="R27" i="4" s="1"/>
  <c r="L26" i="4"/>
  <c r="O26" i="4" s="1"/>
  <c r="L25" i="4"/>
  <c r="O25" i="4" s="1"/>
  <c r="L444" i="4"/>
  <c r="O444" i="4" s="1"/>
  <c r="R444" i="4" s="1"/>
  <c r="L443" i="4"/>
  <c r="O443" i="4" s="1"/>
  <c r="R443" i="4" s="1"/>
  <c r="L24" i="4"/>
  <c r="O24" i="4" s="1"/>
  <c r="R24" i="4" s="1"/>
  <c r="L23" i="4"/>
  <c r="O23" i="4" s="1"/>
  <c r="L22" i="4"/>
  <c r="O22" i="4" s="1"/>
  <c r="L439" i="4"/>
  <c r="O439" i="4" s="1"/>
  <c r="S439" i="4" s="1"/>
  <c r="L438" i="4"/>
  <c r="O438" i="4" s="1"/>
  <c r="S438" i="4" s="1"/>
  <c r="L437" i="4"/>
  <c r="O437" i="4" s="1"/>
  <c r="S437" i="4" s="1"/>
  <c r="L436" i="4"/>
  <c r="O436" i="4" s="1"/>
  <c r="R436" i="4" s="1"/>
  <c r="L435" i="4"/>
  <c r="O435" i="4" s="1"/>
  <c r="R435" i="4" s="1"/>
  <c r="L434" i="4"/>
  <c r="O434" i="4" s="1"/>
  <c r="L433" i="4"/>
  <c r="O433" i="4" s="1"/>
  <c r="L432" i="4"/>
  <c r="O432" i="4" s="1"/>
  <c r="L431" i="4"/>
  <c r="O431" i="4" s="1"/>
  <c r="R431" i="4" s="1"/>
  <c r="L430" i="4"/>
  <c r="O430" i="4" s="1"/>
  <c r="R430" i="4" s="1"/>
  <c r="L429" i="4"/>
  <c r="O429" i="4" s="1"/>
  <c r="R429" i="4" s="1"/>
  <c r="L428" i="4"/>
  <c r="O428" i="4" s="1"/>
  <c r="L427" i="4"/>
  <c r="O427" i="4" s="1"/>
  <c r="L426" i="4"/>
  <c r="O426" i="4" s="1"/>
  <c r="R426" i="4" s="1"/>
  <c r="L425" i="4"/>
  <c r="O425" i="4" s="1"/>
  <c r="L424" i="4"/>
  <c r="O424" i="4" s="1"/>
  <c r="L422" i="4"/>
  <c r="O422" i="4" s="1"/>
  <c r="N318" i="3"/>
  <c r="M317" i="3"/>
  <c r="L317" i="3"/>
  <c r="M316" i="3"/>
  <c r="L316" i="3"/>
  <c r="M315" i="3"/>
  <c r="L315" i="3"/>
  <c r="B315" i="3"/>
  <c r="N314" i="3"/>
  <c r="N313" i="3"/>
  <c r="B313" i="3"/>
  <c r="M312" i="3"/>
  <c r="L312" i="3"/>
  <c r="M311" i="3"/>
  <c r="L311" i="3"/>
  <c r="N310" i="3"/>
  <c r="N309" i="3"/>
  <c r="L308" i="3"/>
  <c r="M308" i="3"/>
  <c r="L307" i="3"/>
  <c r="M307" i="3"/>
  <c r="L306" i="3"/>
  <c r="M306" i="3"/>
  <c r="L305" i="3"/>
  <c r="M305" i="3"/>
  <c r="L304" i="3"/>
  <c r="M304" i="3"/>
  <c r="L303" i="3"/>
  <c r="M303" i="3"/>
  <c r="L302" i="3"/>
  <c r="M302" i="3"/>
  <c r="L301" i="3"/>
  <c r="M301" i="3"/>
  <c r="L300" i="3"/>
  <c r="M300" i="3"/>
  <c r="L299" i="3"/>
  <c r="M299" i="3"/>
  <c r="L298" i="3"/>
  <c r="M298" i="3"/>
  <c r="L297" i="3"/>
  <c r="M297" i="3"/>
  <c r="L296" i="3"/>
  <c r="M296" i="3"/>
  <c r="L295" i="3"/>
  <c r="M295" i="3"/>
  <c r="L294" i="3"/>
  <c r="M294" i="3"/>
  <c r="L293" i="3"/>
  <c r="M293" i="3"/>
  <c r="L292" i="3"/>
  <c r="M292" i="3"/>
  <c r="L291" i="3"/>
  <c r="M291" i="3"/>
  <c r="L290" i="3"/>
  <c r="M290" i="3"/>
  <c r="L289" i="3"/>
  <c r="M289" i="3"/>
  <c r="M288" i="3"/>
  <c r="L288" i="3"/>
  <c r="M287" i="3"/>
  <c r="L287" i="3"/>
  <c r="M286" i="3"/>
  <c r="L286" i="3"/>
  <c r="M285" i="3"/>
  <c r="L285" i="3"/>
  <c r="N284" i="3"/>
  <c r="N283" i="3"/>
  <c r="N282" i="3"/>
  <c r="M281" i="3"/>
  <c r="L281" i="3"/>
  <c r="M280" i="3"/>
  <c r="L280" i="3"/>
  <c r="N279" i="3"/>
  <c r="L278" i="3"/>
  <c r="M278" i="3"/>
  <c r="L277" i="3"/>
  <c r="M277" i="3"/>
  <c r="S451" i="4" l="1"/>
  <c r="U451" i="4" s="1"/>
  <c r="R455" i="4"/>
  <c r="U455" i="4" s="1"/>
  <c r="Q582" i="4"/>
  <c r="U582" i="4" s="1"/>
  <c r="S457" i="4"/>
  <c r="R457" i="4"/>
  <c r="R22" i="4"/>
  <c r="S22" i="4"/>
  <c r="S25" i="4"/>
  <c r="R25" i="4"/>
  <c r="R26" i="4"/>
  <c r="S26" i="4"/>
  <c r="R28" i="4"/>
  <c r="S28" i="4"/>
  <c r="R459" i="4"/>
  <c r="S459" i="4"/>
  <c r="R449" i="4"/>
  <c r="U449" i="4" s="1"/>
  <c r="S27" i="4"/>
  <c r="U27" i="4" s="1"/>
  <c r="S450" i="4"/>
  <c r="U450" i="4" s="1"/>
  <c r="Q580" i="4"/>
  <c r="U580" i="4" s="1"/>
  <c r="S456" i="4"/>
  <c r="U456" i="4" s="1"/>
  <c r="N300" i="3"/>
  <c r="N281" i="3"/>
  <c r="N319" i="3"/>
  <c r="N317" i="3"/>
  <c r="N316" i="3"/>
  <c r="N289" i="3"/>
  <c r="N302" i="3"/>
  <c r="N320" i="3"/>
  <c r="N292" i="3"/>
  <c r="N322" i="3"/>
  <c r="N315" i="3"/>
  <c r="N308" i="3"/>
  <c r="N321" i="3"/>
  <c r="N291" i="3"/>
  <c r="N287" i="3"/>
  <c r="Q461" i="4"/>
  <c r="U461" i="4" s="1"/>
  <c r="S458" i="4"/>
  <c r="U458" i="4" s="1"/>
  <c r="S444" i="4"/>
  <c r="U444" i="4" s="1"/>
  <c r="S443" i="4"/>
  <c r="U443" i="4" s="1"/>
  <c r="S24" i="4"/>
  <c r="U24" i="4" s="1"/>
  <c r="S23" i="4"/>
  <c r="R23" i="4"/>
  <c r="S428" i="4"/>
  <c r="R428" i="4"/>
  <c r="R422" i="4"/>
  <c r="S422" i="4"/>
  <c r="S426" i="4"/>
  <c r="U426" i="4" s="1"/>
  <c r="S430" i="4"/>
  <c r="U430" i="4" s="1"/>
  <c r="R439" i="4"/>
  <c r="U439" i="4" s="1"/>
  <c r="R438" i="4"/>
  <c r="U438" i="4" s="1"/>
  <c r="R437" i="4"/>
  <c r="U437" i="4" s="1"/>
  <c r="S436" i="4"/>
  <c r="U436" i="4" s="1"/>
  <c r="S435" i="4"/>
  <c r="U435" i="4" s="1"/>
  <c r="S434" i="4"/>
  <c r="R434" i="4"/>
  <c r="S433" i="4"/>
  <c r="R433" i="4"/>
  <c r="S432" i="4"/>
  <c r="R432" i="4"/>
  <c r="S431" i="4"/>
  <c r="U431" i="4" s="1"/>
  <c r="S429" i="4"/>
  <c r="U429" i="4" s="1"/>
  <c r="R427" i="4"/>
  <c r="S427" i="4"/>
  <c r="R425" i="4"/>
  <c r="S425" i="4"/>
  <c r="R424" i="4"/>
  <c r="S424" i="4"/>
  <c r="S423" i="4"/>
  <c r="U423" i="4" s="1"/>
  <c r="N312" i="3"/>
  <c r="N286" i="3"/>
  <c r="N298" i="3"/>
  <c r="N306" i="3"/>
  <c r="N301" i="3"/>
  <c r="N285" i="3"/>
  <c r="N293" i="3"/>
  <c r="N311" i="3"/>
  <c r="N288" i="3"/>
  <c r="N305" i="3"/>
  <c r="N304" i="3"/>
  <c r="N299" i="3"/>
  <c r="N295" i="3"/>
  <c r="N303" i="3"/>
  <c r="N297" i="3"/>
  <c r="N307" i="3"/>
  <c r="N280" i="3"/>
  <c r="N294" i="3"/>
  <c r="N290" i="3"/>
  <c r="N296" i="3"/>
  <c r="N278" i="3"/>
  <c r="N277" i="3"/>
  <c r="M276" i="3"/>
  <c r="L276" i="3"/>
  <c r="M275" i="3"/>
  <c r="L275" i="3"/>
  <c r="M274" i="3"/>
  <c r="L274" i="3"/>
  <c r="M273" i="3"/>
  <c r="L273" i="3"/>
  <c r="N272" i="3"/>
  <c r="K271" i="3"/>
  <c r="N271" i="3" s="1"/>
  <c r="M270" i="3"/>
  <c r="L270" i="3"/>
  <c r="L269" i="3"/>
  <c r="M269" i="3"/>
  <c r="M268" i="3"/>
  <c r="L268" i="3"/>
  <c r="M267" i="3"/>
  <c r="L267" i="3"/>
  <c r="L266" i="3"/>
  <c r="M266" i="3"/>
  <c r="M265" i="3"/>
  <c r="L265" i="3"/>
  <c r="M264" i="3"/>
  <c r="L264" i="3"/>
  <c r="M263" i="3"/>
  <c r="L263" i="3"/>
  <c r="M262" i="3"/>
  <c r="L262" i="3"/>
  <c r="M261" i="3"/>
  <c r="L261" i="3"/>
  <c r="N260" i="3"/>
  <c r="N259" i="3"/>
  <c r="N258" i="3"/>
  <c r="M257" i="3"/>
  <c r="L257" i="3"/>
  <c r="L421" i="4"/>
  <c r="O421" i="4" s="1"/>
  <c r="R421" i="4" s="1"/>
  <c r="L136" i="4"/>
  <c r="O136" i="4" s="1"/>
  <c r="R136" i="4" s="1"/>
  <c r="L474" i="4"/>
  <c r="O474" i="4" s="1"/>
  <c r="L448" i="4"/>
  <c r="O448" i="4" s="1"/>
  <c r="S448" i="4" s="1"/>
  <c r="L447" i="4"/>
  <c r="O447" i="4" s="1"/>
  <c r="R447" i="4" s="1"/>
  <c r="L446" i="4"/>
  <c r="O446" i="4" s="1"/>
  <c r="O415" i="4"/>
  <c r="R415" i="4" s="1"/>
  <c r="O414" i="4"/>
  <c r="S414" i="4" s="1"/>
  <c r="L11" i="4"/>
  <c r="O11" i="4" s="1"/>
  <c r="L445" i="4"/>
  <c r="O445" i="4" s="1"/>
  <c r="S445" i="4" s="1"/>
  <c r="L442" i="4"/>
  <c r="O442" i="4" s="1"/>
  <c r="S442" i="4" s="1"/>
  <c r="L441" i="4"/>
  <c r="O441" i="4" s="1"/>
  <c r="L440" i="4"/>
  <c r="O440" i="4" s="1"/>
  <c r="L419" i="4"/>
  <c r="O419" i="4" s="1"/>
  <c r="R419" i="4" s="1"/>
  <c r="L418" i="4"/>
  <c r="O418" i="4" s="1"/>
  <c r="L406" i="4"/>
  <c r="O406" i="4" s="1"/>
  <c r="L405" i="4"/>
  <c r="O405" i="4" s="1"/>
  <c r="L404" i="4"/>
  <c r="O404" i="4" s="1"/>
  <c r="R404" i="4" s="1"/>
  <c r="L403" i="4"/>
  <c r="O403" i="4" s="1"/>
  <c r="R403" i="4" s="1"/>
  <c r="L402" i="4"/>
  <c r="O402" i="4" s="1"/>
  <c r="R402" i="4" s="1"/>
  <c r="L401" i="4"/>
  <c r="O401" i="4" s="1"/>
  <c r="R401" i="4" s="1"/>
  <c r="L400" i="4"/>
  <c r="O400" i="4" s="1"/>
  <c r="L399" i="4"/>
  <c r="O399" i="4" s="1"/>
  <c r="L398" i="4"/>
  <c r="O398" i="4" s="1"/>
  <c r="L397" i="4"/>
  <c r="O397" i="4" s="1"/>
  <c r="L396" i="4"/>
  <c r="O396" i="4" s="1"/>
  <c r="L395" i="4"/>
  <c r="O395" i="4" s="1"/>
  <c r="L394" i="4"/>
  <c r="O394" i="4" s="1"/>
  <c r="R394" i="4" s="1"/>
  <c r="L393" i="4"/>
  <c r="O393" i="4" s="1"/>
  <c r="Q393" i="4" s="1"/>
  <c r="U393" i="4" s="1"/>
  <c r="L392" i="4"/>
  <c r="O392" i="4" s="1"/>
  <c r="L391" i="4"/>
  <c r="O391" i="4" s="1"/>
  <c r="S391" i="4" s="1"/>
  <c r="L390" i="4"/>
  <c r="O390" i="4" s="1"/>
  <c r="O389" i="4"/>
  <c r="L388" i="4"/>
  <c r="O388" i="4" s="1"/>
  <c r="L387" i="4"/>
  <c r="O387" i="4" s="1"/>
  <c r="L386" i="4"/>
  <c r="O386" i="4" s="1"/>
  <c r="R386" i="4" s="1"/>
  <c r="L385" i="4"/>
  <c r="O385" i="4" s="1"/>
  <c r="S385" i="4" s="1"/>
  <c r="L384" i="4"/>
  <c r="O384" i="4" s="1"/>
  <c r="L383" i="4"/>
  <c r="O383" i="4" s="1"/>
  <c r="L382" i="4"/>
  <c r="O382" i="4" s="1"/>
  <c r="R382" i="4" s="1"/>
  <c r="L381" i="4"/>
  <c r="O381" i="4" s="1"/>
  <c r="R381" i="4" s="1"/>
  <c r="O380" i="4"/>
  <c r="S380" i="4" s="1"/>
  <c r="L379" i="4"/>
  <c r="O379" i="4" s="1"/>
  <c r="L378" i="4"/>
  <c r="O378" i="4" s="1"/>
  <c r="Q378" i="4" s="1"/>
  <c r="U378" i="4" s="1"/>
  <c r="B231" i="7"/>
  <c r="K256" i="3"/>
  <c r="N256" i="3" s="1"/>
  <c r="N255" i="3"/>
  <c r="N254" i="3"/>
  <c r="B254" i="3"/>
  <c r="N253" i="3"/>
  <c r="M228" i="3"/>
  <c r="L228" i="3"/>
  <c r="B228" i="3"/>
  <c r="A228" i="3"/>
  <c r="M226" i="3"/>
  <c r="L226" i="3"/>
  <c r="A226" i="3"/>
  <c r="B226" i="3"/>
  <c r="M225" i="3"/>
  <c r="L225" i="3"/>
  <c r="B225" i="3"/>
  <c r="A225" i="3"/>
  <c r="N224" i="3"/>
  <c r="B224" i="3"/>
  <c r="A224" i="3"/>
  <c r="A223" i="3"/>
  <c r="N223" i="3"/>
  <c r="B223" i="3"/>
  <c r="N222" i="3"/>
  <c r="A222" i="3"/>
  <c r="A221" i="3"/>
  <c r="B222" i="3"/>
  <c r="N221" i="3"/>
  <c r="B221" i="3"/>
  <c r="N220" i="3"/>
  <c r="A220" i="3"/>
  <c r="B220" i="3"/>
  <c r="A219" i="3"/>
  <c r="B219" i="3"/>
  <c r="N219" i="3"/>
  <c r="N218" i="3"/>
  <c r="N217" i="3"/>
  <c r="B218" i="3"/>
  <c r="A218" i="3"/>
  <c r="M214" i="3"/>
  <c r="L214" i="3"/>
  <c r="O377" i="4"/>
  <c r="S377" i="4" s="1"/>
  <c r="L376" i="4"/>
  <c r="O376" i="4" s="1"/>
  <c r="L375" i="4"/>
  <c r="O375" i="4" s="1"/>
  <c r="L374" i="4"/>
  <c r="O374" i="4" s="1"/>
  <c r="R374" i="4" s="1"/>
  <c r="L373" i="4"/>
  <c r="O373" i="4" s="1"/>
  <c r="L372" i="4"/>
  <c r="O372" i="4" s="1"/>
  <c r="L371" i="4"/>
  <c r="O371" i="4" s="1"/>
  <c r="L370" i="4"/>
  <c r="O370" i="4" s="1"/>
  <c r="L369" i="4"/>
  <c r="O369" i="4" s="1"/>
  <c r="L368" i="4"/>
  <c r="O368" i="4" s="1"/>
  <c r="L367" i="4"/>
  <c r="O367" i="4" s="1"/>
  <c r="L366" i="4"/>
  <c r="O366" i="4" s="1"/>
  <c r="L365" i="4"/>
  <c r="O365" i="4" s="1"/>
  <c r="S365" i="4" s="1"/>
  <c r="L364" i="4"/>
  <c r="O364" i="4" s="1"/>
  <c r="L16" i="4"/>
  <c r="O16" i="4" s="1"/>
  <c r="S16" i="4" s="1"/>
  <c r="A15" i="4"/>
  <c r="B15" i="4"/>
  <c r="L15" i="4"/>
  <c r="O15" i="4" s="1"/>
  <c r="R15" i="4" s="1"/>
  <c r="L14" i="4"/>
  <c r="O14" i="4" s="1"/>
  <c r="B16" i="4"/>
  <c r="A16" i="4"/>
  <c r="A14" i="4"/>
  <c r="B14" i="4"/>
  <c r="L135" i="4"/>
  <c r="O135" i="4" s="1"/>
  <c r="S135" i="4" s="1"/>
  <c r="L134" i="4"/>
  <c r="O134" i="4" s="1"/>
  <c r="R134" i="4" s="1"/>
  <c r="L361" i="4"/>
  <c r="O361" i="4" s="1"/>
  <c r="L360" i="4"/>
  <c r="O360" i="4" s="1"/>
  <c r="L359" i="4"/>
  <c r="O359" i="4" s="1"/>
  <c r="L358" i="4"/>
  <c r="O358" i="4" s="1"/>
  <c r="S358" i="4" s="1"/>
  <c r="L357" i="4"/>
  <c r="O357" i="4" s="1"/>
  <c r="S357" i="4" s="1"/>
  <c r="L356" i="4"/>
  <c r="O356" i="4" s="1"/>
  <c r="S356" i="4" s="1"/>
  <c r="L355" i="4"/>
  <c r="O355" i="4" s="1"/>
  <c r="S355" i="4" s="1"/>
  <c r="L354" i="4"/>
  <c r="O354" i="4" s="1"/>
  <c r="S354" i="4" s="1"/>
  <c r="L353" i="4"/>
  <c r="O353" i="4" s="1"/>
  <c r="S353" i="4" s="1"/>
  <c r="L352" i="4"/>
  <c r="O352" i="4" s="1"/>
  <c r="S352" i="4" s="1"/>
  <c r="U457" i="4" l="1"/>
  <c r="U23" i="4"/>
  <c r="U25" i="4"/>
  <c r="U422" i="4"/>
  <c r="U22" i="4"/>
  <c r="U432" i="4"/>
  <c r="U433" i="4"/>
  <c r="U428" i="4"/>
  <c r="U434" i="4"/>
  <c r="U427" i="4"/>
  <c r="U459" i="4"/>
  <c r="U28" i="4"/>
  <c r="U26" i="4"/>
  <c r="S418" i="4"/>
  <c r="R418" i="4"/>
  <c r="R414" i="4"/>
  <c r="U414" i="4" s="1"/>
  <c r="S398" i="4"/>
  <c r="R398" i="4"/>
  <c r="R474" i="4"/>
  <c r="S474" i="4"/>
  <c r="R446" i="4"/>
  <c r="S446" i="4"/>
  <c r="S395" i="4"/>
  <c r="R395" i="4"/>
  <c r="S396" i="4"/>
  <c r="R396" i="4"/>
  <c r="Q11" i="4"/>
  <c r="U11" i="4" s="1"/>
  <c r="S397" i="4"/>
  <c r="R397" i="4"/>
  <c r="S394" i="4"/>
  <c r="U394" i="4" s="1"/>
  <c r="R391" i="4"/>
  <c r="U391" i="4" s="1"/>
  <c r="S415" i="4"/>
  <c r="U415" i="4" s="1"/>
  <c r="U425" i="4"/>
  <c r="U424" i="4"/>
  <c r="N268" i="3"/>
  <c r="N275" i="3"/>
  <c r="N274" i="3"/>
  <c r="N273" i="3"/>
  <c r="N276" i="3"/>
  <c r="N266" i="3"/>
  <c r="N262" i="3"/>
  <c r="N263" i="3"/>
  <c r="N264" i="3"/>
  <c r="N267" i="3"/>
  <c r="N270" i="3"/>
  <c r="N265" i="3"/>
  <c r="N269" i="3"/>
  <c r="N261" i="3"/>
  <c r="N257" i="3"/>
  <c r="N226" i="3"/>
  <c r="N228" i="3"/>
  <c r="N214" i="3"/>
  <c r="N225" i="3"/>
  <c r="S421" i="4"/>
  <c r="U421" i="4" s="1"/>
  <c r="S136" i="4"/>
  <c r="U136" i="4" s="1"/>
  <c r="R448" i="4"/>
  <c r="U448" i="4" s="1"/>
  <c r="S447" i="4"/>
  <c r="U447" i="4" s="1"/>
  <c r="R445" i="4"/>
  <c r="U445" i="4" s="1"/>
  <c r="R442" i="4"/>
  <c r="U442" i="4" s="1"/>
  <c r="R441" i="4"/>
  <c r="S441" i="4"/>
  <c r="S440" i="4"/>
  <c r="R440" i="4"/>
  <c r="S419" i="4"/>
  <c r="U419" i="4" s="1"/>
  <c r="S406" i="4"/>
  <c r="R406" i="4"/>
  <c r="R405" i="4"/>
  <c r="S405" i="4"/>
  <c r="S404" i="4"/>
  <c r="U404" i="4" s="1"/>
  <c r="S403" i="4"/>
  <c r="U403" i="4" s="1"/>
  <c r="S402" i="4"/>
  <c r="U402" i="4" s="1"/>
  <c r="S401" i="4"/>
  <c r="U401" i="4" s="1"/>
  <c r="R400" i="4"/>
  <c r="S400" i="4"/>
  <c r="R399" i="4"/>
  <c r="S399" i="4"/>
  <c r="S392" i="4"/>
  <c r="R392" i="4"/>
  <c r="S390" i="4"/>
  <c r="R390" i="4"/>
  <c r="S370" i="4"/>
  <c r="R370" i="4"/>
  <c r="S367" i="4"/>
  <c r="R367" i="4"/>
  <c r="R371" i="4"/>
  <c r="S371" i="4"/>
  <c r="S384" i="4"/>
  <c r="R384" i="4"/>
  <c r="R375" i="4"/>
  <c r="S375" i="4"/>
  <c r="S376" i="4"/>
  <c r="R376" i="4"/>
  <c r="R14" i="4"/>
  <c r="S373" i="4"/>
  <c r="R373" i="4"/>
  <c r="R369" i="4"/>
  <c r="S369" i="4"/>
  <c r="S372" i="4"/>
  <c r="R372" i="4"/>
  <c r="R364" i="4"/>
  <c r="S364" i="4"/>
  <c r="S379" i="4"/>
  <c r="R379" i="4"/>
  <c r="R368" i="4"/>
  <c r="S368" i="4"/>
  <c r="S15" i="4"/>
  <c r="U15" i="4" s="1"/>
  <c r="S374" i="4"/>
  <c r="U374" i="4" s="1"/>
  <c r="S381" i="4"/>
  <c r="U381" i="4" s="1"/>
  <c r="S382" i="4"/>
  <c r="U382" i="4" s="1"/>
  <c r="R380" i="4"/>
  <c r="U380" i="4" s="1"/>
  <c r="R16" i="4"/>
  <c r="U16" i="4" s="1"/>
  <c r="R389" i="4"/>
  <c r="S389" i="4"/>
  <c r="S388" i="4"/>
  <c r="R388" i="4"/>
  <c r="S387" i="4"/>
  <c r="R387" i="4"/>
  <c r="S386" i="4"/>
  <c r="U386" i="4" s="1"/>
  <c r="R385" i="4"/>
  <c r="U385" i="4" s="1"/>
  <c r="S383" i="4"/>
  <c r="R383" i="4"/>
  <c r="R377" i="4"/>
  <c r="U377" i="4" s="1"/>
  <c r="S366" i="4"/>
  <c r="R366" i="4"/>
  <c r="R365" i="4"/>
  <c r="U365" i="4" s="1"/>
  <c r="S14" i="4"/>
  <c r="S361" i="4"/>
  <c r="R361" i="4"/>
  <c r="R359" i="4"/>
  <c r="S359" i="4"/>
  <c r="R360" i="4"/>
  <c r="S360" i="4"/>
  <c r="R135" i="4"/>
  <c r="U135" i="4" s="1"/>
  <c r="S134" i="4"/>
  <c r="U134" i="4" s="1"/>
  <c r="R358" i="4"/>
  <c r="U358" i="4" s="1"/>
  <c r="R357" i="4"/>
  <c r="U357" i="4" s="1"/>
  <c r="R356" i="4"/>
  <c r="U356" i="4" s="1"/>
  <c r="R355" i="4"/>
  <c r="U355" i="4" s="1"/>
  <c r="R354" i="4"/>
  <c r="U354" i="4" s="1"/>
  <c r="R353" i="4"/>
  <c r="U353" i="4" s="1"/>
  <c r="R352" i="4"/>
  <c r="U352" i="4" s="1"/>
  <c r="L351" i="4"/>
  <c r="O351" i="4" s="1"/>
  <c r="L350" i="4"/>
  <c r="O350" i="4" s="1"/>
  <c r="S350" i="4" s="1"/>
  <c r="L349" i="4"/>
  <c r="O349" i="4" s="1"/>
  <c r="R349" i="4" s="1"/>
  <c r="L348" i="4"/>
  <c r="O348" i="4" s="1"/>
  <c r="R348" i="4" s="1"/>
  <c r="L347" i="4"/>
  <c r="O347" i="4" s="1"/>
  <c r="S347" i="4" s="1"/>
  <c r="L346" i="4"/>
  <c r="O346" i="4" s="1"/>
  <c r="L345" i="4"/>
  <c r="O345" i="4" s="1"/>
  <c r="L344" i="4"/>
  <c r="O344" i="4" s="1"/>
  <c r="L343" i="4"/>
  <c r="O343" i="4" s="1"/>
  <c r="L342" i="4"/>
  <c r="O342" i="4" s="1"/>
  <c r="L630" i="4"/>
  <c r="O630" i="4" s="1"/>
  <c r="O340" i="4"/>
  <c r="S340" i="4" s="1"/>
  <c r="L339" i="4"/>
  <c r="O339" i="4" s="1"/>
  <c r="L338" i="4"/>
  <c r="O338" i="4" s="1"/>
  <c r="L337" i="4"/>
  <c r="O337" i="4" s="1"/>
  <c r="L336" i="4"/>
  <c r="O336" i="4" s="1"/>
  <c r="R336" i="4" s="1"/>
  <c r="O335" i="4"/>
  <c r="R335" i="4" s="1"/>
  <c r="O334" i="4"/>
  <c r="S334" i="4" s="1"/>
  <c r="L333" i="4"/>
  <c r="O333" i="4" s="1"/>
  <c r="L332" i="4"/>
  <c r="O332" i="4" s="1"/>
  <c r="R332" i="4" s="1"/>
  <c r="L331" i="4"/>
  <c r="O331" i="4" s="1"/>
  <c r="L330" i="4"/>
  <c r="O330" i="4" s="1"/>
  <c r="L329" i="4"/>
  <c r="O329" i="4" s="1"/>
  <c r="L328" i="4"/>
  <c r="O328" i="4" s="1"/>
  <c r="R328" i="4" s="1"/>
  <c r="L327" i="4"/>
  <c r="O327" i="4" s="1"/>
  <c r="R327" i="4" s="1"/>
  <c r="L326" i="4"/>
  <c r="O326" i="4" s="1"/>
  <c r="L325" i="4"/>
  <c r="O325" i="4" s="1"/>
  <c r="L324" i="4"/>
  <c r="O324" i="4" s="1"/>
  <c r="L21" i="4"/>
  <c r="O21" i="4" s="1"/>
  <c r="L570" i="4"/>
  <c r="O570" i="4" s="1"/>
  <c r="Q570" i="4" s="1"/>
  <c r="U570" i="4" s="1"/>
  <c r="L252" i="3"/>
  <c r="M252" i="3"/>
  <c r="L251" i="3"/>
  <c r="M251" i="3"/>
  <c r="L250" i="3"/>
  <c r="M250" i="3"/>
  <c r="L249" i="3"/>
  <c r="M249" i="3"/>
  <c r="L248" i="3"/>
  <c r="M248" i="3"/>
  <c r="L247" i="3"/>
  <c r="M247" i="3"/>
  <c r="L246" i="3"/>
  <c r="M246" i="3"/>
  <c r="L245" i="3"/>
  <c r="M245" i="3"/>
  <c r="L244" i="3"/>
  <c r="M244" i="3"/>
  <c r="L243" i="3"/>
  <c r="M243" i="3"/>
  <c r="L242" i="3"/>
  <c r="M242" i="3"/>
  <c r="L241" i="3"/>
  <c r="M241" i="3"/>
  <c r="L240" i="3"/>
  <c r="M240" i="3"/>
  <c r="L239" i="3"/>
  <c r="M239" i="3"/>
  <c r="L238" i="3"/>
  <c r="M238" i="3"/>
  <c r="L237" i="3"/>
  <c r="M237" i="3"/>
  <c r="L236" i="3"/>
  <c r="M236" i="3"/>
  <c r="L235" i="3"/>
  <c r="M235" i="3"/>
  <c r="L234" i="3"/>
  <c r="M234" i="3"/>
  <c r="L233" i="3"/>
  <c r="M233" i="3"/>
  <c r="L232" i="3"/>
  <c r="M232" i="3"/>
  <c r="M231" i="3"/>
  <c r="L231" i="3"/>
  <c r="M230" i="3"/>
  <c r="L230" i="3"/>
  <c r="M229" i="3"/>
  <c r="L229" i="3"/>
  <c r="M227" i="3"/>
  <c r="L227" i="3"/>
  <c r="B214" i="3"/>
  <c r="A214" i="3"/>
  <c r="I216" i="3"/>
  <c r="N216" i="3" s="1"/>
  <c r="I215" i="3"/>
  <c r="N215" i="3" s="1"/>
  <c r="I69" i="3"/>
  <c r="L321" i="4"/>
  <c r="O321" i="4" s="1"/>
  <c r="L320" i="4"/>
  <c r="O320" i="4" s="1"/>
  <c r="S320" i="4" s="1"/>
  <c r="L629" i="4"/>
  <c r="O629" i="4" s="1"/>
  <c r="L628" i="4"/>
  <c r="O628" i="4" s="1"/>
  <c r="L124" i="4"/>
  <c r="O124" i="4" s="1"/>
  <c r="L13" i="4"/>
  <c r="O13" i="4" s="1"/>
  <c r="L6" i="4"/>
  <c r="O6" i="4" s="1"/>
  <c r="S6" i="4" s="1"/>
  <c r="L112" i="4"/>
  <c r="O112" i="4" s="1"/>
  <c r="R112" i="4" s="1"/>
  <c r="L107" i="4"/>
  <c r="O107" i="4" s="1"/>
  <c r="L309" i="4"/>
  <c r="O309" i="4" s="1"/>
  <c r="L308" i="4"/>
  <c r="O308" i="4" s="1"/>
  <c r="L307" i="4"/>
  <c r="O307" i="4" s="1"/>
  <c r="R307" i="4" s="1"/>
  <c r="L306" i="4"/>
  <c r="O306" i="4" s="1"/>
  <c r="L305" i="4"/>
  <c r="O305" i="4" s="1"/>
  <c r="L304" i="4"/>
  <c r="O304" i="4" s="1"/>
  <c r="L303" i="4"/>
  <c r="O303" i="4" s="1"/>
  <c r="L302" i="4"/>
  <c r="O302" i="4" s="1"/>
  <c r="S302" i="4" s="1"/>
  <c r="L301" i="4"/>
  <c r="O301" i="4" s="1"/>
  <c r="S301" i="4" s="1"/>
  <c r="L300" i="4"/>
  <c r="O300" i="4" s="1"/>
  <c r="L299" i="4"/>
  <c r="O299" i="4" s="1"/>
  <c r="L298" i="4"/>
  <c r="O298" i="4" s="1"/>
  <c r="S298" i="4" s="1"/>
  <c r="A410" i="4"/>
  <c r="O297" i="4"/>
  <c r="R297" i="4" s="1"/>
  <c r="O296" i="4"/>
  <c r="S296" i="4" s="1"/>
  <c r="L417" i="4"/>
  <c r="O417" i="4" s="1"/>
  <c r="S417" i="4" s="1"/>
  <c r="L416" i="4"/>
  <c r="O416" i="4" s="1"/>
  <c r="L412" i="4"/>
  <c r="O412" i="4" s="1"/>
  <c r="L411" i="4"/>
  <c r="O411" i="4" s="1"/>
  <c r="L410" i="4"/>
  <c r="O410" i="4" s="1"/>
  <c r="L409" i="4"/>
  <c r="O409" i="4" s="1"/>
  <c r="R409" i="4" s="1"/>
  <c r="B201" i="7"/>
  <c r="M213" i="3"/>
  <c r="L213" i="3"/>
  <c r="M212" i="3"/>
  <c r="L212" i="3"/>
  <c r="M211" i="3"/>
  <c r="L211" i="3"/>
  <c r="L210" i="3"/>
  <c r="M210" i="3"/>
  <c r="L209" i="3"/>
  <c r="M209" i="3"/>
  <c r="M208" i="3"/>
  <c r="L208" i="3"/>
  <c r="M207" i="3"/>
  <c r="L207" i="3"/>
  <c r="M206" i="3"/>
  <c r="L206" i="3"/>
  <c r="M205" i="3"/>
  <c r="L205" i="3"/>
  <c r="M204" i="3"/>
  <c r="L204" i="3"/>
  <c r="L203" i="3"/>
  <c r="M203" i="3"/>
  <c r="M202" i="3"/>
  <c r="L202" i="3"/>
  <c r="L201" i="3"/>
  <c r="M201" i="3"/>
  <c r="L200" i="3"/>
  <c r="M200" i="3"/>
  <c r="L617" i="4"/>
  <c r="O617" i="4" s="1"/>
  <c r="L616" i="4"/>
  <c r="O616" i="4" s="1"/>
  <c r="L615" i="4"/>
  <c r="O615" i="4" s="1"/>
  <c r="L105" i="4"/>
  <c r="O105" i="4" s="1"/>
  <c r="L104" i="4"/>
  <c r="O104" i="4" s="1"/>
  <c r="L408" i="4"/>
  <c r="O408" i="4" s="1"/>
  <c r="L407" i="4"/>
  <c r="O407" i="4" s="1"/>
  <c r="R407" i="4" s="1"/>
  <c r="L341" i="4"/>
  <c r="O341" i="4" s="1"/>
  <c r="L323" i="4"/>
  <c r="O323" i="4" s="1"/>
  <c r="L319" i="4"/>
  <c r="O319" i="4" s="1"/>
  <c r="R319" i="4" s="1"/>
  <c r="L614" i="4"/>
  <c r="O614" i="4" s="1"/>
  <c r="R614" i="4" s="1"/>
  <c r="L613" i="4"/>
  <c r="O613" i="4" s="1"/>
  <c r="L318" i="4"/>
  <c r="O318" i="4" s="1"/>
  <c r="R318" i="4" s="1"/>
  <c r="L317" i="4"/>
  <c r="O317" i="4" s="1"/>
  <c r="L315" i="4"/>
  <c r="O315" i="4" s="1"/>
  <c r="L314" i="4"/>
  <c r="O314" i="4" s="1"/>
  <c r="L313" i="4"/>
  <c r="O313" i="4" s="1"/>
  <c r="S313" i="4" s="1"/>
  <c r="L312" i="4"/>
  <c r="O312" i="4" s="1"/>
  <c r="L271" i="4"/>
  <c r="O271" i="4" s="1"/>
  <c r="R271" i="4" s="1"/>
  <c r="L270" i="4"/>
  <c r="O270" i="4" s="1"/>
  <c r="R270" i="4" s="1"/>
  <c r="L199" i="3"/>
  <c r="M199" i="3"/>
  <c r="L198" i="3"/>
  <c r="M198" i="3"/>
  <c r="L197" i="3"/>
  <c r="M197" i="3"/>
  <c r="L196" i="3"/>
  <c r="M196" i="3"/>
  <c r="L195" i="3"/>
  <c r="M195" i="3"/>
  <c r="L194" i="3"/>
  <c r="M194" i="3"/>
  <c r="L193" i="3"/>
  <c r="M193" i="3"/>
  <c r="L192" i="3"/>
  <c r="M192" i="3"/>
  <c r="L191" i="3"/>
  <c r="M191" i="3"/>
  <c r="L190" i="3"/>
  <c r="M190" i="3"/>
  <c r="L189" i="3"/>
  <c r="M189" i="3"/>
  <c r="L188" i="3"/>
  <c r="M188" i="3"/>
  <c r="L187" i="3"/>
  <c r="M187" i="3"/>
  <c r="L186" i="3"/>
  <c r="M186" i="3"/>
  <c r="L185" i="3"/>
  <c r="M185" i="3"/>
  <c r="L184" i="3"/>
  <c r="M184" i="3"/>
  <c r="L183" i="3"/>
  <c r="M183" i="3"/>
  <c r="L182" i="3"/>
  <c r="M182" i="3"/>
  <c r="L181" i="3"/>
  <c r="M181" i="3"/>
  <c r="L180" i="3"/>
  <c r="M180" i="3"/>
  <c r="L179" i="3"/>
  <c r="M179" i="3"/>
  <c r="L178" i="3"/>
  <c r="M178" i="3"/>
  <c r="L177" i="3"/>
  <c r="M177" i="3"/>
  <c r="L176" i="3"/>
  <c r="M176" i="3"/>
  <c r="L175" i="3"/>
  <c r="M175" i="3"/>
  <c r="L174" i="3"/>
  <c r="M174" i="3"/>
  <c r="L173" i="3"/>
  <c r="M173" i="3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8" i="7"/>
  <c r="A229" i="7"/>
  <c r="A230" i="7"/>
  <c r="A231" i="7"/>
  <c r="A232" i="7"/>
  <c r="A233" i="7"/>
  <c r="A234" i="7"/>
  <c r="A235" i="7"/>
  <c r="A236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84" i="7"/>
  <c r="A285" i="7"/>
  <c r="A287" i="7"/>
  <c r="A288" i="7"/>
  <c r="A289" i="7"/>
  <c r="A290" i="7"/>
  <c r="A291" i="7"/>
  <c r="A292" i="7"/>
  <c r="A293" i="7"/>
  <c r="A294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25" i="7"/>
  <c r="A326" i="7"/>
  <c r="A327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75" i="7"/>
  <c r="A376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L565" i="4"/>
  <c r="O565" i="4" s="1"/>
  <c r="L564" i="4"/>
  <c r="O564" i="4" s="1"/>
  <c r="Q564" i="4" s="1"/>
  <c r="L172" i="3"/>
  <c r="M172" i="3"/>
  <c r="L171" i="3"/>
  <c r="M171" i="3"/>
  <c r="A170" i="3"/>
  <c r="L170" i="3"/>
  <c r="M170" i="3"/>
  <c r="M169" i="3"/>
  <c r="L169" i="3"/>
  <c r="N168" i="3"/>
  <c r="M161" i="3"/>
  <c r="L161" i="3"/>
  <c r="M160" i="3"/>
  <c r="L160" i="3"/>
  <c r="B161" i="3"/>
  <c r="A162" i="3"/>
  <c r="A161" i="3"/>
  <c r="A160" i="3"/>
  <c r="B160" i="3"/>
  <c r="B168" i="7"/>
  <c r="B159" i="7"/>
  <c r="L267" i="4"/>
  <c r="O267" i="4" s="1"/>
  <c r="R267" i="4" s="1"/>
  <c r="L167" i="3"/>
  <c r="M167" i="3"/>
  <c r="L166" i="3"/>
  <c r="M166" i="3"/>
  <c r="M165" i="3"/>
  <c r="L165" i="3"/>
  <c r="M164" i="3"/>
  <c r="L164" i="3"/>
  <c r="M163" i="3"/>
  <c r="L163" i="3"/>
  <c r="M162" i="3"/>
  <c r="L162" i="3"/>
  <c r="B162" i="3"/>
  <c r="N159" i="3"/>
  <c r="N158" i="3"/>
  <c r="B158" i="3"/>
  <c r="M157" i="3"/>
  <c r="L157" i="3"/>
  <c r="N156" i="3"/>
  <c r="N155" i="3"/>
  <c r="M154" i="3"/>
  <c r="L154" i="3"/>
  <c r="N153" i="3"/>
  <c r="N152" i="3"/>
  <c r="N151" i="3"/>
  <c r="B164" i="7"/>
  <c r="B157" i="7"/>
  <c r="B156" i="7"/>
  <c r="B155" i="7"/>
  <c r="B141" i="7"/>
  <c r="U418" i="4" l="1"/>
  <c r="U440" i="4"/>
  <c r="U398" i="4"/>
  <c r="U392" i="4"/>
  <c r="U400" i="4"/>
  <c r="U446" i="4"/>
  <c r="U406" i="4"/>
  <c r="U399" i="4"/>
  <c r="U441" i="4"/>
  <c r="U390" i="4"/>
  <c r="U395" i="4"/>
  <c r="U474" i="4"/>
  <c r="U396" i="4"/>
  <c r="U14" i="4"/>
  <c r="U397" i="4"/>
  <c r="U405" i="4"/>
  <c r="N227" i="3"/>
  <c r="N234" i="3"/>
  <c r="N235" i="3"/>
  <c r="N241" i="3"/>
  <c r="N157" i="3"/>
  <c r="N165" i="3"/>
  <c r="N242" i="3"/>
  <c r="S335" i="4"/>
  <c r="U335" i="4" s="1"/>
  <c r="U379" i="4"/>
  <c r="U375" i="4"/>
  <c r="U367" i="4"/>
  <c r="U368" i="4"/>
  <c r="U389" i="4"/>
  <c r="U364" i="4"/>
  <c r="U383" i="4"/>
  <c r="U371" i="4"/>
  <c r="U388" i="4"/>
  <c r="U373" i="4"/>
  <c r="U370" i="4"/>
  <c r="S330" i="4"/>
  <c r="R330" i="4"/>
  <c r="S343" i="4"/>
  <c r="R343" i="4"/>
  <c r="S324" i="4"/>
  <c r="R324" i="4"/>
  <c r="R346" i="4"/>
  <c r="S346" i="4"/>
  <c r="R347" i="4"/>
  <c r="U347" i="4" s="1"/>
  <c r="U359" i="4"/>
  <c r="U361" i="4"/>
  <c r="U387" i="4"/>
  <c r="U372" i="4"/>
  <c r="U369" i="4"/>
  <c r="U384" i="4"/>
  <c r="R320" i="4"/>
  <c r="U366" i="4"/>
  <c r="U360" i="4"/>
  <c r="U376" i="4"/>
  <c r="N164" i="3"/>
  <c r="N233" i="3"/>
  <c r="N251" i="3"/>
  <c r="N191" i="3"/>
  <c r="N211" i="3"/>
  <c r="N230" i="3"/>
  <c r="N231" i="3"/>
  <c r="N237" i="3"/>
  <c r="N207" i="3"/>
  <c r="N213" i="3"/>
  <c r="N243" i="3"/>
  <c r="N249" i="3"/>
  <c r="N232" i="3"/>
  <c r="N246" i="3"/>
  <c r="N252" i="3"/>
  <c r="N238" i="3"/>
  <c r="N244" i="3"/>
  <c r="N208" i="3"/>
  <c r="N240" i="3"/>
  <c r="N239" i="3"/>
  <c r="N245" i="3"/>
  <c r="N250" i="3"/>
  <c r="N236" i="3"/>
  <c r="N247" i="3"/>
  <c r="N209" i="3"/>
  <c r="N248" i="3"/>
  <c r="N229" i="3"/>
  <c r="R344" i="4"/>
  <c r="S344" i="4"/>
  <c r="S21" i="4"/>
  <c r="R21" i="4"/>
  <c r="S329" i="4"/>
  <c r="R329" i="4"/>
  <c r="S337" i="4"/>
  <c r="R337" i="4"/>
  <c r="S326" i="4"/>
  <c r="R326" i="4"/>
  <c r="R345" i="4"/>
  <c r="S345" i="4"/>
  <c r="S338" i="4"/>
  <c r="R338" i="4"/>
  <c r="R629" i="4"/>
  <c r="S629" i="4"/>
  <c r="R339" i="4"/>
  <c r="S339" i="4"/>
  <c r="R331" i="4"/>
  <c r="S331" i="4"/>
  <c r="S351" i="4"/>
  <c r="R351" i="4"/>
  <c r="S342" i="4"/>
  <c r="R342" i="4"/>
  <c r="S321" i="4"/>
  <c r="R321" i="4"/>
  <c r="R325" i="4"/>
  <c r="S325" i="4"/>
  <c r="S336" i="4"/>
  <c r="U336" i="4" s="1"/>
  <c r="R334" i="4"/>
  <c r="U334" i="4" s="1"/>
  <c r="S348" i="4"/>
  <c r="U348" i="4" s="1"/>
  <c r="R296" i="4"/>
  <c r="U296" i="4" s="1"/>
  <c r="R340" i="4"/>
  <c r="U340" i="4" s="1"/>
  <c r="S328" i="4"/>
  <c r="U328" i="4" s="1"/>
  <c r="R350" i="4"/>
  <c r="U350" i="4" s="1"/>
  <c r="S349" i="4"/>
  <c r="U349" i="4" s="1"/>
  <c r="R630" i="4"/>
  <c r="S630" i="4"/>
  <c r="R333" i="4"/>
  <c r="S333" i="4"/>
  <c r="S332" i="4"/>
  <c r="U332" i="4" s="1"/>
  <c r="S327" i="4"/>
  <c r="U327" i="4" s="1"/>
  <c r="N201" i="3"/>
  <c r="N205" i="3"/>
  <c r="N210" i="3"/>
  <c r="N212" i="3"/>
  <c r="N161" i="3"/>
  <c r="N203" i="3"/>
  <c r="S308" i="4"/>
  <c r="R308" i="4"/>
  <c r="R323" i="4"/>
  <c r="S323" i="4"/>
  <c r="R13" i="4"/>
  <c r="S13" i="4"/>
  <c r="R628" i="4"/>
  <c r="S628" i="4"/>
  <c r="R314" i="4"/>
  <c r="S314" i="4"/>
  <c r="R408" i="4"/>
  <c r="S408" i="4"/>
  <c r="R417" i="4"/>
  <c r="U417" i="4" s="1"/>
  <c r="Q565" i="4"/>
  <c r="U565" i="4" s="1"/>
  <c r="R411" i="4"/>
  <c r="S411" i="4"/>
  <c r="S315" i="4"/>
  <c r="R315" i="4"/>
  <c r="R317" i="4"/>
  <c r="S317" i="4"/>
  <c r="R416" i="4"/>
  <c r="S416" i="4"/>
  <c r="R299" i="4"/>
  <c r="S299" i="4"/>
  <c r="R613" i="4"/>
  <c r="S613" i="4"/>
  <c r="S309" i="4"/>
  <c r="R309" i="4"/>
  <c r="S104" i="4"/>
  <c r="R104" i="4"/>
  <c r="R107" i="4"/>
  <c r="S107" i="4"/>
  <c r="R105" i="4"/>
  <c r="S105" i="4"/>
  <c r="R303" i="4"/>
  <c r="S303" i="4"/>
  <c r="R615" i="4"/>
  <c r="S615" i="4"/>
  <c r="S304" i="4"/>
  <c r="R304" i="4"/>
  <c r="R616" i="4"/>
  <c r="S616" i="4"/>
  <c r="R305" i="4"/>
  <c r="S305" i="4"/>
  <c r="R617" i="4"/>
  <c r="S617" i="4"/>
  <c r="S410" i="4"/>
  <c r="R410" i="4"/>
  <c r="R306" i="4"/>
  <c r="S306" i="4"/>
  <c r="R341" i="4"/>
  <c r="S341" i="4"/>
  <c r="R412" i="4"/>
  <c r="S412" i="4"/>
  <c r="R124" i="4"/>
  <c r="S124" i="4"/>
  <c r="S271" i="4"/>
  <c r="U271" i="4" s="1"/>
  <c r="S407" i="4"/>
  <c r="U407" i="4" s="1"/>
  <c r="S409" i="4"/>
  <c r="U409" i="4" s="1"/>
  <c r="S319" i="4"/>
  <c r="U319" i="4" s="1"/>
  <c r="S318" i="4"/>
  <c r="U318" i="4" s="1"/>
  <c r="R302" i="4"/>
  <c r="U302" i="4" s="1"/>
  <c r="R312" i="4"/>
  <c r="R300" i="4"/>
  <c r="S312" i="4"/>
  <c r="S300" i="4"/>
  <c r="R298" i="4"/>
  <c r="U298" i="4" s="1"/>
  <c r="S270" i="4"/>
  <c r="U270" i="4" s="1"/>
  <c r="R301" i="4"/>
  <c r="U301" i="4" s="1"/>
  <c r="U564" i="4"/>
  <c r="R313" i="4"/>
  <c r="U313" i="4" s="1"/>
  <c r="S614" i="4"/>
  <c r="U614" i="4" s="1"/>
  <c r="R6" i="4"/>
  <c r="U6" i="4" s="1"/>
  <c r="S112" i="4"/>
  <c r="U112" i="4" s="1"/>
  <c r="S307" i="4"/>
  <c r="U307" i="4" s="1"/>
  <c r="S297" i="4"/>
  <c r="U297" i="4" s="1"/>
  <c r="N202" i="3"/>
  <c r="N204" i="3"/>
  <c r="N206" i="3"/>
  <c r="N160" i="3"/>
  <c r="N172" i="3"/>
  <c r="N193" i="3"/>
  <c r="N194" i="3"/>
  <c r="N195" i="3"/>
  <c r="N180" i="3"/>
  <c r="N186" i="3"/>
  <c r="N175" i="3"/>
  <c r="N187" i="3"/>
  <c r="N200" i="3"/>
  <c r="N183" i="3"/>
  <c r="N190" i="3"/>
  <c r="N171" i="3"/>
  <c r="N173" i="3"/>
  <c r="N182" i="3"/>
  <c r="N177" i="3"/>
  <c r="N178" i="3"/>
  <c r="N197" i="3"/>
  <c r="N174" i="3"/>
  <c r="N170" i="3"/>
  <c r="N199" i="3"/>
  <c r="N179" i="3"/>
  <c r="N184" i="3"/>
  <c r="N185" i="3"/>
  <c r="N196" i="3"/>
  <c r="N181" i="3"/>
  <c r="N192" i="3"/>
  <c r="N176" i="3"/>
  <c r="N169" i="3"/>
  <c r="N198" i="3"/>
  <c r="N188" i="3"/>
  <c r="N189" i="3"/>
  <c r="N163" i="3"/>
  <c r="N166" i="3"/>
  <c r="N167" i="3"/>
  <c r="S267" i="4"/>
  <c r="U267" i="4" s="1"/>
  <c r="N162" i="3"/>
  <c r="N154" i="3"/>
  <c r="N150" i="3"/>
  <c r="L266" i="4"/>
  <c r="O266" i="4" s="1"/>
  <c r="L265" i="4"/>
  <c r="O265" i="4" s="1"/>
  <c r="L264" i="4"/>
  <c r="O264" i="4" s="1"/>
  <c r="R264" i="4" s="1"/>
  <c r="L263" i="4"/>
  <c r="O263" i="4" s="1"/>
  <c r="L295" i="4"/>
  <c r="O295" i="4" s="1"/>
  <c r="L294" i="4"/>
  <c r="O294" i="4" s="1"/>
  <c r="L293" i="4"/>
  <c r="O293" i="4" s="1"/>
  <c r="L292" i="4"/>
  <c r="O292" i="4" s="1"/>
  <c r="R292" i="4" s="1"/>
  <c r="L291" i="4"/>
  <c r="O291" i="4" s="1"/>
  <c r="L612" i="4"/>
  <c r="O612" i="4" s="1"/>
  <c r="L256" i="4"/>
  <c r="O256" i="4" s="1"/>
  <c r="L255" i="4"/>
  <c r="O255" i="4" s="1"/>
  <c r="S255" i="4" s="1"/>
  <c r="L254" i="4"/>
  <c r="O254" i="4" s="1"/>
  <c r="L253" i="4"/>
  <c r="O253" i="4" s="1"/>
  <c r="L252" i="4"/>
  <c r="O252" i="4" s="1"/>
  <c r="L251" i="4"/>
  <c r="O251" i="4" s="1"/>
  <c r="Q251" i="4" s="1"/>
  <c r="U251" i="4" s="1"/>
  <c r="L250" i="4"/>
  <c r="O250" i="4" s="1"/>
  <c r="L611" i="4"/>
  <c r="O611" i="4" s="1"/>
  <c r="L248" i="4"/>
  <c r="O248" i="4" s="1"/>
  <c r="L247" i="4"/>
  <c r="O247" i="4" s="1"/>
  <c r="L653" i="4"/>
  <c r="O653" i="4" s="1"/>
  <c r="L652" i="4"/>
  <c r="O652" i="4" s="1"/>
  <c r="L643" i="4"/>
  <c r="O643" i="4" s="1"/>
  <c r="Q643" i="4" s="1"/>
  <c r="U643" i="4" s="1"/>
  <c r="L243" i="4"/>
  <c r="O243" i="4" s="1"/>
  <c r="O242" i="4"/>
  <c r="S242" i="4" s="1"/>
  <c r="O241" i="4"/>
  <c r="R241" i="4" s="1"/>
  <c r="L240" i="4"/>
  <c r="O240" i="4" s="1"/>
  <c r="L239" i="4"/>
  <c r="O239" i="4" s="1"/>
  <c r="S239" i="4" s="1"/>
  <c r="L238" i="4"/>
  <c r="O238" i="4" s="1"/>
  <c r="R238" i="4" s="1"/>
  <c r="L286" i="4"/>
  <c r="O286" i="4" s="1"/>
  <c r="R286" i="4" s="1"/>
  <c r="B147" i="7"/>
  <c r="B140" i="7"/>
  <c r="B123" i="7"/>
  <c r="B122" i="7"/>
  <c r="L140" i="4"/>
  <c r="O140" i="4" s="1"/>
  <c r="L116" i="4"/>
  <c r="O116" i="4" s="1"/>
  <c r="S116" i="4" s="1"/>
  <c r="L234" i="4"/>
  <c r="O234" i="4" s="1"/>
  <c r="R234" i="4" s="1"/>
  <c r="O233" i="4"/>
  <c r="S233" i="4" s="1"/>
  <c r="L115" i="4"/>
  <c r="O115" i="4" s="1"/>
  <c r="L231" i="4"/>
  <c r="O231" i="4" s="1"/>
  <c r="O230" i="4"/>
  <c r="R230" i="4" s="1"/>
  <c r="M149" i="3"/>
  <c r="L149" i="3"/>
  <c r="N148" i="3"/>
  <c r="M147" i="3"/>
  <c r="L147" i="3"/>
  <c r="N146" i="3"/>
  <c r="M145" i="3"/>
  <c r="L145" i="3"/>
  <c r="B145" i="3"/>
  <c r="M144" i="3"/>
  <c r="L144" i="3"/>
  <c r="N143" i="3"/>
  <c r="M134" i="3"/>
  <c r="L134" i="3"/>
  <c r="B134" i="3"/>
  <c r="A134" i="3"/>
  <c r="M133" i="3"/>
  <c r="L133" i="3"/>
  <c r="A133" i="3"/>
  <c r="B133" i="3"/>
  <c r="N132" i="3"/>
  <c r="A132" i="3"/>
  <c r="B132" i="3"/>
  <c r="L290" i="4"/>
  <c r="O290" i="4" s="1"/>
  <c r="L289" i="4"/>
  <c r="O289" i="4" s="1"/>
  <c r="S289" i="4" s="1"/>
  <c r="O227" i="4"/>
  <c r="S227" i="4" s="1"/>
  <c r="B226" i="4"/>
  <c r="A226" i="4"/>
  <c r="L226" i="4"/>
  <c r="O226" i="4" s="1"/>
  <c r="L225" i="4"/>
  <c r="O225" i="4" s="1"/>
  <c r="R225" i="4" s="1"/>
  <c r="L224" i="4"/>
  <c r="O224" i="4" s="1"/>
  <c r="R224" i="4" s="1"/>
  <c r="L114" i="4"/>
  <c r="O114" i="4" s="1"/>
  <c r="L113" i="4"/>
  <c r="O113" i="4" s="1"/>
  <c r="R113" i="4" s="1"/>
  <c r="L102" i="4"/>
  <c r="O102" i="4" s="1"/>
  <c r="U124" i="4" l="1"/>
  <c r="U324" i="4"/>
  <c r="U343" i="4"/>
  <c r="U314" i="4"/>
  <c r="U308" i="4"/>
  <c r="U630" i="4"/>
  <c r="U338" i="4"/>
  <c r="U344" i="4"/>
  <c r="U326" i="4"/>
  <c r="U104" i="4"/>
  <c r="U312" i="4"/>
  <c r="U330" i="4"/>
  <c r="U105" i="4"/>
  <c r="U628" i="4"/>
  <c r="U412" i="4"/>
  <c r="U13" i="4"/>
  <c r="U337" i="4"/>
  <c r="U304" i="4"/>
  <c r="U323" i="4"/>
  <c r="U339" i="4"/>
  <c r="U346" i="4"/>
  <c r="U325" i="4"/>
  <c r="U321" i="4"/>
  <c r="U351" i="4"/>
  <c r="U345" i="4"/>
  <c r="U408" i="4"/>
  <c r="U333" i="4"/>
  <c r="U331" i="4"/>
  <c r="U317" i="4"/>
  <c r="U629" i="4"/>
  <c r="U329" i="4"/>
  <c r="U309" i="4"/>
  <c r="U315" i="4"/>
  <c r="U342" i="4"/>
  <c r="U615" i="4"/>
  <c r="U21" i="4"/>
  <c r="R256" i="4"/>
  <c r="S256" i="4"/>
  <c r="S241" i="4"/>
  <c r="U241" i="4" s="1"/>
  <c r="S230" i="4"/>
  <c r="U230" i="4" s="1"/>
  <c r="U305" i="4"/>
  <c r="U300" i="4"/>
  <c r="U107" i="4"/>
  <c r="R233" i="4"/>
  <c r="U233" i="4" s="1"/>
  <c r="R227" i="4"/>
  <c r="U227" i="4" s="1"/>
  <c r="U306" i="4"/>
  <c r="U410" i="4"/>
  <c r="U613" i="4"/>
  <c r="U303" i="4"/>
  <c r="U617" i="4"/>
  <c r="U299" i="4"/>
  <c r="U411" i="4"/>
  <c r="U320" i="4"/>
  <c r="R290" i="4"/>
  <c r="S290" i="4"/>
  <c r="S231" i="4"/>
  <c r="R231" i="4"/>
  <c r="R243" i="4"/>
  <c r="S243" i="4"/>
  <c r="S252" i="4"/>
  <c r="R252" i="4"/>
  <c r="R266" i="4"/>
  <c r="S266" i="4"/>
  <c r="R115" i="4"/>
  <c r="S115" i="4"/>
  <c r="R226" i="4"/>
  <c r="S226" i="4"/>
  <c r="R114" i="4"/>
  <c r="S114" i="4"/>
  <c r="S250" i="4"/>
  <c r="R250" i="4"/>
  <c r="R253" i="4"/>
  <c r="S253" i="4"/>
  <c r="Q652" i="4"/>
  <c r="U652" i="4" s="1"/>
  <c r="Q653" i="4"/>
  <c r="U653" i="4" s="1"/>
  <c r="S247" i="4"/>
  <c r="R247" i="4"/>
  <c r="R102" i="4"/>
  <c r="S102" i="4"/>
  <c r="S248" i="4"/>
  <c r="R248" i="4"/>
  <c r="R611" i="4"/>
  <c r="R255" i="4"/>
  <c r="U255" i="4" s="1"/>
  <c r="S611" i="4"/>
  <c r="U341" i="4"/>
  <c r="U416" i="4"/>
  <c r="R289" i="4"/>
  <c r="U289" i="4" s="1"/>
  <c r="S234" i="4"/>
  <c r="U234" i="4" s="1"/>
  <c r="S224" i="4"/>
  <c r="U224" i="4" s="1"/>
  <c r="U616" i="4"/>
  <c r="S113" i="4"/>
  <c r="U113" i="4" s="1"/>
  <c r="S225" i="4"/>
  <c r="U225" i="4" s="1"/>
  <c r="N144" i="3"/>
  <c r="N133" i="3"/>
  <c r="N134" i="3"/>
  <c r="N149" i="3"/>
  <c r="N147" i="3"/>
  <c r="S265" i="4"/>
  <c r="R265" i="4"/>
  <c r="S264" i="4"/>
  <c r="U264" i="4" s="1"/>
  <c r="R263" i="4"/>
  <c r="S263" i="4"/>
  <c r="S295" i="4"/>
  <c r="R295" i="4"/>
  <c r="S294" i="4"/>
  <c r="R294" i="4"/>
  <c r="R293" i="4"/>
  <c r="S293" i="4"/>
  <c r="S292" i="4"/>
  <c r="U292" i="4" s="1"/>
  <c r="S291" i="4"/>
  <c r="R291" i="4"/>
  <c r="S612" i="4"/>
  <c r="R612" i="4"/>
  <c r="R254" i="4"/>
  <c r="S254" i="4"/>
  <c r="R242" i="4"/>
  <c r="U242" i="4" s="1"/>
  <c r="S240" i="4"/>
  <c r="R240" i="4"/>
  <c r="R239" i="4"/>
  <c r="U239" i="4" s="1"/>
  <c r="S238" i="4"/>
  <c r="U238" i="4" s="1"/>
  <c r="S286" i="4"/>
  <c r="U286" i="4" s="1"/>
  <c r="R140" i="4"/>
  <c r="S140" i="4"/>
  <c r="R116" i="4"/>
  <c r="U116" i="4" s="1"/>
  <c r="N145" i="3"/>
  <c r="U114" i="4" l="1"/>
  <c r="U252" i="4"/>
  <c r="U294" i="4"/>
  <c r="U250" i="4"/>
  <c r="U243" i="4"/>
  <c r="U231" i="4"/>
  <c r="U290" i="4"/>
  <c r="U253" i="4"/>
  <c r="U295" i="4"/>
  <c r="U248" i="4"/>
  <c r="U266" i="4"/>
  <c r="U256" i="4"/>
  <c r="U612" i="4"/>
  <c r="U102" i="4"/>
  <c r="U611" i="4"/>
  <c r="U240" i="4"/>
  <c r="U115" i="4"/>
  <c r="U291" i="4"/>
  <c r="U265" i="4"/>
  <c r="U263" i="4"/>
  <c r="U247" i="4"/>
  <c r="U254" i="4"/>
  <c r="U293" i="4"/>
  <c r="U226" i="4"/>
  <c r="U140" i="4"/>
  <c r="L101" i="4"/>
  <c r="O101" i="4" s="1"/>
  <c r="S101" i="4" s="1"/>
  <c r="L219" i="4"/>
  <c r="O219" i="4" s="1"/>
  <c r="L218" i="4"/>
  <c r="O218" i="4" s="1"/>
  <c r="L217" i="4"/>
  <c r="O217" i="4" s="1"/>
  <c r="B124" i="7"/>
  <c r="B113" i="7"/>
  <c r="B112" i="7"/>
  <c r="B111" i="7"/>
  <c r="B121" i="7"/>
  <c r="B120" i="7"/>
  <c r="B119" i="7"/>
  <c r="B118" i="7"/>
  <c r="B117" i="7"/>
  <c r="B116" i="7"/>
  <c r="B66" i="7"/>
  <c r="L642" i="4"/>
  <c r="O642" i="4" s="1"/>
  <c r="Q642" i="4" s="1"/>
  <c r="U642" i="4" s="1"/>
  <c r="L546" i="4"/>
  <c r="O546" i="4" s="1"/>
  <c r="L214" i="4"/>
  <c r="O214" i="4" s="1"/>
  <c r="Q214" i="4" s="1"/>
  <c r="U214" i="4" s="1"/>
  <c r="L213" i="4"/>
  <c r="O213" i="4" s="1"/>
  <c r="L212" i="4"/>
  <c r="O212" i="4" s="1"/>
  <c r="O207" i="4"/>
  <c r="S207" i="4" s="1"/>
  <c r="B207" i="4"/>
  <c r="A207" i="4"/>
  <c r="B206" i="4"/>
  <c r="A206" i="4"/>
  <c r="B205" i="4"/>
  <c r="A205" i="4"/>
  <c r="A204" i="4"/>
  <c r="A203" i="4"/>
  <c r="L206" i="4"/>
  <c r="O206" i="4" s="1"/>
  <c r="S206" i="4" s="1"/>
  <c r="L205" i="4"/>
  <c r="O205" i="4" s="1"/>
  <c r="R205" i="4" s="1"/>
  <c r="L204" i="4"/>
  <c r="O204" i="4" s="1"/>
  <c r="B204" i="4"/>
  <c r="O203" i="4"/>
  <c r="R203" i="4" s="1"/>
  <c r="B203" i="4"/>
  <c r="O202" i="4"/>
  <c r="S202" i="4" s="1"/>
  <c r="B202" i="4"/>
  <c r="A202" i="4"/>
  <c r="A288" i="4"/>
  <c r="B288" i="4"/>
  <c r="B287" i="4"/>
  <c r="B284" i="4"/>
  <c r="L288" i="4"/>
  <c r="O288" i="4" s="1"/>
  <c r="S288" i="4" s="1"/>
  <c r="L287" i="4"/>
  <c r="O287" i="4" s="1"/>
  <c r="L284" i="4"/>
  <c r="O284" i="4" s="1"/>
  <c r="L283" i="4"/>
  <c r="O283" i="4" s="1"/>
  <c r="S283" i="4" s="1"/>
  <c r="B283" i="4"/>
  <c r="A561" i="4"/>
  <c r="A283" i="4"/>
  <c r="A284" i="4"/>
  <c r="A287" i="4"/>
  <c r="A208" i="4"/>
  <c r="A209" i="4"/>
  <c r="A210" i="4"/>
  <c r="A211" i="4"/>
  <c r="A409" i="4"/>
  <c r="A281" i="4"/>
  <c r="A282" i="4"/>
  <c r="A560" i="4"/>
  <c r="L211" i="4"/>
  <c r="O211" i="4" s="1"/>
  <c r="L210" i="4"/>
  <c r="O210" i="4" s="1"/>
  <c r="L209" i="4"/>
  <c r="O209" i="4" s="1"/>
  <c r="L208" i="4"/>
  <c r="O208" i="4" s="1"/>
  <c r="L561" i="4"/>
  <c r="O561" i="4" s="1"/>
  <c r="Q561" i="4" s="1"/>
  <c r="U561" i="4" s="1"/>
  <c r="L560" i="4"/>
  <c r="O560" i="4" s="1"/>
  <c r="Q560" i="4" s="1"/>
  <c r="U560" i="4" s="1"/>
  <c r="L282" i="4"/>
  <c r="O282" i="4" s="1"/>
  <c r="L281" i="4"/>
  <c r="O281" i="4" s="1"/>
  <c r="L280" i="4"/>
  <c r="O280" i="4" s="1"/>
  <c r="L279" i="4"/>
  <c r="O279" i="4" s="1"/>
  <c r="L278" i="4"/>
  <c r="O278" i="4" s="1"/>
  <c r="L277" i="4"/>
  <c r="O277" i="4" s="1"/>
  <c r="R277" i="4" s="1"/>
  <c r="L189" i="4"/>
  <c r="O189" i="4" s="1"/>
  <c r="R189" i="4" s="1"/>
  <c r="L188" i="4"/>
  <c r="O188" i="4" s="1"/>
  <c r="O187" i="4"/>
  <c r="R187" i="4" s="1"/>
  <c r="O186" i="4"/>
  <c r="L142" i="3"/>
  <c r="M142" i="3"/>
  <c r="L141" i="3"/>
  <c r="M141" i="3"/>
  <c r="L140" i="3"/>
  <c r="M140" i="3"/>
  <c r="L139" i="3"/>
  <c r="M139" i="3"/>
  <c r="L138" i="3"/>
  <c r="M138" i="3"/>
  <c r="L137" i="3"/>
  <c r="M137" i="3"/>
  <c r="M136" i="3"/>
  <c r="L136" i="3"/>
  <c r="N135" i="3"/>
  <c r="A43" i="3"/>
  <c r="A126" i="3"/>
  <c r="A125" i="3"/>
  <c r="L131" i="3"/>
  <c r="M131" i="3"/>
  <c r="L130" i="3"/>
  <c r="M130" i="3"/>
  <c r="L129" i="3"/>
  <c r="M129" i="3"/>
  <c r="L128" i="3"/>
  <c r="M128" i="3"/>
  <c r="L127" i="3"/>
  <c r="M127" i="3"/>
  <c r="L126" i="3"/>
  <c r="M126" i="3"/>
  <c r="L125" i="3"/>
  <c r="M125" i="3"/>
  <c r="L124" i="3"/>
  <c r="M124" i="3"/>
  <c r="L123" i="3"/>
  <c r="M123" i="3"/>
  <c r="L122" i="3"/>
  <c r="M122" i="3"/>
  <c r="L121" i="3"/>
  <c r="M121" i="3"/>
  <c r="L120" i="3"/>
  <c r="M120" i="3"/>
  <c r="L119" i="3"/>
  <c r="M119" i="3"/>
  <c r="M118" i="3"/>
  <c r="L118" i="3"/>
  <c r="M117" i="3"/>
  <c r="L117" i="3"/>
  <c r="L96" i="4"/>
  <c r="O96" i="4" s="1"/>
  <c r="L276" i="4"/>
  <c r="O276" i="4" s="1"/>
  <c r="L275" i="4"/>
  <c r="O275" i="4" s="1"/>
  <c r="L274" i="4"/>
  <c r="O274" i="4" s="1"/>
  <c r="L181" i="4"/>
  <c r="O181" i="4" s="1"/>
  <c r="Q181" i="4" s="1"/>
  <c r="U181" i="4" s="1"/>
  <c r="L94" i="4"/>
  <c r="O94" i="4" s="1"/>
  <c r="L68" i="4"/>
  <c r="O68" i="4" s="1"/>
  <c r="O178" i="4"/>
  <c r="S178" i="4" s="1"/>
  <c r="O177" i="4"/>
  <c r="O176" i="4"/>
  <c r="S176" i="4" s="1"/>
  <c r="L175" i="4"/>
  <c r="O175" i="4" s="1"/>
  <c r="S175" i="4" s="1"/>
  <c r="L174" i="4"/>
  <c r="O174" i="4" s="1"/>
  <c r="S174" i="4" s="1"/>
  <c r="L173" i="4"/>
  <c r="O173" i="4" s="1"/>
  <c r="L172" i="4"/>
  <c r="O172" i="4" s="1"/>
  <c r="L171" i="4"/>
  <c r="O171" i="4" s="1"/>
  <c r="M116" i="3"/>
  <c r="L116" i="3"/>
  <c r="I115" i="3"/>
  <c r="M115" i="3" s="1"/>
  <c r="N114" i="3"/>
  <c r="N113" i="3"/>
  <c r="N112" i="3"/>
  <c r="M111" i="3"/>
  <c r="L111" i="3"/>
  <c r="M110" i="3"/>
  <c r="L110" i="3"/>
  <c r="N109" i="3"/>
  <c r="N108" i="3"/>
  <c r="M107" i="3"/>
  <c r="L107" i="3"/>
  <c r="L106" i="3"/>
  <c r="M106" i="3"/>
  <c r="M105" i="3"/>
  <c r="L105" i="3"/>
  <c r="S203" i="4" l="1"/>
  <c r="U203" i="4" s="1"/>
  <c r="R219" i="4"/>
  <c r="S219" i="4"/>
  <c r="S217" i="4"/>
  <c r="R217" i="4"/>
  <c r="R213" i="4"/>
  <c r="S213" i="4"/>
  <c r="S546" i="4"/>
  <c r="R546" i="4"/>
  <c r="R218" i="4"/>
  <c r="R207" i="4"/>
  <c r="U207" i="4" s="1"/>
  <c r="S218" i="4"/>
  <c r="N116" i="3"/>
  <c r="R101" i="4"/>
  <c r="U101" i="4" s="1"/>
  <c r="N142" i="3"/>
  <c r="L115" i="3"/>
  <c r="N115" i="3" s="1"/>
  <c r="N141" i="3"/>
  <c r="N117" i="3"/>
  <c r="N118" i="3"/>
  <c r="N127" i="3"/>
  <c r="R212" i="4"/>
  <c r="S212" i="4"/>
  <c r="S204" i="4"/>
  <c r="R204" i="4"/>
  <c r="R202" i="4"/>
  <c r="U202" i="4" s="1"/>
  <c r="R206" i="4"/>
  <c r="U206" i="4" s="1"/>
  <c r="S205" i="4"/>
  <c r="U205" i="4" s="1"/>
  <c r="R284" i="4"/>
  <c r="S284" i="4"/>
  <c r="S287" i="4"/>
  <c r="R287" i="4"/>
  <c r="R283" i="4"/>
  <c r="U283" i="4" s="1"/>
  <c r="R288" i="4"/>
  <c r="U288" i="4" s="1"/>
  <c r="R178" i="4"/>
  <c r="U178" i="4" s="1"/>
  <c r="S187" i="4"/>
  <c r="U187" i="4" s="1"/>
  <c r="S189" i="4"/>
  <c r="U189" i="4" s="1"/>
  <c r="S282" i="4"/>
  <c r="R282" i="4"/>
  <c r="S281" i="4"/>
  <c r="R281" i="4"/>
  <c r="S208" i="4"/>
  <c r="R208" i="4"/>
  <c r="R176" i="4"/>
  <c r="U176" i="4" s="1"/>
  <c r="S278" i="4"/>
  <c r="R278" i="4"/>
  <c r="S280" i="4"/>
  <c r="R280" i="4"/>
  <c r="S209" i="4"/>
  <c r="R209" i="4"/>
  <c r="S276" i="4"/>
  <c r="R276" i="4"/>
  <c r="S211" i="4"/>
  <c r="R211" i="4"/>
  <c r="R96" i="4"/>
  <c r="S96" i="4"/>
  <c r="S68" i="4"/>
  <c r="R68" i="4"/>
  <c r="S94" i="4"/>
  <c r="R94" i="4"/>
  <c r="S274" i="4"/>
  <c r="R274" i="4"/>
  <c r="S277" i="4"/>
  <c r="U277" i="4" s="1"/>
  <c r="R275" i="4"/>
  <c r="R186" i="4"/>
  <c r="R279" i="4"/>
  <c r="R210" i="4"/>
  <c r="S177" i="4"/>
  <c r="S275" i="4"/>
  <c r="S186" i="4"/>
  <c r="S279" i="4"/>
  <c r="S210" i="4"/>
  <c r="R177" i="4"/>
  <c r="S188" i="4"/>
  <c r="R188" i="4"/>
  <c r="N119" i="3"/>
  <c r="N129" i="3"/>
  <c r="N137" i="3"/>
  <c r="N124" i="3"/>
  <c r="N140" i="3"/>
  <c r="N110" i="3"/>
  <c r="N122" i="3"/>
  <c r="N138" i="3"/>
  <c r="N106" i="3"/>
  <c r="N131" i="3"/>
  <c r="N139" i="3"/>
  <c r="N120" i="3"/>
  <c r="N126" i="3"/>
  <c r="N125" i="3"/>
  <c r="N121" i="3"/>
  <c r="N136" i="3"/>
  <c r="N128" i="3"/>
  <c r="N130" i="3"/>
  <c r="N123" i="3"/>
  <c r="R175" i="4"/>
  <c r="U175" i="4" s="1"/>
  <c r="R174" i="4"/>
  <c r="U174" i="4" s="1"/>
  <c r="S171" i="4"/>
  <c r="R171" i="4"/>
  <c r="S173" i="4"/>
  <c r="R173" i="4"/>
  <c r="S172" i="4"/>
  <c r="R172" i="4"/>
  <c r="N111" i="3"/>
  <c r="N107" i="3"/>
  <c r="N105" i="3"/>
  <c r="U204" i="4" l="1"/>
  <c r="U546" i="4"/>
  <c r="U219" i="4"/>
  <c r="U212" i="4"/>
  <c r="U217" i="4"/>
  <c r="U218" i="4"/>
  <c r="U213" i="4"/>
  <c r="U287" i="4"/>
  <c r="U284" i="4"/>
  <c r="U274" i="4"/>
  <c r="U68" i="4"/>
  <c r="U278" i="4"/>
  <c r="U96" i="4"/>
  <c r="U188" i="4"/>
  <c r="U280" i="4"/>
  <c r="U94" i="4"/>
  <c r="U279" i="4"/>
  <c r="U186" i="4"/>
  <c r="U208" i="4"/>
  <c r="U177" i="4"/>
  <c r="U282" i="4"/>
  <c r="U275" i="4"/>
  <c r="U211" i="4"/>
  <c r="U210" i="4"/>
  <c r="U276" i="4"/>
  <c r="U281" i="4"/>
  <c r="U209" i="4"/>
  <c r="U173" i="4"/>
  <c r="U172" i="4"/>
  <c r="U171" i="4"/>
  <c r="B90" i="7"/>
  <c r="M104" i="3"/>
  <c r="L104" i="3"/>
  <c r="M103" i="3"/>
  <c r="L103" i="3"/>
  <c r="N103" i="3" l="1"/>
  <c r="N104" i="3"/>
  <c r="M102" i="3"/>
  <c r="L102" i="3"/>
  <c r="N102" i="3" l="1"/>
  <c r="L170" i="4"/>
  <c r="O170" i="4" s="1"/>
  <c r="S170" i="4" s="1"/>
  <c r="L169" i="4"/>
  <c r="O169" i="4" s="1"/>
  <c r="L285" i="4"/>
  <c r="O285" i="4" s="1"/>
  <c r="R285" i="4" s="1"/>
  <c r="L167" i="4"/>
  <c r="O167" i="4" s="1"/>
  <c r="O166" i="4"/>
  <c r="S166" i="4" s="1"/>
  <c r="B100" i="4"/>
  <c r="A100" i="4"/>
  <c r="L100" i="4"/>
  <c r="O100" i="4" s="1"/>
  <c r="S100" i="4" s="1"/>
  <c r="L99" i="4"/>
  <c r="O99" i="4" s="1"/>
  <c r="R99" i="4" s="1"/>
  <c r="A99" i="4"/>
  <c r="B99" i="4"/>
  <c r="L163" i="4"/>
  <c r="O163" i="4" s="1"/>
  <c r="L162" i="4"/>
  <c r="O162" i="4" s="1"/>
  <c r="L161" i="4"/>
  <c r="O161" i="4" s="1"/>
  <c r="L160" i="4"/>
  <c r="O160" i="4" s="1"/>
  <c r="L98" i="4"/>
  <c r="O98" i="4" s="1"/>
  <c r="L158" i="4"/>
  <c r="O158" i="4" s="1"/>
  <c r="L157" i="4"/>
  <c r="O157" i="4" s="1"/>
  <c r="Q157" i="4" s="1"/>
  <c r="U157" i="4" s="1"/>
  <c r="B91" i="7"/>
  <c r="B80" i="7"/>
  <c r="M101" i="3"/>
  <c r="L101" i="3"/>
  <c r="N100" i="3"/>
  <c r="M99" i="3"/>
  <c r="L99" i="3"/>
  <c r="M98" i="3"/>
  <c r="L98" i="3"/>
  <c r="M97" i="3"/>
  <c r="L97" i="3"/>
  <c r="I43" i="3"/>
  <c r="M43" i="3" s="1"/>
  <c r="B43" i="3"/>
  <c r="L156" i="4"/>
  <c r="O156" i="4" s="1"/>
  <c r="R156" i="4" s="1"/>
  <c r="L155" i="4"/>
  <c r="O155" i="4" s="1"/>
  <c r="R155" i="4" s="1"/>
  <c r="L154" i="4"/>
  <c r="O154" i="4" s="1"/>
  <c r="S154" i="4" s="1"/>
  <c r="L153" i="4"/>
  <c r="O153" i="4" s="1"/>
  <c r="S153" i="4" s="1"/>
  <c r="L97" i="4"/>
  <c r="O97" i="4" s="1"/>
  <c r="L82" i="4"/>
  <c r="O82" i="4" s="1"/>
  <c r="L150" i="4"/>
  <c r="O150" i="4" s="1"/>
  <c r="L149" i="4"/>
  <c r="O149" i="4" s="1"/>
  <c r="R149" i="4" s="1"/>
  <c r="L148" i="4"/>
  <c r="O148" i="4" s="1"/>
  <c r="L66" i="4"/>
  <c r="O66" i="4" s="1"/>
  <c r="L146" i="4"/>
  <c r="O146" i="4" s="1"/>
  <c r="L145" i="4"/>
  <c r="O145" i="4" s="1"/>
  <c r="R145" i="4" s="1"/>
  <c r="L81" i="4"/>
  <c r="O81" i="4" s="1"/>
  <c r="L80" i="4"/>
  <c r="O80" i="4" s="1"/>
  <c r="S80" i="4" s="1"/>
  <c r="L79" i="4"/>
  <c r="O79" i="4" s="1"/>
  <c r="L59" i="4"/>
  <c r="O59" i="4" s="1"/>
  <c r="L58" i="4"/>
  <c r="O58" i="4" s="1"/>
  <c r="N96" i="3"/>
  <c r="N95" i="3"/>
  <c r="B95" i="3"/>
  <c r="N94" i="3"/>
  <c r="B93" i="3"/>
  <c r="B92" i="3"/>
  <c r="N91" i="3"/>
  <c r="A90" i="3"/>
  <c r="A91" i="3"/>
  <c r="B91" i="3"/>
  <c r="B90" i="3"/>
  <c r="N90" i="3"/>
  <c r="L89" i="3"/>
  <c r="M89" i="3"/>
  <c r="L88" i="3"/>
  <c r="M88" i="3"/>
  <c r="L87" i="3"/>
  <c r="M87" i="3"/>
  <c r="A87" i="3"/>
  <c r="A88" i="3"/>
  <c r="A89" i="3"/>
  <c r="B87" i="3"/>
  <c r="B88" i="3"/>
  <c r="B89" i="3"/>
  <c r="A86" i="3"/>
  <c r="B86" i="3"/>
  <c r="L86" i="3"/>
  <c r="M86" i="3"/>
  <c r="L85" i="3"/>
  <c r="M85" i="3"/>
  <c r="L84" i="3"/>
  <c r="M84" i="3"/>
  <c r="A84" i="3"/>
  <c r="B84" i="3"/>
  <c r="L83" i="3"/>
  <c r="M83" i="3"/>
  <c r="B83" i="3"/>
  <c r="A83" i="3"/>
  <c r="A82" i="3"/>
  <c r="B82" i="3"/>
  <c r="L82" i="3"/>
  <c r="M82" i="3"/>
  <c r="L81" i="3"/>
  <c r="M81" i="3"/>
  <c r="A81" i="3"/>
  <c r="B81" i="3"/>
  <c r="L80" i="3"/>
  <c r="M80" i="3"/>
  <c r="L79" i="3"/>
  <c r="M79" i="3"/>
  <c r="L78" i="3"/>
  <c r="M78" i="3"/>
  <c r="L77" i="3"/>
  <c r="M77" i="3"/>
  <c r="M76" i="3"/>
  <c r="L76" i="3"/>
  <c r="M75" i="3"/>
  <c r="L75" i="3"/>
  <c r="A75" i="3"/>
  <c r="A76" i="3"/>
  <c r="A77" i="3"/>
  <c r="A78" i="3"/>
  <c r="A79" i="3"/>
  <c r="A80" i="3"/>
  <c r="A85" i="3"/>
  <c r="B74" i="3"/>
  <c r="B75" i="3"/>
  <c r="B76" i="3"/>
  <c r="B77" i="3"/>
  <c r="B78" i="3"/>
  <c r="B79" i="3"/>
  <c r="B80" i="3"/>
  <c r="B85" i="3"/>
  <c r="M74" i="3"/>
  <c r="L74" i="3"/>
  <c r="M73" i="3"/>
  <c r="L73" i="3"/>
  <c r="N72" i="3"/>
  <c r="B72" i="3"/>
  <c r="I71" i="3"/>
  <c r="M71" i="3" s="1"/>
  <c r="B73" i="3"/>
  <c r="B71" i="3"/>
  <c r="B70" i="3"/>
  <c r="I70" i="3"/>
  <c r="N70" i="3" s="1"/>
  <c r="A70" i="3"/>
  <c r="A71" i="3"/>
  <c r="A72" i="3"/>
  <c r="A73" i="3"/>
  <c r="A74" i="3"/>
  <c r="A69" i="3"/>
  <c r="N69" i="3"/>
  <c r="B69" i="3"/>
  <c r="L62" i="4"/>
  <c r="O62" i="4" s="1"/>
  <c r="L138" i="4"/>
  <c r="O138" i="4" s="1"/>
  <c r="L641" i="4"/>
  <c r="O641" i="4" s="1"/>
  <c r="L633" i="4"/>
  <c r="O633" i="4" s="1"/>
  <c r="Q633" i="4" s="1"/>
  <c r="U633" i="4" s="1"/>
  <c r="L61" i="4"/>
  <c r="O61" i="4" s="1"/>
  <c r="R61" i="4" s="1"/>
  <c r="L60" i="4"/>
  <c r="O60" i="4" s="1"/>
  <c r="L133" i="4"/>
  <c r="O133" i="4" s="1"/>
  <c r="L132" i="4"/>
  <c r="O132" i="4" s="1"/>
  <c r="L131" i="4"/>
  <c r="O131" i="4" s="1"/>
  <c r="S131" i="4" s="1"/>
  <c r="L130" i="4"/>
  <c r="O130" i="4" s="1"/>
  <c r="R130" i="4" s="1"/>
  <c r="L129" i="4"/>
  <c r="O129" i="4" s="1"/>
  <c r="O128" i="4"/>
  <c r="S128" i="4" s="1"/>
  <c r="O127" i="4"/>
  <c r="S127" i="4" s="1"/>
  <c r="L126" i="4"/>
  <c r="O126" i="4" s="1"/>
  <c r="L125" i="4"/>
  <c r="O125" i="4" s="1"/>
  <c r="N93" i="3"/>
  <c r="N92" i="3"/>
  <c r="M68" i="3"/>
  <c r="L68" i="3"/>
  <c r="N67" i="3"/>
  <c r="N66" i="3"/>
  <c r="K65" i="3"/>
  <c r="N65" i="3" s="1"/>
  <c r="M64" i="3"/>
  <c r="L64" i="3"/>
  <c r="M63" i="3"/>
  <c r="L63" i="3"/>
  <c r="M62" i="3"/>
  <c r="L62" i="3"/>
  <c r="L61" i="3"/>
  <c r="M61" i="3"/>
  <c r="M60" i="3"/>
  <c r="L60" i="3"/>
  <c r="N59" i="3"/>
  <c r="L269" i="4"/>
  <c r="O269" i="4" s="1"/>
  <c r="L123" i="4"/>
  <c r="O123" i="4" s="1"/>
  <c r="Q123" i="4" s="1"/>
  <c r="U123" i="4" s="1"/>
  <c r="L122" i="4"/>
  <c r="O122" i="4" s="1"/>
  <c r="R122" i="4" s="1"/>
  <c r="L121" i="4"/>
  <c r="O121" i="4" s="1"/>
  <c r="L120" i="4"/>
  <c r="O120" i="4" s="1"/>
  <c r="S120" i="4" s="1"/>
  <c r="L119" i="4"/>
  <c r="O119" i="4" s="1"/>
  <c r="R119" i="4" s="1"/>
  <c r="L118" i="4"/>
  <c r="O118" i="4" s="1"/>
  <c r="S118" i="4" s="1"/>
  <c r="L117" i="4"/>
  <c r="O117" i="4" s="1"/>
  <c r="R117" i="4" s="1"/>
  <c r="L273" i="4"/>
  <c r="O273" i="4" s="1"/>
  <c r="L272" i="4"/>
  <c r="O272" i="4" s="1"/>
  <c r="L262" i="4"/>
  <c r="O262" i="4" s="1"/>
  <c r="L261" i="4"/>
  <c r="O261" i="4" s="1"/>
  <c r="R261" i="4" s="1"/>
  <c r="L520" i="4"/>
  <c r="O520" i="4" s="1"/>
  <c r="Q520" i="4" s="1"/>
  <c r="U520" i="4" s="1"/>
  <c r="B520" i="4"/>
  <c r="B261" i="4"/>
  <c r="A261" i="4"/>
  <c r="A520" i="4"/>
  <c r="B63" i="7"/>
  <c r="M58" i="3"/>
  <c r="L58" i="3"/>
  <c r="M57" i="3"/>
  <c r="L57" i="3"/>
  <c r="M56" i="3"/>
  <c r="L56" i="3"/>
  <c r="N86" i="3" l="1"/>
  <c r="N88" i="3"/>
  <c r="L43" i="3"/>
  <c r="N43" i="3" s="1"/>
  <c r="N99" i="3"/>
  <c r="N97" i="3"/>
  <c r="N89" i="3"/>
  <c r="N98" i="3"/>
  <c r="N101" i="3"/>
  <c r="N87" i="3"/>
  <c r="R169" i="4"/>
  <c r="S169" i="4"/>
  <c r="R170" i="4"/>
  <c r="U170" i="4" s="1"/>
  <c r="R166" i="4"/>
  <c r="U166" i="4" s="1"/>
  <c r="R150" i="4"/>
  <c r="S150" i="4"/>
  <c r="R82" i="4"/>
  <c r="S82" i="4"/>
  <c r="S98" i="4"/>
  <c r="R98" i="4"/>
  <c r="S161" i="4"/>
  <c r="R161" i="4"/>
  <c r="R162" i="4"/>
  <c r="S162" i="4"/>
  <c r="R160" i="4"/>
  <c r="S156" i="4"/>
  <c r="U156" i="4" s="1"/>
  <c r="S160" i="4"/>
  <c r="Q158" i="4"/>
  <c r="U158" i="4" s="1"/>
  <c r="R167" i="4"/>
  <c r="S167" i="4"/>
  <c r="S285" i="4"/>
  <c r="U285" i="4" s="1"/>
  <c r="R100" i="4"/>
  <c r="U100" i="4" s="1"/>
  <c r="S99" i="4"/>
  <c r="U99" i="4" s="1"/>
  <c r="R163" i="4"/>
  <c r="S163" i="4"/>
  <c r="S155" i="4"/>
  <c r="U155" i="4" s="1"/>
  <c r="R154" i="4"/>
  <c r="U154" i="4" s="1"/>
  <c r="R153" i="4"/>
  <c r="U153" i="4" s="1"/>
  <c r="R97" i="4"/>
  <c r="S97" i="4"/>
  <c r="S149" i="4"/>
  <c r="U149" i="4" s="1"/>
  <c r="S58" i="4"/>
  <c r="R58" i="4"/>
  <c r="R127" i="4"/>
  <c r="U127" i="4" s="1"/>
  <c r="S81" i="4"/>
  <c r="R81" i="4"/>
  <c r="S146" i="4"/>
  <c r="R146" i="4"/>
  <c r="R66" i="4"/>
  <c r="S66" i="4"/>
  <c r="S148" i="4"/>
  <c r="R148" i="4"/>
  <c r="S59" i="4"/>
  <c r="R59" i="4"/>
  <c r="S79" i="4"/>
  <c r="R79" i="4"/>
  <c r="S145" i="4"/>
  <c r="U145" i="4" s="1"/>
  <c r="R80" i="4"/>
  <c r="U80" i="4" s="1"/>
  <c r="S138" i="4"/>
  <c r="R138" i="4"/>
  <c r="S62" i="4"/>
  <c r="R62" i="4"/>
  <c r="S125" i="4"/>
  <c r="R125" i="4"/>
  <c r="Q641" i="4"/>
  <c r="U641" i="4" s="1"/>
  <c r="S126" i="4"/>
  <c r="R126" i="4"/>
  <c r="S60" i="4"/>
  <c r="R60" i="4"/>
  <c r="R121" i="4"/>
  <c r="S121" i="4"/>
  <c r="R262" i="4"/>
  <c r="S262" i="4"/>
  <c r="S272" i="4"/>
  <c r="R272" i="4"/>
  <c r="Q269" i="4"/>
  <c r="U269" i="4" s="1"/>
  <c r="R273" i="4"/>
  <c r="S273" i="4"/>
  <c r="S129" i="4"/>
  <c r="R129" i="4"/>
  <c r="S130" i="4"/>
  <c r="U130" i="4" s="1"/>
  <c r="R133" i="4"/>
  <c r="R128" i="4"/>
  <c r="U128" i="4" s="1"/>
  <c r="S133" i="4"/>
  <c r="R132" i="4"/>
  <c r="S132" i="4"/>
  <c r="N75" i="3"/>
  <c r="N82" i="3"/>
  <c r="N83" i="3"/>
  <c r="N81" i="3"/>
  <c r="N80" i="3"/>
  <c r="N84" i="3"/>
  <c r="N85" i="3"/>
  <c r="N56" i="3"/>
  <c r="N60" i="3"/>
  <c r="N78" i="3"/>
  <c r="L71" i="3"/>
  <c r="N71" i="3" s="1"/>
  <c r="N57" i="3"/>
  <c r="N62" i="3"/>
  <c r="N74" i="3"/>
  <c r="N77" i="3"/>
  <c r="N79" i="3"/>
  <c r="N76" i="3"/>
  <c r="N73" i="3"/>
  <c r="N61" i="3"/>
  <c r="N58" i="3"/>
  <c r="N68" i="3"/>
  <c r="N64" i="3"/>
  <c r="S61" i="4"/>
  <c r="U61" i="4" s="1"/>
  <c r="R131" i="4"/>
  <c r="U131" i="4" s="1"/>
  <c r="N63" i="3"/>
  <c r="S122" i="4"/>
  <c r="U122" i="4" s="1"/>
  <c r="R120" i="4"/>
  <c r="U120" i="4" s="1"/>
  <c r="S119" i="4"/>
  <c r="U119" i="4" s="1"/>
  <c r="R118" i="4"/>
  <c r="U118" i="4" s="1"/>
  <c r="S117" i="4"/>
  <c r="U117" i="4" s="1"/>
  <c r="S261" i="4"/>
  <c r="U261" i="4" s="1"/>
  <c r="N55" i="3"/>
  <c r="M54" i="3"/>
  <c r="L54" i="3"/>
  <c r="I53" i="3"/>
  <c r="K53" i="3" s="1"/>
  <c r="N53" i="3" s="1"/>
  <c r="N52" i="3"/>
  <c r="N51" i="3"/>
  <c r="L50" i="3"/>
  <c r="M50" i="3"/>
  <c r="M49" i="3"/>
  <c r="L49" i="3"/>
  <c r="U169" i="4" l="1"/>
  <c r="U161" i="4"/>
  <c r="U60" i="4"/>
  <c r="U82" i="4"/>
  <c r="U150" i="4"/>
  <c r="U272" i="4"/>
  <c r="U97" i="4"/>
  <c r="U138" i="4"/>
  <c r="U129" i="4"/>
  <c r="U98" i="4"/>
  <c r="U163" i="4"/>
  <c r="U167" i="4"/>
  <c r="U160" i="4"/>
  <c r="U162" i="4"/>
  <c r="U148" i="4"/>
  <c r="U58" i="4"/>
  <c r="U66" i="4"/>
  <c r="U146" i="4"/>
  <c r="U121" i="4"/>
  <c r="U81" i="4"/>
  <c r="U62" i="4"/>
  <c r="U79" i="4"/>
  <c r="U59" i="4"/>
  <c r="U132" i="4"/>
  <c r="U125" i="4"/>
  <c r="U133" i="4"/>
  <c r="U262" i="4"/>
  <c r="U126" i="4"/>
  <c r="U273" i="4"/>
  <c r="N54" i="3"/>
  <c r="N49" i="3"/>
  <c r="N50" i="3"/>
  <c r="L111" i="4"/>
  <c r="O111" i="4" s="1"/>
  <c r="R111" i="4" s="1"/>
  <c r="L110" i="4"/>
  <c r="O110" i="4" s="1"/>
  <c r="R110" i="4" s="1"/>
  <c r="B42" i="7"/>
  <c r="L109" i="4"/>
  <c r="O109" i="4" s="1"/>
  <c r="L108" i="4"/>
  <c r="O108" i="4" s="1"/>
  <c r="L632" i="4"/>
  <c r="O632" i="4" s="1"/>
  <c r="Q632" i="4" s="1"/>
  <c r="U632" i="4" s="1"/>
  <c r="L106" i="4"/>
  <c r="O106" i="4" s="1"/>
  <c r="L47" i="4"/>
  <c r="O47" i="4" s="1"/>
  <c r="R47" i="4" s="1"/>
  <c r="L46" i="4"/>
  <c r="O46" i="4" s="1"/>
  <c r="L103" i="4"/>
  <c r="O103" i="4" s="1"/>
  <c r="A260" i="4"/>
  <c r="A259" i="4"/>
  <c r="A258" i="4"/>
  <c r="A257" i="4"/>
  <c r="L260" i="4"/>
  <c r="O260" i="4" s="1"/>
  <c r="L259" i="4"/>
  <c r="O259" i="4" s="1"/>
  <c r="R259" i="4" s="1"/>
  <c r="L258" i="4"/>
  <c r="O258" i="4" s="1"/>
  <c r="L257" i="4"/>
  <c r="O257" i="4" s="1"/>
  <c r="L249" i="4"/>
  <c r="O249" i="4" s="1"/>
  <c r="S249" i="4" s="1"/>
  <c r="L236" i="4"/>
  <c r="O236" i="4" s="1"/>
  <c r="S236" i="4" s="1"/>
  <c r="A40" i="3"/>
  <c r="A41" i="3"/>
  <c r="A42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7" i="3"/>
  <c r="A128" i="3"/>
  <c r="A129" i="3"/>
  <c r="A130" i="3"/>
  <c r="A131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3" i="3"/>
  <c r="A164" i="3"/>
  <c r="A165" i="3"/>
  <c r="A166" i="3"/>
  <c r="A167" i="3"/>
  <c r="A168" i="3"/>
  <c r="A169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5" i="3"/>
  <c r="A216" i="3"/>
  <c r="A217" i="3"/>
  <c r="A227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94" i="3"/>
  <c r="A395" i="3"/>
  <c r="A397" i="3"/>
  <c r="A398" i="3"/>
  <c r="A399" i="3"/>
  <c r="A400" i="3"/>
  <c r="A401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L42" i="3"/>
  <c r="M42" i="3"/>
  <c r="B42" i="3"/>
  <c r="B41" i="3"/>
  <c r="L40" i="3"/>
  <c r="M40" i="3"/>
  <c r="B40" i="3"/>
  <c r="A39" i="3"/>
  <c r="B39" i="3"/>
  <c r="L39" i="3"/>
  <c r="M39" i="3"/>
  <c r="L32" i="3"/>
  <c r="L31" i="3"/>
  <c r="M31" i="3"/>
  <c r="M32" i="3"/>
  <c r="L33" i="3"/>
  <c r="M33" i="3"/>
  <c r="L34" i="3"/>
  <c r="M34" i="3"/>
  <c r="L35" i="3"/>
  <c r="M35" i="3"/>
  <c r="L36" i="3"/>
  <c r="M36" i="3"/>
  <c r="L37" i="3"/>
  <c r="M37" i="3"/>
  <c r="L38" i="3"/>
  <c r="M38" i="3"/>
  <c r="L41" i="3"/>
  <c r="M41" i="3"/>
  <c r="M30" i="3"/>
  <c r="L30" i="3"/>
  <c r="M29" i="3"/>
  <c r="L29" i="3"/>
  <c r="N42" i="3" l="1"/>
  <c r="N35" i="3"/>
  <c r="N33" i="3"/>
  <c r="N40" i="3"/>
  <c r="N31" i="3"/>
  <c r="N29" i="3"/>
  <c r="N39" i="3"/>
  <c r="N30" i="3"/>
  <c r="N37" i="3"/>
  <c r="N32" i="3"/>
  <c r="R46" i="4"/>
  <c r="S46" i="4"/>
  <c r="R258" i="4"/>
  <c r="S258" i="4"/>
  <c r="R108" i="4"/>
  <c r="S108" i="4"/>
  <c r="R109" i="4"/>
  <c r="S109" i="4"/>
  <c r="R106" i="4"/>
  <c r="S106" i="4"/>
  <c r="R257" i="4"/>
  <c r="S257" i="4"/>
  <c r="R260" i="4"/>
  <c r="S260" i="4"/>
  <c r="S103" i="4"/>
  <c r="R103" i="4"/>
  <c r="R236" i="4"/>
  <c r="U236" i="4" s="1"/>
  <c r="R249" i="4"/>
  <c r="U249" i="4" s="1"/>
  <c r="S111" i="4"/>
  <c r="U111" i="4" s="1"/>
  <c r="S110" i="4"/>
  <c r="U110" i="4" s="1"/>
  <c r="S47" i="4"/>
  <c r="U47" i="4" s="1"/>
  <c r="S259" i="4"/>
  <c r="U259" i="4" s="1"/>
  <c r="N41" i="3"/>
  <c r="N36" i="3"/>
  <c r="N38" i="3"/>
  <c r="N34" i="3"/>
  <c r="B30" i="3"/>
  <c r="B31" i="3"/>
  <c r="B32" i="3"/>
  <c r="B33" i="3"/>
  <c r="B34" i="3"/>
  <c r="B35" i="3"/>
  <c r="B36" i="3"/>
  <c r="B37" i="3"/>
  <c r="B38" i="3"/>
  <c r="A30" i="3"/>
  <c r="A31" i="3"/>
  <c r="A32" i="3"/>
  <c r="A33" i="3"/>
  <c r="A34" i="3"/>
  <c r="A35" i="3"/>
  <c r="A36" i="3"/>
  <c r="A37" i="3"/>
  <c r="A38" i="3"/>
  <c r="A29" i="3"/>
  <c r="B29" i="3"/>
  <c r="M48" i="3"/>
  <c r="L48" i="3"/>
  <c r="N47" i="3"/>
  <c r="M46" i="3"/>
  <c r="L46" i="3"/>
  <c r="M45" i="3"/>
  <c r="L45" i="3"/>
  <c r="N28" i="3"/>
  <c r="M27" i="3"/>
  <c r="L27" i="3"/>
  <c r="U260" i="4" l="1"/>
  <c r="U103" i="4"/>
  <c r="U46" i="4"/>
  <c r="N46" i="3"/>
  <c r="N48" i="3"/>
  <c r="U106" i="4"/>
  <c r="U109" i="4"/>
  <c r="U257" i="4"/>
  <c r="U108" i="4"/>
  <c r="U258" i="4"/>
  <c r="N27" i="3"/>
  <c r="N45" i="3"/>
  <c r="I26" i="3"/>
  <c r="M26" i="3" s="1"/>
  <c r="A26" i="3"/>
  <c r="A27" i="3"/>
  <c r="A28" i="3"/>
  <c r="B26" i="3"/>
  <c r="B27" i="3"/>
  <c r="B28" i="3"/>
  <c r="A25" i="3"/>
  <c r="A24" i="3"/>
  <c r="B25" i="3"/>
  <c r="N25" i="3"/>
  <c r="N24" i="3"/>
  <c r="B24" i="3"/>
  <c r="L268" i="4"/>
  <c r="O268" i="4" s="1"/>
  <c r="R268" i="4" s="1"/>
  <c r="L95" i="4"/>
  <c r="O95" i="4" s="1"/>
  <c r="L510" i="4"/>
  <c r="O510" i="4" s="1"/>
  <c r="Q510" i="4" s="1"/>
  <c r="U510" i="4" s="1"/>
  <c r="L93" i="4"/>
  <c r="O93" i="4" s="1"/>
  <c r="S93" i="4" s="1"/>
  <c r="L92" i="4"/>
  <c r="O92" i="4" s="1"/>
  <c r="L91" i="4"/>
  <c r="O91" i="4" s="1"/>
  <c r="L90" i="4"/>
  <c r="O90" i="4" s="1"/>
  <c r="L89" i="4"/>
  <c r="O89" i="4" s="1"/>
  <c r="L88" i="4"/>
  <c r="O88" i="4" s="1"/>
  <c r="L87" i="4"/>
  <c r="O87" i="4" s="1"/>
  <c r="L86" i="4"/>
  <c r="O86" i="4" s="1"/>
  <c r="L85" i="4"/>
  <c r="O85" i="4" s="1"/>
  <c r="L84" i="4"/>
  <c r="O84" i="4" s="1"/>
  <c r="L83" i="4"/>
  <c r="O83" i="4" s="1"/>
  <c r="R90" i="4" l="1"/>
  <c r="S90" i="4"/>
  <c r="S92" i="4"/>
  <c r="R92" i="4"/>
  <c r="R88" i="4"/>
  <c r="S88" i="4"/>
  <c r="S91" i="4"/>
  <c r="R91" i="4"/>
  <c r="R83" i="4"/>
  <c r="S83" i="4"/>
  <c r="R85" i="4"/>
  <c r="S85" i="4"/>
  <c r="S86" i="4"/>
  <c r="R86" i="4"/>
  <c r="Q95" i="4"/>
  <c r="U95" i="4" s="1"/>
  <c r="R87" i="4"/>
  <c r="S87" i="4"/>
  <c r="R93" i="4"/>
  <c r="U93" i="4" s="1"/>
  <c r="L26" i="3"/>
  <c r="N26" i="3" s="1"/>
  <c r="S268" i="4"/>
  <c r="U268" i="4" s="1"/>
  <c r="R89" i="4"/>
  <c r="S89" i="4"/>
  <c r="S84" i="4"/>
  <c r="R84" i="4"/>
  <c r="L605" i="4"/>
  <c r="O605" i="4" s="1"/>
  <c r="L596" i="4"/>
  <c r="O596" i="4" s="1"/>
  <c r="L221" i="4"/>
  <c r="O221" i="4" s="1"/>
  <c r="R221" i="4" s="1"/>
  <c r="L220" i="4"/>
  <c r="O220" i="4" s="1"/>
  <c r="B27" i="7"/>
  <c r="A5" i="7"/>
  <c r="B5" i="7"/>
  <c r="N44" i="3"/>
  <c r="M23" i="3"/>
  <c r="L23" i="3"/>
  <c r="N22" i="3"/>
  <c r="M21" i="3"/>
  <c r="L21" i="3"/>
  <c r="N20" i="3"/>
  <c r="N19" i="3"/>
  <c r="N18" i="3"/>
  <c r="N17" i="3"/>
  <c r="M16" i="3"/>
  <c r="L16" i="3"/>
  <c r="M15" i="3"/>
  <c r="L15" i="3"/>
  <c r="M14" i="3"/>
  <c r="L14" i="3"/>
  <c r="M13" i="3"/>
  <c r="L13" i="3"/>
  <c r="U91" i="4" l="1"/>
  <c r="U92" i="4"/>
  <c r="U86" i="4"/>
  <c r="U90" i="4"/>
  <c r="U84" i="4"/>
  <c r="N16" i="3"/>
  <c r="N23" i="3"/>
  <c r="U89" i="4"/>
  <c r="U85" i="4"/>
  <c r="U87" i="4"/>
  <c r="S220" i="4"/>
  <c r="R220" i="4"/>
  <c r="R596" i="4"/>
  <c r="S596" i="4"/>
  <c r="U83" i="4"/>
  <c r="U88" i="4"/>
  <c r="N13" i="3"/>
  <c r="N15" i="3"/>
  <c r="N21" i="3"/>
  <c r="N14" i="3"/>
  <c r="R605" i="4"/>
  <c r="S605" i="4"/>
  <c r="S221" i="4"/>
  <c r="U221" i="4" s="1"/>
  <c r="L78" i="4"/>
  <c r="O78" i="4" s="1"/>
  <c r="O77" i="4"/>
  <c r="O76" i="4"/>
  <c r="S76" i="4" s="1"/>
  <c r="O75" i="4"/>
  <c r="L74" i="4"/>
  <c r="O74" i="4" s="1"/>
  <c r="R74" i="4" s="1"/>
  <c r="L73" i="4"/>
  <c r="O73" i="4" s="1"/>
  <c r="R73" i="4" s="1"/>
  <c r="L72" i="4"/>
  <c r="O72" i="4" s="1"/>
  <c r="R72" i="4" s="1"/>
  <c r="L71" i="4"/>
  <c r="O71" i="4" s="1"/>
  <c r="L70" i="4"/>
  <c r="O70" i="4" s="1"/>
  <c r="L69" i="4"/>
  <c r="O69" i="4" s="1"/>
  <c r="S69" i="4" s="1"/>
  <c r="L45" i="4"/>
  <c r="O45" i="4" s="1"/>
  <c r="S45" i="4" s="1"/>
  <c r="L67" i="4"/>
  <c r="O67" i="4" s="1"/>
  <c r="L10" i="4"/>
  <c r="O10" i="4" s="1"/>
  <c r="Q10" i="4" s="1"/>
  <c r="U10" i="4" s="1"/>
  <c r="L65" i="4"/>
  <c r="O65" i="4" s="1"/>
  <c r="L64" i="4"/>
  <c r="O64" i="4" s="1"/>
  <c r="L63" i="4"/>
  <c r="O63" i="4" s="1"/>
  <c r="L508" i="4"/>
  <c r="O508" i="4" s="1"/>
  <c r="L497" i="4"/>
  <c r="O497" i="4" s="1"/>
  <c r="L484" i="4"/>
  <c r="O484" i="4" s="1"/>
  <c r="Q484" i="4" s="1"/>
  <c r="U484" i="4" s="1"/>
  <c r="B8" i="7"/>
  <c r="A8" i="7"/>
  <c r="M12" i="3"/>
  <c r="L12" i="3"/>
  <c r="A11" i="3"/>
  <c r="K11" i="3"/>
  <c r="N11" i="3" s="1"/>
  <c r="M10" i="3"/>
  <c r="L10" i="3"/>
  <c r="K9" i="3"/>
  <c r="N9" i="3" s="1"/>
  <c r="R76" i="4" l="1"/>
  <c r="U76" i="4" s="1"/>
  <c r="N12" i="3"/>
  <c r="U220" i="4"/>
  <c r="U596" i="4"/>
  <c r="S71" i="4"/>
  <c r="R71" i="4"/>
  <c r="S63" i="4"/>
  <c r="R63" i="4"/>
  <c r="S65" i="4"/>
  <c r="R65" i="4"/>
  <c r="S70" i="4"/>
  <c r="R70" i="4"/>
  <c r="Q508" i="4"/>
  <c r="U508" i="4" s="1"/>
  <c r="S64" i="4"/>
  <c r="R64" i="4"/>
  <c r="Q67" i="4"/>
  <c r="U67" i="4" s="1"/>
  <c r="Q497" i="4"/>
  <c r="U497" i="4" s="1"/>
  <c r="S78" i="4"/>
  <c r="R78" i="4"/>
  <c r="R77" i="4"/>
  <c r="S77" i="4"/>
  <c r="S75" i="4"/>
  <c r="R75" i="4"/>
  <c r="R69" i="4"/>
  <c r="U69" i="4" s="1"/>
  <c r="U605" i="4"/>
  <c r="N10" i="3"/>
  <c r="S74" i="4"/>
  <c r="U74" i="4" s="1"/>
  <c r="S73" i="4"/>
  <c r="U73" i="4" s="1"/>
  <c r="S72" i="4"/>
  <c r="U72" i="4" s="1"/>
  <c r="R45" i="4"/>
  <c r="U45" i="4" s="1"/>
  <c r="L595" i="4"/>
  <c r="O595" i="4" s="1"/>
  <c r="L594" i="4"/>
  <c r="O594" i="4" s="1"/>
  <c r="L593" i="4"/>
  <c r="O593" i="4" s="1"/>
  <c r="L592" i="4"/>
  <c r="O592" i="4" s="1"/>
  <c r="L55" i="4"/>
  <c r="O55" i="4" s="1"/>
  <c r="L591" i="4"/>
  <c r="O591" i="4" s="1"/>
  <c r="S591" i="4" s="1"/>
  <c r="L53" i="4"/>
  <c r="O53" i="4" s="1"/>
  <c r="L52" i="4"/>
  <c r="O52" i="4" s="1"/>
  <c r="L51" i="4"/>
  <c r="O51" i="4" s="1"/>
  <c r="L50" i="4"/>
  <c r="O50" i="4" s="1"/>
  <c r="L49" i="4"/>
  <c r="O49" i="4" s="1"/>
  <c r="L48" i="4"/>
  <c r="O48" i="4" s="1"/>
  <c r="L631" i="4"/>
  <c r="O631" i="4" s="1"/>
  <c r="L626" i="4"/>
  <c r="O626" i="4" s="1"/>
  <c r="Q626" i="4" s="1"/>
  <c r="U626" i="4" s="1"/>
  <c r="L483" i="4"/>
  <c r="O483" i="4" s="1"/>
  <c r="L466" i="4"/>
  <c r="O466" i="4" s="1"/>
  <c r="L465" i="4"/>
  <c r="O465" i="4" s="1"/>
  <c r="Q465" i="4" s="1"/>
  <c r="U465" i="4" s="1"/>
  <c r="B24" i="7"/>
  <c r="B23" i="7"/>
  <c r="B22" i="7"/>
  <c r="B10" i="7"/>
  <c r="L44" i="4"/>
  <c r="O44" i="4" s="1"/>
  <c r="R44" i="4" s="1"/>
  <c r="L43" i="4"/>
  <c r="O43" i="4" s="1"/>
  <c r="S43" i="4" s="1"/>
  <c r="O40" i="4"/>
  <c r="S40" i="4" s="1"/>
  <c r="L39" i="4"/>
  <c r="O39" i="4" s="1"/>
  <c r="Q39" i="4" s="1"/>
  <c r="U39" i="4" s="1"/>
  <c r="L38" i="4"/>
  <c r="O38" i="4" s="1"/>
  <c r="L42" i="4"/>
  <c r="O42" i="4" s="1"/>
  <c r="L41" i="4"/>
  <c r="O41" i="4" s="1"/>
  <c r="L454" i="4"/>
  <c r="O454" i="4" s="1"/>
  <c r="L34" i="4"/>
  <c r="O34" i="4" s="1"/>
  <c r="Q34" i="4" s="1"/>
  <c r="U34" i="4" s="1"/>
  <c r="L33" i="4"/>
  <c r="O33" i="4" s="1"/>
  <c r="L32" i="4"/>
  <c r="O32" i="4" s="1"/>
  <c r="S32" i="4" s="1"/>
  <c r="L31" i="4"/>
  <c r="O31" i="4" s="1"/>
  <c r="L215" i="4"/>
  <c r="O215" i="4" s="1"/>
  <c r="L36" i="4"/>
  <c r="O36" i="4" s="1"/>
  <c r="R36" i="4" s="1"/>
  <c r="L590" i="4"/>
  <c r="O590" i="4" s="1"/>
  <c r="L589" i="4"/>
  <c r="O589" i="4" s="1"/>
  <c r="U70" i="4" l="1"/>
  <c r="U64" i="4"/>
  <c r="U75" i="4"/>
  <c r="U65" i="4"/>
  <c r="U78" i="4"/>
  <c r="U71" i="4"/>
  <c r="U77" i="4"/>
  <c r="U63" i="4"/>
  <c r="S593" i="4"/>
  <c r="R593" i="4"/>
  <c r="R594" i="4"/>
  <c r="S594" i="4"/>
  <c r="S595" i="4"/>
  <c r="R595" i="4"/>
  <c r="S53" i="4"/>
  <c r="R53" i="4"/>
  <c r="R55" i="4"/>
  <c r="S55" i="4"/>
  <c r="S592" i="4"/>
  <c r="R592" i="4"/>
  <c r="R591" i="4"/>
  <c r="U591" i="4" s="1"/>
  <c r="S52" i="4"/>
  <c r="R52" i="4"/>
  <c r="R41" i="4"/>
  <c r="S41" i="4"/>
  <c r="S42" i="4"/>
  <c r="R42" i="4"/>
  <c r="R38" i="4"/>
  <c r="S38" i="4"/>
  <c r="R215" i="4"/>
  <c r="S215" i="4"/>
  <c r="Q631" i="4"/>
  <c r="U631" i="4" s="1"/>
  <c r="S48" i="4"/>
  <c r="R48" i="4"/>
  <c r="R590" i="4"/>
  <c r="S590" i="4"/>
  <c r="S49" i="4"/>
  <c r="R49" i="4"/>
  <c r="R51" i="4"/>
  <c r="S51" i="4"/>
  <c r="R589" i="4"/>
  <c r="S589" i="4"/>
  <c r="Q466" i="4"/>
  <c r="U466" i="4" s="1"/>
  <c r="Q483" i="4"/>
  <c r="U483" i="4" s="1"/>
  <c r="S33" i="4"/>
  <c r="R33" i="4"/>
  <c r="R50" i="4"/>
  <c r="S50" i="4"/>
  <c r="R40" i="4"/>
  <c r="U40" i="4" s="1"/>
  <c r="S36" i="4"/>
  <c r="U36" i="4" s="1"/>
  <c r="Q454" i="4"/>
  <c r="U454" i="4" s="1"/>
  <c r="R43" i="4"/>
  <c r="U43" i="4" s="1"/>
  <c r="S44" i="4"/>
  <c r="U44" i="4" s="1"/>
  <c r="R32" i="4"/>
  <c r="U32" i="4" s="1"/>
  <c r="R31" i="4"/>
  <c r="S31" i="4"/>
  <c r="U593" i="4" l="1"/>
  <c r="U53" i="4"/>
  <c r="U42" i="4"/>
  <c r="U595" i="4"/>
  <c r="U48" i="4"/>
  <c r="U215" i="4"/>
  <c r="U55" i="4"/>
  <c r="U594" i="4"/>
  <c r="U592" i="4"/>
  <c r="U33" i="4"/>
  <c r="U41" i="4"/>
  <c r="U590" i="4"/>
  <c r="U51" i="4"/>
  <c r="U38" i="4"/>
  <c r="U589" i="4"/>
  <c r="U52" i="4"/>
  <c r="U50" i="4"/>
  <c r="U31" i="4"/>
  <c r="U49" i="4"/>
  <c r="L559" i="4"/>
  <c r="O559" i="4" s="1"/>
  <c r="L558" i="4"/>
  <c r="O558" i="4" s="1"/>
  <c r="L557" i="4"/>
  <c r="O557" i="4" s="1"/>
  <c r="L556" i="4"/>
  <c r="O556" i="4" s="1"/>
  <c r="L555" i="4"/>
  <c r="O555" i="4" s="1"/>
  <c r="L554" i="4"/>
  <c r="O554" i="4" s="1"/>
  <c r="M8" i="3"/>
  <c r="L8" i="3"/>
  <c r="N7" i="3"/>
  <c r="M6" i="3"/>
  <c r="L6" i="3"/>
  <c r="N8" i="3" l="1"/>
  <c r="N6" i="3"/>
  <c r="S559" i="4"/>
  <c r="R559" i="4"/>
  <c r="S554" i="4"/>
  <c r="R554" i="4"/>
  <c r="S556" i="4"/>
  <c r="R556" i="4"/>
  <c r="S557" i="4"/>
  <c r="R557" i="4"/>
  <c r="S558" i="4"/>
  <c r="R558" i="4"/>
  <c r="R555" i="4"/>
  <c r="S555" i="4"/>
  <c r="L20" i="4"/>
  <c r="O20" i="4" s="1"/>
  <c r="L19" i="4"/>
  <c r="O19" i="4" s="1"/>
  <c r="S19" i="4" s="1"/>
  <c r="L18" i="4"/>
  <c r="O18" i="4" s="1"/>
  <c r="R18" i="4" s="1"/>
  <c r="L17" i="4"/>
  <c r="O17" i="4" s="1"/>
  <c r="L57" i="4"/>
  <c r="O57" i="4" s="1"/>
  <c r="L56" i="4"/>
  <c r="O56" i="4" s="1"/>
  <c r="L54" i="4"/>
  <c r="O54" i="4" s="1"/>
  <c r="L30" i="4"/>
  <c r="O30" i="4" s="1"/>
  <c r="R30" i="4" s="1"/>
  <c r="M5" i="3"/>
  <c r="L5" i="3"/>
  <c r="N4" i="3"/>
  <c r="U557" i="4" l="1"/>
  <c r="U559" i="4"/>
  <c r="U558" i="4"/>
  <c r="U555" i="4"/>
  <c r="U556" i="4"/>
  <c r="N5" i="3"/>
  <c r="U554" i="4"/>
  <c r="S57" i="4"/>
  <c r="R57" i="4"/>
  <c r="S54" i="4"/>
  <c r="R54" i="4"/>
  <c r="S56" i="4"/>
  <c r="R56" i="4"/>
  <c r="R17" i="4"/>
  <c r="S17" i="4"/>
  <c r="S20" i="4"/>
  <c r="R20" i="4"/>
  <c r="S30" i="4"/>
  <c r="U30" i="4" s="1"/>
  <c r="S18" i="4"/>
  <c r="U18" i="4" s="1"/>
  <c r="R19" i="4"/>
  <c r="U19" i="4" s="1"/>
  <c r="L625" i="4"/>
  <c r="O625" i="4" s="1"/>
  <c r="Q625" i="4" s="1"/>
  <c r="L453" i="4"/>
  <c r="O453" i="4" s="1"/>
  <c r="Q453" i="4" s="1"/>
  <c r="U453" i="4" s="1"/>
  <c r="L4" i="4"/>
  <c r="O4" i="4" s="1"/>
  <c r="L9" i="4"/>
  <c r="O9" i="4" s="1"/>
  <c r="L8" i="4"/>
  <c r="O8" i="4" s="1"/>
  <c r="Q8" i="4" s="1"/>
  <c r="U8" i="4" s="1"/>
  <c r="L452" i="4"/>
  <c r="O452" i="4" s="1"/>
  <c r="L7" i="4"/>
  <c r="O7" i="4" s="1"/>
  <c r="Q7" i="4" s="1"/>
  <c r="U7" i="4" s="1"/>
  <c r="L201" i="4"/>
  <c r="O201" i="4" s="1"/>
  <c r="L5" i="4"/>
  <c r="O5" i="4" s="1"/>
  <c r="A6" i="7"/>
  <c r="A7" i="7"/>
  <c r="A9" i="7"/>
  <c r="A10" i="7"/>
  <c r="A11" i="7"/>
  <c r="A12" i="7"/>
  <c r="A13" i="7"/>
  <c r="A14" i="7"/>
  <c r="A15" i="7"/>
  <c r="A16" i="7"/>
  <c r="A17" i="7"/>
  <c r="B6" i="7"/>
  <c r="B7" i="7"/>
  <c r="B9" i="7"/>
  <c r="B11" i="7"/>
  <c r="B12" i="7"/>
  <c r="B13" i="7"/>
  <c r="B14" i="7"/>
  <c r="B15" i="7"/>
  <c r="B16" i="7"/>
  <c r="B17" i="7"/>
  <c r="B18" i="7"/>
  <c r="B19" i="7"/>
  <c r="B20" i="7"/>
  <c r="B21" i="7"/>
  <c r="B25" i="7"/>
  <c r="B26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4" i="7"/>
  <c r="B65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1" i="7"/>
  <c r="B82" i="7"/>
  <c r="B83" i="7"/>
  <c r="B84" i="7"/>
  <c r="B85" i="7"/>
  <c r="B86" i="7"/>
  <c r="B87" i="7"/>
  <c r="B88" i="7"/>
  <c r="B89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4" i="7"/>
  <c r="B115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2" i="7"/>
  <c r="B143" i="7"/>
  <c r="B144" i="7"/>
  <c r="B145" i="7"/>
  <c r="B146" i="7"/>
  <c r="B148" i="7"/>
  <c r="B149" i="7"/>
  <c r="B150" i="7"/>
  <c r="B151" i="7"/>
  <c r="B152" i="7"/>
  <c r="B153" i="7"/>
  <c r="B154" i="7"/>
  <c r="B158" i="7"/>
  <c r="B160" i="7"/>
  <c r="B161" i="7"/>
  <c r="B162" i="7"/>
  <c r="B163" i="7"/>
  <c r="B165" i="7"/>
  <c r="B166" i="7"/>
  <c r="B167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8" i="7"/>
  <c r="B229" i="7"/>
  <c r="B230" i="7"/>
  <c r="B232" i="7"/>
  <c r="B233" i="7"/>
  <c r="B234" i="7"/>
  <c r="B235" i="7"/>
  <c r="B236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1" i="7"/>
  <c r="B272" i="7"/>
  <c r="B273" i="7"/>
  <c r="B274" i="7"/>
  <c r="B275" i="7"/>
  <c r="B276" i="7"/>
  <c r="B283" i="7"/>
  <c r="B284" i="7"/>
  <c r="B285" i="7"/>
  <c r="B287" i="7"/>
  <c r="B288" i="7"/>
  <c r="B289" i="7"/>
  <c r="B290" i="7"/>
  <c r="B291" i="7"/>
  <c r="B292" i="7"/>
  <c r="B293" i="7"/>
  <c r="B296" i="7"/>
  <c r="B297" i="7"/>
  <c r="B298" i="7"/>
  <c r="B299" i="7"/>
  <c r="B300" i="7"/>
  <c r="B302" i="7"/>
  <c r="B303" i="7"/>
  <c r="B305" i="7"/>
  <c r="B306" i="7"/>
  <c r="B307" i="7"/>
  <c r="B308" i="7"/>
  <c r="B309" i="7"/>
  <c r="B310" i="7"/>
  <c r="B311" i="7"/>
  <c r="B313" i="7"/>
  <c r="B314" i="7"/>
  <c r="B323" i="7"/>
  <c r="B324" i="7"/>
  <c r="B325" i="7"/>
  <c r="B326" i="7"/>
  <c r="B327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62" i="7"/>
  <c r="B378" i="7"/>
  <c r="B375" i="7"/>
  <c r="B376" i="7"/>
  <c r="B377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7" i="7"/>
  <c r="B428" i="7"/>
  <c r="B429" i="7"/>
  <c r="B430" i="7"/>
  <c r="B431" i="7"/>
  <c r="B432" i="7"/>
  <c r="B433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4" i="7"/>
  <c r="A4" i="7"/>
  <c r="A4" i="3"/>
  <c r="A5" i="3"/>
  <c r="A6" i="3"/>
  <c r="A7" i="3"/>
  <c r="B12" i="3"/>
  <c r="U56" i="4" l="1"/>
  <c r="U54" i="4"/>
  <c r="U57" i="4"/>
  <c r="U20" i="4"/>
  <c r="S201" i="4"/>
  <c r="R201" i="4"/>
  <c r="U17" i="4"/>
  <c r="Q9" i="4"/>
  <c r="U9" i="4" s="1"/>
  <c r="S4" i="4"/>
  <c r="Q452" i="4"/>
  <c r="U452" i="4" s="1"/>
  <c r="R4" i="4"/>
  <c r="U625" i="4"/>
  <c r="S5" i="4"/>
  <c r="R5" i="4"/>
  <c r="U4" i="4" l="1"/>
  <c r="U201" i="4"/>
  <c r="U5" i="4"/>
  <c r="A4" i="4"/>
  <c r="B4" i="4"/>
  <c r="A5" i="4"/>
  <c r="B5" i="4"/>
  <c r="A201" i="4"/>
  <c r="B201" i="4"/>
  <c r="A7" i="4"/>
  <c r="B7" i="4"/>
  <c r="A452" i="4"/>
  <c r="B452" i="4"/>
  <c r="A8" i="4"/>
  <c r="B8" i="4"/>
  <c r="A9" i="4"/>
  <c r="B56" i="4"/>
  <c r="B57" i="4"/>
  <c r="B18" i="4"/>
  <c r="B19" i="4"/>
  <c r="B20" i="4"/>
  <c r="B554" i="4"/>
  <c r="B555" i="4"/>
  <c r="B556" i="4"/>
  <c r="B559" i="4"/>
  <c r="B589" i="4"/>
  <c r="B215" i="4"/>
  <c r="B31" i="4"/>
  <c r="B32" i="4"/>
  <c r="B34" i="4"/>
  <c r="B454" i="4"/>
  <c r="B38" i="4"/>
  <c r="B39" i="4"/>
  <c r="B40" i="4"/>
  <c r="B43" i="4"/>
  <c r="B44" i="4"/>
  <c r="B465" i="4"/>
  <c r="B483" i="4"/>
  <c r="B626" i="4"/>
  <c r="B631" i="4"/>
  <c r="B48" i="4"/>
  <c r="B49" i="4"/>
  <c r="B50" i="4"/>
  <c r="B51" i="4"/>
  <c r="B591" i="4"/>
  <c r="B55" i="4"/>
  <c r="B592" i="4"/>
  <c r="B593" i="4"/>
  <c r="B594" i="4"/>
  <c r="B595" i="4"/>
  <c r="B484" i="4"/>
  <c r="B497" i="4"/>
  <c r="B508" i="4"/>
  <c r="B64" i="4"/>
  <c r="B65" i="4"/>
  <c r="B10" i="4"/>
  <c r="B67" i="4"/>
  <c r="B45" i="4"/>
  <c r="B69" i="4"/>
  <c r="B70" i="4"/>
  <c r="B71" i="4"/>
  <c r="B72" i="4"/>
  <c r="B73" i="4"/>
  <c r="B74" i="4"/>
  <c r="B75" i="4"/>
  <c r="B76" i="4"/>
  <c r="B77" i="4"/>
  <c r="B78" i="4"/>
  <c r="B220" i="4"/>
  <c r="B221" i="4"/>
  <c r="B605" i="4"/>
  <c r="B83" i="4"/>
  <c r="B84" i="4"/>
  <c r="B85" i="4"/>
  <c r="B89" i="4"/>
  <c r="B91" i="4"/>
  <c r="B92" i="4"/>
  <c r="B510" i="4"/>
  <c r="B95" i="4"/>
  <c r="B268" i="4"/>
  <c r="B236" i="4"/>
  <c r="B249" i="4"/>
  <c r="B257" i="4"/>
  <c r="B260" i="4"/>
  <c r="B103" i="4"/>
  <c r="B46" i="4"/>
  <c r="B47" i="4"/>
  <c r="B109" i="4"/>
  <c r="B111" i="4"/>
  <c r="B262" i="4"/>
  <c r="B272" i="4"/>
  <c r="B273" i="4"/>
  <c r="B117" i="4"/>
  <c r="B118" i="4"/>
  <c r="B119" i="4"/>
  <c r="B121" i="4"/>
  <c r="B125" i="4"/>
  <c r="B126" i="4"/>
  <c r="B131" i="4"/>
  <c r="B132" i="4"/>
  <c r="B133" i="4"/>
  <c r="B60" i="4"/>
  <c r="B61" i="4"/>
  <c r="B633" i="4"/>
  <c r="B641" i="4"/>
  <c r="B138" i="4"/>
  <c r="B62" i="4"/>
  <c r="B80" i="4"/>
  <c r="B81" i="4"/>
  <c r="B145" i="4"/>
  <c r="B146" i="4"/>
  <c r="B66" i="4"/>
  <c r="B148" i="4"/>
  <c r="B149" i="4"/>
  <c r="B150" i="4"/>
  <c r="B97" i="4"/>
  <c r="B153" i="4"/>
  <c r="B154" i="4"/>
  <c r="B155" i="4"/>
  <c r="B156" i="4"/>
  <c r="B157" i="4"/>
  <c r="B158" i="4"/>
  <c r="B98" i="4"/>
  <c r="B160" i="4"/>
  <c r="B161" i="4"/>
  <c r="B162" i="4"/>
  <c r="B163" i="4"/>
  <c r="B166" i="4"/>
  <c r="B167" i="4"/>
  <c r="B285" i="4"/>
  <c r="B169" i="4"/>
  <c r="B170" i="4"/>
  <c r="B172" i="4"/>
  <c r="B173" i="4"/>
  <c r="B175" i="4"/>
  <c r="B176" i="4"/>
  <c r="B177" i="4"/>
  <c r="B178" i="4"/>
  <c r="B68" i="4"/>
  <c r="B94" i="4"/>
  <c r="B181" i="4"/>
  <c r="B274" i="4"/>
  <c r="B275" i="4"/>
  <c r="B276" i="4"/>
  <c r="B96" i="4"/>
  <c r="B186" i="4"/>
  <c r="B187" i="4"/>
  <c r="B188" i="4"/>
  <c r="B189" i="4"/>
  <c r="B279" i="4"/>
  <c r="B280" i="4"/>
  <c r="B281" i="4"/>
  <c r="B282" i="4"/>
  <c r="B560" i="4"/>
  <c r="B561" i="4"/>
  <c r="B208" i="4"/>
  <c r="B209" i="4"/>
  <c r="B210" i="4"/>
  <c r="B211" i="4"/>
  <c r="B212" i="4"/>
  <c r="B213" i="4"/>
  <c r="B546" i="4"/>
  <c r="B642" i="4"/>
  <c r="B217" i="4"/>
  <c r="B218" i="4"/>
  <c r="B219" i="4"/>
  <c r="B101" i="4"/>
  <c r="B102" i="4"/>
  <c r="B113" i="4"/>
  <c r="B114" i="4"/>
  <c r="B224" i="4"/>
  <c r="B225" i="4"/>
  <c r="B227" i="4"/>
  <c r="B289" i="4"/>
  <c r="B290" i="4"/>
  <c r="B230" i="4"/>
  <c r="B231" i="4"/>
  <c r="B140" i="4"/>
  <c r="B286" i="4"/>
  <c r="B238" i="4"/>
  <c r="B239" i="4"/>
  <c r="B240" i="4"/>
  <c r="B241" i="4"/>
  <c r="B242" i="4"/>
  <c r="B243" i="4"/>
  <c r="B643" i="4"/>
  <c r="B652" i="4"/>
  <c r="B653" i="4"/>
  <c r="B251" i="4"/>
  <c r="B252" i="4"/>
  <c r="B253" i="4"/>
  <c r="B254" i="4"/>
  <c r="B255" i="4"/>
  <c r="B256" i="4"/>
  <c r="B293" i="4"/>
  <c r="B294" i="4"/>
  <c r="B295" i="4"/>
  <c r="B263" i="4"/>
  <c r="B264" i="4"/>
  <c r="B313" i="4"/>
  <c r="B314" i="4"/>
  <c r="B315" i="4"/>
  <c r="B318" i="4"/>
  <c r="B613" i="4"/>
  <c r="B341" i="4"/>
  <c r="B407" i="4"/>
  <c r="B408" i="4"/>
  <c r="B104" i="4"/>
  <c r="B105" i="4"/>
  <c r="B615" i="4"/>
  <c r="B616" i="4"/>
  <c r="B617" i="4"/>
  <c r="B409" i="4"/>
  <c r="B410" i="4"/>
  <c r="B411" i="4"/>
  <c r="B412" i="4"/>
  <c r="B416" i="4"/>
  <c r="B417" i="4"/>
  <c r="B296" i="4"/>
  <c r="B299" i="4"/>
  <c r="B300" i="4"/>
  <c r="B303" i="4"/>
  <c r="B304" i="4"/>
  <c r="B305" i="4"/>
  <c r="B306" i="4"/>
  <c r="B307" i="4"/>
  <c r="B308" i="4"/>
  <c r="B309" i="4"/>
  <c r="B107" i="4"/>
  <c r="B112" i="4"/>
  <c r="B6" i="4"/>
  <c r="B13" i="4"/>
  <c r="B124" i="4"/>
  <c r="B628" i="4"/>
  <c r="B629" i="4"/>
  <c r="B321" i="4"/>
  <c r="B570" i="4"/>
  <c r="B21" i="4"/>
  <c r="B327" i="4"/>
  <c r="B328" i="4"/>
  <c r="B329" i="4"/>
  <c r="B330" i="4"/>
  <c r="B333" i="4"/>
  <c r="B334" i="4"/>
  <c r="B336" i="4"/>
  <c r="B337" i="4"/>
  <c r="B338" i="4"/>
  <c r="B339" i="4"/>
  <c r="B340" i="4"/>
  <c r="B630" i="4"/>
  <c r="B342" i="4"/>
  <c r="B343" i="4"/>
  <c r="B344" i="4"/>
  <c r="B345" i="4"/>
  <c r="B346" i="4"/>
  <c r="B347" i="4"/>
  <c r="B348" i="4"/>
  <c r="B349" i="4"/>
  <c r="B352" i="4"/>
  <c r="B353" i="4"/>
  <c r="B354" i="4"/>
  <c r="B355" i="4"/>
  <c r="B356" i="4"/>
  <c r="B357" i="4"/>
  <c r="B358" i="4"/>
  <c r="B359" i="4"/>
  <c r="B360" i="4"/>
  <c r="B361" i="4"/>
  <c r="B135" i="4"/>
  <c r="B364" i="4"/>
  <c r="B367" i="4"/>
  <c r="B368" i="4"/>
  <c r="B369" i="4"/>
  <c r="B370" i="4"/>
  <c r="B371" i="4"/>
  <c r="B372" i="4"/>
  <c r="B373" i="4"/>
  <c r="B375" i="4"/>
  <c r="B376" i="4"/>
  <c r="B377" i="4"/>
  <c r="B378" i="4"/>
  <c r="B379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7" i="4"/>
  <c r="B398" i="4"/>
  <c r="B400" i="4"/>
  <c r="B401" i="4"/>
  <c r="B402" i="4"/>
  <c r="B403" i="4"/>
  <c r="B404" i="4"/>
  <c r="B406" i="4"/>
  <c r="B419" i="4"/>
  <c r="B440" i="4"/>
  <c r="B441" i="4"/>
  <c r="B445" i="4"/>
  <c r="B11" i="4"/>
  <c r="B414" i="4"/>
  <c r="B446" i="4"/>
  <c r="B447" i="4"/>
  <c r="B448" i="4"/>
  <c r="B474" i="4"/>
  <c r="B424" i="4"/>
  <c r="B425" i="4"/>
  <c r="B426" i="4"/>
  <c r="B427" i="4"/>
  <c r="B428" i="4"/>
  <c r="B430" i="4"/>
  <c r="B432" i="4"/>
  <c r="B433" i="4"/>
  <c r="B435" i="4"/>
  <c r="B436" i="4"/>
  <c r="B437" i="4"/>
  <c r="B439" i="4"/>
  <c r="B22" i="4"/>
  <c r="B23" i="4"/>
  <c r="B444" i="4"/>
  <c r="B25" i="4"/>
  <c r="B27" i="4"/>
  <c r="B28" i="4"/>
  <c r="B449" i="4"/>
  <c r="B450" i="4"/>
  <c r="B451" i="4"/>
  <c r="B571" i="4"/>
  <c r="B582" i="4"/>
  <c r="B455" i="4"/>
  <c r="B456" i="4"/>
  <c r="B457" i="4"/>
  <c r="B464" i="4"/>
  <c r="B137" i="4"/>
  <c r="B37" i="4"/>
  <c r="B467" i="4"/>
  <c r="B468" i="4"/>
  <c r="B469" i="4"/>
  <c r="B470" i="4"/>
  <c r="B471" i="4"/>
  <c r="B472" i="4"/>
  <c r="B473" i="4"/>
  <c r="B141" i="4"/>
  <c r="B142" i="4"/>
  <c r="B143" i="4"/>
  <c r="B144" i="4"/>
  <c r="B478" i="4"/>
  <c r="B479" i="4"/>
  <c r="B480" i="4"/>
  <c r="B481" i="4"/>
  <c r="B482" i="4"/>
  <c r="B139" i="4"/>
  <c r="B310" i="4"/>
  <c r="B485" i="4"/>
  <c r="B486" i="4"/>
  <c r="B487" i="4"/>
  <c r="B151" i="4"/>
  <c r="B152" i="4"/>
  <c r="B491" i="4"/>
  <c r="B492" i="4"/>
  <c r="B493" i="4"/>
  <c r="B494" i="4"/>
  <c r="B495" i="4"/>
  <c r="B159" i="4"/>
  <c r="B583" i="4"/>
  <c r="B498" i="4"/>
  <c r="B499" i="4"/>
  <c r="B500" i="4"/>
  <c r="B501" i="4"/>
  <c r="B502" i="4"/>
  <c r="B503" i="4"/>
  <c r="B504" i="4"/>
  <c r="B505" i="4"/>
  <c r="B506" i="4"/>
  <c r="B507" i="4"/>
  <c r="B147" i="4"/>
  <c r="B222" i="4"/>
  <c r="B168" i="4"/>
  <c r="B511" i="4"/>
  <c r="B512" i="4"/>
  <c r="B513" i="4"/>
  <c r="B514" i="4"/>
  <c r="B515" i="4"/>
  <c r="B516" i="4"/>
  <c r="B517" i="4"/>
  <c r="B518" i="4"/>
  <c r="B519" i="4"/>
  <c r="B658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475" i="4"/>
  <c r="B476" i="4"/>
  <c r="B477" i="4"/>
  <c r="B489" i="4"/>
  <c r="B490" i="4"/>
  <c r="B547" i="4"/>
  <c r="B548" i="4"/>
  <c r="B549" i="4"/>
  <c r="B550" i="4"/>
  <c r="B551" i="4"/>
  <c r="B552" i="4"/>
  <c r="B553" i="4"/>
  <c r="B496" i="4"/>
  <c r="B509" i="4"/>
  <c r="B542" i="4"/>
  <c r="B543" i="4"/>
  <c r="B544" i="4"/>
  <c r="B545" i="4"/>
  <c r="B311" i="4"/>
  <c r="B12" i="4"/>
  <c r="B562" i="4"/>
  <c r="B563" i="4"/>
  <c r="B587" i="4"/>
  <c r="B179" i="4"/>
  <c r="B566" i="4"/>
  <c r="B567" i="4"/>
  <c r="B568" i="4"/>
  <c r="B569" i="4"/>
  <c r="B316" i="4"/>
  <c r="B573" i="4"/>
  <c r="B574" i="4"/>
  <c r="B575" i="4"/>
  <c r="B576" i="4"/>
  <c r="B577" i="4"/>
  <c r="B578" i="4"/>
  <c r="B579" i="4"/>
  <c r="B180" i="4"/>
  <c r="B581" i="4"/>
  <c r="B29" i="4"/>
  <c r="B35" i="4"/>
  <c r="B584" i="4"/>
  <c r="B585" i="4"/>
  <c r="B586" i="4"/>
  <c r="B185" i="4"/>
  <c r="B588" i="4"/>
  <c r="B164" i="4"/>
  <c r="B165" i="4"/>
  <c r="B229" i="4"/>
  <c r="B223" i="4"/>
  <c r="B182" i="4"/>
  <c r="B183" i="4"/>
  <c r="B184" i="4"/>
  <c r="B190" i="4"/>
  <c r="B597" i="4"/>
  <c r="B598" i="4"/>
  <c r="B599" i="4"/>
  <c r="B600" i="4"/>
  <c r="B601" i="4"/>
  <c r="B602" i="4"/>
  <c r="B603" i="4"/>
  <c r="B604" i="4"/>
  <c r="B228" i="4"/>
  <c r="B606" i="4"/>
  <c r="B607" i="4"/>
  <c r="B608" i="4"/>
  <c r="B609" i="4"/>
  <c r="B362" i="4"/>
  <c r="B191" i="4"/>
  <c r="B192" i="4"/>
  <c r="B193" i="4"/>
  <c r="B194" i="4"/>
  <c r="B195" i="4"/>
  <c r="B198" i="4"/>
  <c r="B232" i="4"/>
  <c r="B618" i="4"/>
  <c r="B619" i="4"/>
  <c r="B620" i="4"/>
  <c r="B621" i="4"/>
  <c r="B622" i="4"/>
  <c r="B623" i="4"/>
  <c r="B624" i="4"/>
  <c r="B196" i="4"/>
  <c r="B197" i="4"/>
  <c r="B627" i="4"/>
  <c r="B634" i="4"/>
  <c r="B635" i="4"/>
  <c r="B636" i="4"/>
  <c r="B216" i="4"/>
  <c r="B237" i="4"/>
  <c r="B244" i="4"/>
  <c r="B637" i="4"/>
  <c r="B646" i="4"/>
  <c r="B647" i="4"/>
  <c r="B654" i="4"/>
  <c r="B638" i="4"/>
  <c r="B639" i="4"/>
  <c r="B640" i="4"/>
  <c r="B610" i="4"/>
  <c r="B245" i="4"/>
  <c r="B246" i="4"/>
  <c r="B644" i="4"/>
  <c r="B645" i="4"/>
  <c r="B199" i="4"/>
  <c r="B200" i="4"/>
  <c r="B648" i="4"/>
  <c r="B649" i="4"/>
  <c r="B650" i="4"/>
  <c r="B651" i="4"/>
  <c r="B363" i="4"/>
  <c r="B413" i="4"/>
  <c r="B235" i="4"/>
  <c r="B655" i="4"/>
  <c r="B656" i="4"/>
  <c r="B657" i="4"/>
  <c r="B420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M2" i="4"/>
  <c r="N2" i="4"/>
  <c r="P2" i="4"/>
  <c r="B233" i="4" l="1"/>
  <c r="B291" i="4"/>
  <c r="B248" i="4"/>
  <c r="B266" i="4"/>
  <c r="B127" i="4"/>
  <c r="B90" i="4"/>
  <c r="B17" i="4"/>
  <c r="B59" i="4"/>
  <c r="B590" i="4"/>
  <c r="A453" i="4"/>
  <c r="B453" i="4"/>
  <c r="B317" i="4"/>
  <c r="B612" i="4"/>
  <c r="B174" i="4"/>
  <c r="B171" i="4"/>
  <c r="B265" i="4"/>
  <c r="B247" i="4"/>
  <c r="B52" i="4"/>
  <c r="B115" i="4"/>
  <c r="B258" i="4"/>
  <c r="B42" i="4"/>
  <c r="B558" i="4"/>
  <c r="B86" i="4"/>
  <c r="B63" i="4"/>
  <c r="B277" i="4"/>
  <c r="B58" i="4"/>
  <c r="B93" i="4"/>
  <c r="B466" i="4"/>
  <c r="B33" i="4"/>
  <c r="B557" i="4"/>
  <c r="B82" i="4"/>
  <c r="B120" i="4"/>
  <c r="B110" i="4"/>
  <c r="B41" i="4"/>
  <c r="B9" i="4"/>
  <c r="B302" i="4"/>
  <c r="B24" i="4"/>
  <c r="B394" i="4"/>
  <c r="B438" i="4"/>
  <c r="B324" i="4"/>
  <c r="B442" i="4"/>
  <c r="B134" i="4"/>
  <c r="B580" i="4"/>
  <c r="B301" i="4"/>
  <c r="B415" i="4"/>
  <c r="B393" i="4"/>
  <c r="B325" i="4"/>
  <c r="B405" i="4"/>
  <c r="B399" i="4"/>
  <c r="B365" i="4"/>
  <c r="B429" i="4"/>
  <c r="B332" i="4"/>
  <c r="B418" i="4"/>
  <c r="B350" i="4"/>
  <c r="B331" i="4"/>
  <c r="B320" i="4"/>
  <c r="B380" i="4"/>
  <c r="B374" i="4"/>
  <c r="B335" i="4"/>
  <c r="L2" i="4"/>
  <c r="B413" i="3"/>
  <c r="B412" i="3"/>
  <c r="B330" i="3"/>
  <c r="B431" i="3"/>
  <c r="B411" i="3"/>
  <c r="B410" i="3"/>
  <c r="B409" i="3"/>
  <c r="B408" i="3"/>
  <c r="B407" i="3"/>
  <c r="B329" i="3"/>
  <c r="G2" i="7"/>
  <c r="B332" i="3"/>
  <c r="B328" i="3"/>
  <c r="B327" i="3"/>
  <c r="B326" i="3"/>
  <c r="B325" i="3"/>
  <c r="B79" i="4" l="1"/>
  <c r="B267" i="4"/>
  <c r="B278" i="4"/>
  <c r="B259" i="4"/>
  <c r="B596" i="4"/>
  <c r="B106" i="4"/>
  <c r="B87" i="4"/>
  <c r="B122" i="4"/>
  <c r="A625" i="4"/>
  <c r="B625" i="4"/>
  <c r="B214" i="4"/>
  <c r="B611" i="4"/>
  <c r="B234" i="4"/>
  <c r="B53" i="4"/>
  <c r="B128" i="4"/>
  <c r="B614" i="4"/>
  <c r="B36" i="4"/>
  <c r="B292" i="4"/>
  <c r="B443" i="4"/>
  <c r="B431" i="4"/>
  <c r="B395" i="4"/>
  <c r="B297" i="4"/>
  <c r="B136" i="4"/>
  <c r="B351" i="4"/>
  <c r="B366" i="4"/>
  <c r="B434" i="4"/>
  <c r="B326" i="4"/>
  <c r="R2" i="4"/>
  <c r="S2" i="4"/>
  <c r="O2" i="4"/>
  <c r="Q2" i="4"/>
  <c r="A129" i="4" l="1"/>
  <c r="B129" i="4"/>
  <c r="A589" i="4"/>
  <c r="A556" i="4"/>
  <c r="A40" i="4"/>
  <c r="B564" i="4"/>
  <c r="A220" i="4"/>
  <c r="A239" i="4"/>
  <c r="B30" i="4"/>
  <c r="A127" i="4"/>
  <c r="A30" i="4"/>
  <c r="A554" i="4"/>
  <c r="A590" i="4"/>
  <c r="A89" i="4"/>
  <c r="A46" i="4"/>
  <c r="A155" i="4"/>
  <c r="A559" i="4"/>
  <c r="A592" i="4"/>
  <c r="A466" i="4"/>
  <c r="A56" i="4"/>
  <c r="A98" i="4"/>
  <c r="A31" i="4"/>
  <c r="A50" i="4"/>
  <c r="A484" i="4"/>
  <c r="A68" i="4"/>
  <c r="A45" i="4"/>
  <c r="A52" i="4"/>
  <c r="A272" i="4"/>
  <c r="A465" i="4"/>
  <c r="A483" i="4"/>
  <c r="A60" i="4"/>
  <c r="A279" i="4"/>
  <c r="A55" i="4"/>
  <c r="A69" i="4"/>
  <c r="A181" i="4"/>
  <c r="A76" i="4"/>
  <c r="A17" i="4"/>
  <c r="A73" i="4"/>
  <c r="A631" i="4"/>
  <c r="A166" i="4"/>
  <c r="A555" i="4"/>
  <c r="A497" i="4"/>
  <c r="A57" i="4"/>
  <c r="A78" i="4"/>
  <c r="A19" i="4"/>
  <c r="A42" i="4"/>
  <c r="A86" i="4"/>
  <c r="A626" i="4"/>
  <c r="A174" i="4"/>
  <c r="A558" i="4"/>
  <c r="A63" i="4"/>
  <c r="A120" i="4"/>
  <c r="A95" i="4"/>
  <c r="A169" i="4"/>
  <c r="A273" i="4"/>
  <c r="A612" i="4"/>
  <c r="A81" i="4"/>
  <c r="A593" i="4"/>
  <c r="A77" i="4"/>
  <c r="A103" i="4"/>
  <c r="A41" i="4"/>
  <c r="A61" i="4"/>
  <c r="A97" i="4"/>
  <c r="A93" i="4"/>
  <c r="A236" i="4"/>
  <c r="A43" i="4"/>
  <c r="A132" i="4"/>
  <c r="A106" i="4"/>
  <c r="A148" i="4"/>
  <c r="A221" i="4"/>
  <c r="A59" i="4"/>
  <c r="A18" i="4"/>
  <c r="A234" i="4"/>
  <c r="A163" i="4"/>
  <c r="A218" i="4"/>
  <c r="A251" i="4"/>
  <c r="A242" i="4"/>
  <c r="A114" i="4"/>
  <c r="A149" i="4"/>
  <c r="A146" i="4"/>
  <c r="A632" i="4"/>
  <c r="B632" i="4"/>
  <c r="A83" i="4"/>
  <c r="A10" i="4"/>
  <c r="A510" i="4"/>
  <c r="A82" i="4"/>
  <c r="A67" i="4"/>
  <c r="A116" i="4"/>
  <c r="B116" i="4"/>
  <c r="A265" i="4"/>
  <c r="A167" i="4"/>
  <c r="A51" i="4"/>
  <c r="A154" i="4"/>
  <c r="A84" i="4"/>
  <c r="A123" i="4"/>
  <c r="B123" i="4"/>
  <c r="A85" i="4"/>
  <c r="A72" i="4"/>
  <c r="A126" i="4"/>
  <c r="A153" i="4"/>
  <c r="A247" i="4"/>
  <c r="A91" i="4"/>
  <c r="A595" i="4"/>
  <c r="A250" i="4"/>
  <c r="B250" i="4"/>
  <c r="A249" i="4"/>
  <c r="A605" i="4"/>
  <c r="A641" i="4"/>
  <c r="B319" i="4"/>
  <c r="A508" i="4"/>
  <c r="A278" i="4"/>
  <c r="A33" i="4"/>
  <c r="A231" i="4"/>
  <c r="A131" i="4"/>
  <c r="A74" i="4"/>
  <c r="A119" i="4"/>
  <c r="A557" i="4"/>
  <c r="A88" i="4"/>
  <c r="B88" i="4"/>
  <c r="A266" i="4"/>
  <c r="A233" i="4"/>
  <c r="B396" i="4"/>
  <c r="B298" i="4"/>
  <c r="B421" i="4"/>
  <c r="U2" i="4"/>
  <c r="B273" i="3"/>
  <c r="B302" i="3"/>
  <c r="B303" i="3"/>
  <c r="B317" i="3"/>
  <c r="B301" i="3"/>
  <c r="B309" i="3"/>
  <c r="B307" i="3"/>
  <c r="B305" i="3"/>
  <c r="B298" i="3"/>
  <c r="B299" i="3"/>
  <c r="B300" i="3"/>
  <c r="B297" i="3"/>
  <c r="B296" i="3"/>
  <c r="B295" i="3"/>
  <c r="A160" i="4" l="1"/>
  <c r="A109" i="4"/>
  <c r="A125" i="4"/>
  <c r="A454" i="4"/>
  <c r="A80" i="4"/>
  <c r="B108" i="4"/>
  <c r="A108" i="4"/>
  <c r="A117" i="4"/>
  <c r="A66" i="4"/>
  <c r="A54" i="4"/>
  <c r="B54" i="4"/>
  <c r="A591" i="4"/>
  <c r="A70" i="4"/>
  <c r="A38" i="4"/>
  <c r="A230" i="4"/>
  <c r="A280" i="4"/>
  <c r="A652" i="4"/>
  <c r="A170" i="4"/>
  <c r="A289" i="4"/>
  <c r="A214" i="4"/>
  <c r="A157" i="4"/>
  <c r="A268" i="4"/>
  <c r="A118" i="4"/>
  <c r="A20" i="4"/>
  <c r="A238" i="4"/>
  <c r="A252" i="4"/>
  <c r="A173" i="4"/>
  <c r="A285" i="4"/>
  <c r="A140" i="4"/>
  <c r="A243" i="4"/>
  <c r="A294" i="4"/>
  <c r="A47" i="4"/>
  <c r="A102" i="4"/>
  <c r="A274" i="4"/>
  <c r="A177" i="4"/>
  <c r="A241" i="4"/>
  <c r="A75" i="4"/>
  <c r="A92" i="4"/>
  <c r="A254" i="4"/>
  <c r="A225" i="4"/>
  <c r="A187" i="4"/>
  <c r="A94" i="4"/>
  <c r="A653" i="4"/>
  <c r="A49" i="4"/>
  <c r="A248" i="4"/>
  <c r="A256" i="4"/>
  <c r="A227" i="4"/>
  <c r="A212" i="4"/>
  <c r="A96" i="4"/>
  <c r="A264" i="4"/>
  <c r="A611" i="4"/>
  <c r="A161" i="4"/>
  <c r="A145" i="4"/>
  <c r="A36" i="4"/>
  <c r="A596" i="4"/>
  <c r="A217" i="4"/>
  <c r="A290" i="4"/>
  <c r="A293" i="4"/>
  <c r="A122" i="4"/>
  <c r="A186" i="4"/>
  <c r="A219" i="4"/>
  <c r="A286" i="4"/>
  <c r="A642" i="4"/>
  <c r="A44" i="4"/>
  <c r="A291" i="4"/>
  <c r="A255" i="4"/>
  <c r="A295" i="4"/>
  <c r="A101" i="4"/>
  <c r="A53" i="4"/>
  <c r="A39" i="4"/>
  <c r="A263" i="4"/>
  <c r="A292" i="4"/>
  <c r="A188" i="4"/>
  <c r="A113" i="4"/>
  <c r="A65" i="4"/>
  <c r="A48" i="4"/>
  <c r="A213" i="4"/>
  <c r="A34" i="4"/>
  <c r="A87" i="4"/>
  <c r="A115" i="4"/>
  <c r="A189" i="4"/>
  <c r="A224" i="4"/>
  <c r="A32" i="4"/>
  <c r="A128" i="4"/>
  <c r="A267" i="4"/>
  <c r="A130" i="4"/>
  <c r="B130" i="4"/>
  <c r="B323" i="4"/>
  <c r="A171" i="4"/>
  <c r="A162" i="4"/>
  <c r="A172" i="4"/>
  <c r="A90" i="4"/>
  <c r="A64" i="4"/>
  <c r="A150" i="4"/>
  <c r="A276" i="4"/>
  <c r="A275" i="4"/>
  <c r="A111" i="4"/>
  <c r="A178" i="4"/>
  <c r="A138" i="4"/>
  <c r="A79" i="4"/>
  <c r="A156" i="4"/>
  <c r="A240" i="4"/>
  <c r="A121" i="4"/>
  <c r="A546" i="4"/>
  <c r="A564" i="4"/>
  <c r="A215" i="4"/>
  <c r="A175" i="4"/>
  <c r="A62" i="4"/>
  <c r="A565" i="4"/>
  <c r="B565" i="4"/>
  <c r="A253" i="4"/>
  <c r="A133" i="4"/>
  <c r="A269" i="4"/>
  <c r="B269" i="4"/>
  <c r="A633" i="4"/>
  <c r="A176" i="4"/>
  <c r="A110" i="4"/>
  <c r="A262" i="4"/>
  <c r="A71" i="4"/>
  <c r="A594" i="4"/>
  <c r="A277" i="4"/>
  <c r="A58" i="4"/>
  <c r="A643" i="4"/>
  <c r="A158" i="4"/>
  <c r="B422" i="4"/>
  <c r="A270" i="4" l="1"/>
  <c r="B270" i="4"/>
  <c r="B423" i="4"/>
  <c r="B164" i="3"/>
  <c r="B238" i="3"/>
  <c r="A697" i="4" l="1"/>
  <c r="A382" i="4"/>
  <c r="A135" i="4"/>
  <c r="A364" i="4"/>
  <c r="A396" i="4"/>
  <c r="A324" i="4"/>
  <c r="A389" i="4"/>
  <c r="A449" i="4"/>
  <c r="A670" i="4"/>
  <c r="A271" i="4"/>
  <c r="B271" i="4"/>
  <c r="A24" i="4"/>
  <c r="A650" i="4"/>
  <c r="A646" i="4"/>
  <c r="A28" i="4"/>
  <c r="A477" i="4"/>
  <c r="A235" i="4"/>
  <c r="A707" i="4"/>
  <c r="A624" i="4"/>
  <c r="A511" i="4"/>
  <c r="A387" i="4"/>
  <c r="A482" i="4"/>
  <c r="A722" i="4"/>
  <c r="A688" i="4"/>
  <c r="A664" i="4"/>
  <c r="A486" i="4"/>
  <c r="A478" i="4"/>
  <c r="A620" i="4"/>
  <c r="A21" i="4"/>
  <c r="A533" i="4"/>
  <c r="A198" i="4"/>
  <c r="A475" i="4"/>
  <c r="A708" i="4"/>
  <c r="A649" i="4"/>
  <c r="A651" i="4"/>
  <c r="A504" i="4"/>
  <c r="A313" i="4"/>
  <c r="A710" i="4"/>
  <c r="A490" i="4"/>
  <c r="A563" i="4"/>
  <c r="A729" i="4"/>
  <c r="A732" i="4"/>
  <c r="A601" i="4"/>
  <c r="A229" i="4"/>
  <c r="A562" i="4"/>
  <c r="A349" i="4"/>
  <c r="A468" i="4"/>
  <c r="A438" i="4"/>
  <c r="A658" i="4"/>
  <c r="A489" i="4"/>
  <c r="A144" i="4"/>
  <c r="A524" i="4"/>
  <c r="A579" i="4"/>
  <c r="A522" i="4"/>
  <c r="A724" i="4"/>
  <c r="A549" i="4"/>
  <c r="A450" i="4"/>
  <c r="A672" i="4"/>
  <c r="A674" i="4"/>
  <c r="A687" i="4"/>
  <c r="A723" i="4"/>
  <c r="A731" i="4"/>
  <c r="A193" i="4"/>
  <c r="A689" i="4"/>
  <c r="A244" i="4"/>
  <c r="A537" i="4"/>
  <c r="A648" i="4"/>
  <c r="A184" i="4"/>
  <c r="A439" i="4"/>
  <c r="A719" i="4"/>
  <c r="A701" i="4"/>
  <c r="A647" i="4"/>
  <c r="A608" i="4"/>
  <c r="A480" i="4"/>
  <c r="A470" i="4"/>
  <c r="A516" i="4"/>
  <c r="A709" i="4"/>
  <c r="A576" i="4"/>
  <c r="A427" i="4"/>
  <c r="A27" i="4"/>
  <c r="A660" i="4"/>
  <c r="A548" i="4"/>
  <c r="A192" i="4"/>
  <c r="A179" i="4"/>
  <c r="A232" i="4"/>
  <c r="A481" i="4"/>
  <c r="A197" i="4"/>
  <c r="A494" i="4"/>
  <c r="A677" i="4"/>
  <c r="A609" i="4"/>
  <c r="A606" i="4"/>
  <c r="A422" i="4"/>
  <c r="A668" i="4"/>
  <c r="A691" i="4"/>
  <c r="A195" i="4"/>
  <c r="A665" i="4"/>
  <c r="A152" i="4"/>
  <c r="A25" i="4"/>
  <c r="A141" i="4"/>
  <c r="A574" i="4"/>
  <c r="A573" i="4"/>
  <c r="A588" i="4"/>
  <c r="A310" i="4"/>
  <c r="A413" i="4"/>
  <c r="A666" i="4"/>
  <c r="A435" i="4"/>
  <c r="A191" i="4"/>
  <c r="A501" i="4"/>
  <c r="A456" i="4"/>
  <c r="A715" i="4"/>
  <c r="A550" i="4"/>
  <c r="A530" i="4"/>
  <c r="A139" i="4"/>
  <c r="A22" i="4"/>
  <c r="A433" i="4"/>
  <c r="A523" i="4"/>
  <c r="A366" i="4"/>
  <c r="A381" i="4"/>
  <c r="A547" i="4"/>
  <c r="A320" i="4"/>
  <c r="A354" i="4"/>
  <c r="A107" i="4"/>
  <c r="A397" i="4"/>
  <c r="A446" i="4"/>
  <c r="A442" i="4"/>
  <c r="A614" i="4"/>
  <c r="A582" i="4"/>
  <c r="A360" i="4"/>
  <c r="A325" i="4"/>
  <c r="A332" i="4"/>
  <c r="A296" i="4"/>
  <c r="A500" i="4"/>
  <c r="A656" i="4"/>
  <c r="A321" i="4"/>
  <c r="A368" i="4"/>
  <c r="A183" i="4"/>
  <c r="A391" i="4"/>
  <c r="A327" i="4"/>
  <c r="A421" i="4"/>
  <c r="A418" i="4"/>
  <c r="A124" i="4"/>
  <c r="A440" i="4"/>
  <c r="A318" i="4"/>
  <c r="A718" i="4"/>
  <c r="A638" i="4"/>
  <c r="A577" i="4"/>
  <c r="A698" i="4"/>
  <c r="A340" i="4"/>
  <c r="A419" i="4"/>
  <c r="A377" i="4"/>
  <c r="A375" i="4"/>
  <c r="A336" i="4"/>
  <c r="B237" i="3"/>
  <c r="B236" i="3"/>
  <c r="B235" i="3"/>
  <c r="B240" i="3"/>
  <c r="B239" i="3"/>
  <c r="B234" i="3"/>
  <c r="B233" i="3"/>
  <c r="B232" i="3"/>
  <c r="B231" i="3"/>
  <c r="B230" i="3"/>
  <c r="B229" i="3"/>
  <c r="B227" i="3"/>
  <c r="B217" i="3"/>
  <c r="B216" i="3"/>
  <c r="B163" i="3"/>
  <c r="B130" i="3"/>
  <c r="B56" i="3"/>
  <c r="B57" i="3"/>
  <c r="A544" i="4" l="1"/>
  <c r="A684" i="4"/>
  <c r="A569" i="4"/>
  <c r="A312" i="4"/>
  <c r="B312" i="4"/>
  <c r="A394" i="4"/>
  <c r="A303" i="4"/>
  <c r="A411" i="4"/>
  <c r="A437" i="4"/>
  <c r="A378" i="4"/>
  <c r="A376" i="4"/>
  <c r="A346" i="4"/>
  <c r="A351" i="4"/>
  <c r="A369" i="4"/>
  <c r="A669" i="4"/>
  <c r="A531" i="4"/>
  <c r="A610" i="4"/>
  <c r="A726" i="4"/>
  <c r="A505" i="4"/>
  <c r="A552" i="4"/>
  <c r="A12" i="4"/>
  <c r="A164" i="4"/>
  <c r="A420" i="4"/>
  <c r="A513" i="4"/>
  <c r="A168" i="4"/>
  <c r="A673" i="4"/>
  <c r="A598" i="4"/>
  <c r="A602" i="4"/>
  <c r="A517" i="4"/>
  <c r="A675" i="4"/>
  <c r="A667" i="4"/>
  <c r="A353" i="4"/>
  <c r="A136" i="4"/>
  <c r="A374" i="4"/>
  <c r="A330" i="4"/>
  <c r="A350" i="4"/>
  <c r="A401" i="4"/>
  <c r="A299" i="4"/>
  <c r="A699" i="4"/>
  <c r="A338" i="4"/>
  <c r="A356" i="4"/>
  <c r="A315" i="4"/>
  <c r="A367" i="4"/>
  <c r="A245" i="4"/>
  <c r="A515" i="4"/>
  <c r="A316" i="4"/>
  <c r="A514" i="4"/>
  <c r="A180" i="4"/>
  <c r="A443" i="4"/>
  <c r="A725" i="4"/>
  <c r="A426" i="4"/>
  <c r="A607" i="4"/>
  <c r="A659" i="4"/>
  <c r="A538" i="4"/>
  <c r="A467" i="4"/>
  <c r="A199" i="4"/>
  <c r="A519" i="4"/>
  <c r="A309" i="4"/>
  <c r="A447" i="4"/>
  <c r="A326" i="4"/>
  <c r="A630" i="4"/>
  <c r="A399" i="4"/>
  <c r="A328" i="4"/>
  <c r="A587" i="4"/>
  <c r="A302" i="4"/>
  <c r="A297" i="4"/>
  <c r="A112" i="4"/>
  <c r="A306" i="4"/>
  <c r="A637" i="4"/>
  <c r="A428" i="4"/>
  <c r="A586" i="4"/>
  <c r="A246" i="4"/>
  <c r="A147" i="4"/>
  <c r="A35" i="4"/>
  <c r="A603" i="4"/>
  <c r="A190" i="4"/>
  <c r="A567" i="4"/>
  <c r="A663" i="4"/>
  <c r="A194" i="4"/>
  <c r="A471" i="4"/>
  <c r="A728" i="4"/>
  <c r="A529" i="4"/>
  <c r="A237" i="4"/>
  <c r="A379" i="4"/>
  <c r="A11" i="4"/>
  <c r="A415" i="4"/>
  <c r="A298" i="4"/>
  <c r="A380" i="4"/>
  <c r="A308" i="4"/>
  <c r="A417" i="4"/>
  <c r="A485" i="4"/>
  <c r="A352" i="4"/>
  <c r="A134" i="4"/>
  <c r="A474" i="4"/>
  <c r="A347" i="4"/>
  <c r="A570" i="4"/>
  <c r="A503" i="4"/>
  <c r="A196" i="4"/>
  <c r="A686" i="4"/>
  <c r="A551" i="4"/>
  <c r="A671" i="4"/>
  <c r="A683" i="4"/>
  <c r="A165" i="4"/>
  <c r="A706" i="4"/>
  <c r="A703" i="4"/>
  <c r="A575" i="4"/>
  <c r="A716" i="4"/>
  <c r="A621" i="4"/>
  <c r="A616" i="4"/>
  <c r="A388" i="4"/>
  <c r="A345" i="4"/>
  <c r="A182" i="4"/>
  <c r="A662" i="4"/>
  <c r="A228" i="4"/>
  <c r="A479" i="4"/>
  <c r="A521" i="4"/>
  <c r="A526" i="4"/>
  <c r="A713" i="4"/>
  <c r="A424" i="4"/>
  <c r="A619" i="4"/>
  <c r="A543" i="4"/>
  <c r="A432" i="4"/>
  <c r="A535" i="4"/>
  <c r="A640" i="4"/>
  <c r="A362" i="4"/>
  <c r="A700" i="4"/>
  <c r="A159" i="4"/>
  <c r="A705" i="4"/>
  <c r="A487" i="4"/>
  <c r="A539" i="4"/>
  <c r="A431" i="4"/>
  <c r="A721" i="4"/>
  <c r="A623" i="4"/>
  <c r="A654" i="4"/>
  <c r="A361" i="4"/>
  <c r="A405" i="4"/>
  <c r="A613" i="4"/>
  <c r="A329" i="4"/>
  <c r="A373" i="4"/>
  <c r="A301" i="4"/>
  <c r="A371" i="4"/>
  <c r="A678" i="4"/>
  <c r="A448" i="4"/>
  <c r="A408" i="4"/>
  <c r="A407" i="4"/>
  <c r="A317" i="4"/>
  <c r="A334" i="4"/>
  <c r="A363" i="4"/>
  <c r="A499" i="4"/>
  <c r="A528" i="4"/>
  <c r="A518" i="4"/>
  <c r="A599" i="4"/>
  <c r="A542" i="4"/>
  <c r="A566" i="4"/>
  <c r="A469" i="4"/>
  <c r="A540" i="4"/>
  <c r="A534" i="4"/>
  <c r="A509" i="4"/>
  <c r="A495" i="4"/>
  <c r="A319" i="4"/>
  <c r="A398" i="4"/>
  <c r="A13" i="4"/>
  <c r="A222" i="4"/>
  <c r="A216" i="4"/>
  <c r="A390" i="4"/>
  <c r="A615" i="4"/>
  <c r="A412" i="4"/>
  <c r="A344" i="4"/>
  <c r="A657" i="4"/>
  <c r="A690" i="4"/>
  <c r="A600" i="4"/>
  <c r="A585" i="4"/>
  <c r="A29" i="4"/>
  <c r="A580" i="4"/>
  <c r="A680" i="4"/>
  <c r="A436" i="4"/>
  <c r="A414" i="4"/>
  <c r="A348" i="4"/>
  <c r="A359" i="4"/>
  <c r="A473" i="4"/>
  <c r="A604" i="4"/>
  <c r="A423" i="4"/>
  <c r="A714" i="4"/>
  <c r="A434" i="4"/>
  <c r="A661" i="4"/>
  <c r="A636" i="4"/>
  <c r="A712" i="4"/>
  <c r="A583" i="4"/>
  <c r="A568" i="4"/>
  <c r="A476" i="4"/>
  <c r="A720" i="4"/>
  <c r="A496" i="4"/>
  <c r="A512" i="4"/>
  <c r="A553" i="4"/>
  <c r="A655" i="4"/>
  <c r="A536" i="4"/>
  <c r="A223" i="4"/>
  <c r="A578" i="4"/>
  <c r="A365" i="4"/>
  <c r="A400" i="4"/>
  <c r="A335" i="4"/>
  <c r="A393" i="4"/>
  <c r="A333" i="4"/>
  <c r="A343" i="4"/>
  <c r="A584" i="4"/>
  <c r="A323" i="4"/>
  <c r="A105" i="4"/>
  <c r="A386" i="4"/>
  <c r="A6" i="4"/>
  <c r="A628" i="4"/>
  <c r="A634" i="4"/>
  <c r="A711" i="4"/>
  <c r="A532" i="4"/>
  <c r="A451" i="4"/>
  <c r="A727" i="4"/>
  <c r="A444" i="4"/>
  <c r="A142" i="4"/>
  <c r="A472" i="4"/>
  <c r="A502" i="4"/>
  <c r="A696" i="4"/>
  <c r="A692" i="4"/>
  <c r="A693" i="4"/>
  <c r="A384" i="4"/>
  <c r="A305" i="4"/>
  <c r="A406" i="4"/>
  <c r="A403" i="4"/>
  <c r="A314" i="4"/>
  <c r="A341" i="4"/>
  <c r="A644" i="4"/>
  <c r="A617" i="4"/>
  <c r="A392" i="4"/>
  <c r="A357" i="4"/>
  <c r="A307" i="4"/>
  <c r="A304" i="4"/>
  <c r="A679" i="4"/>
  <c r="A627" i="4"/>
  <c r="A493" i="4"/>
  <c r="A200" i="4"/>
  <c r="A730" i="4"/>
  <c r="A151" i="4"/>
  <c r="A507" i="4"/>
  <c r="A702" i="4"/>
  <c r="A545" i="4"/>
  <c r="A639" i="4"/>
  <c r="A635" i="4"/>
  <c r="A695" i="4"/>
  <c r="A622" i="4"/>
  <c r="A383" i="4"/>
  <c r="A104" i="4"/>
  <c r="A416" i="4"/>
  <c r="A445" i="4"/>
  <c r="A331" i="4"/>
  <c r="A506" i="4"/>
  <c r="A717" i="4"/>
  <c r="A23" i="4"/>
  <c r="A498" i="4"/>
  <c r="A685" i="4"/>
  <c r="A681" i="4"/>
  <c r="A682" i="4"/>
  <c r="A676" i="4"/>
  <c r="A185" i="4"/>
  <c r="A430" i="4"/>
  <c r="A645" i="4"/>
  <c r="A704" i="4"/>
  <c r="A541" i="4"/>
  <c r="A581" i="4"/>
  <c r="A629" i="4"/>
  <c r="A358" i="4"/>
  <c r="A441" i="4"/>
  <c r="A337" i="4"/>
  <c r="A597" i="4"/>
  <c r="A143" i="4"/>
  <c r="A527" i="4"/>
  <c r="A525" i="4"/>
  <c r="A402" i="4"/>
  <c r="A300" i="4"/>
  <c r="A404" i="4"/>
  <c r="A342" i="4"/>
  <c r="A395" i="4"/>
  <c r="A339" i="4"/>
  <c r="A492" i="4"/>
  <c r="A385" i="4"/>
  <c r="A370" i="4"/>
  <c r="A372" i="4"/>
  <c r="A429" i="4"/>
  <c r="A425" i="4"/>
  <c r="A571" i="4"/>
  <c r="A455" i="4"/>
  <c r="A694" i="4"/>
  <c r="A618" i="4"/>
  <c r="A311" i="4"/>
  <c r="A355" i="4"/>
  <c r="A16" i="3"/>
  <c r="B16" i="3"/>
  <c r="B208" i="3"/>
  <c r="B129" i="3" l="1"/>
  <c r="N2" i="3" l="1"/>
  <c r="B360" i="3" l="1"/>
  <c r="B358" i="3"/>
  <c r="B322" i="3"/>
  <c r="B323" i="3"/>
  <c r="B324" i="3"/>
  <c r="B331" i="3"/>
  <c r="B355" i="3"/>
  <c r="B356" i="3"/>
  <c r="B357" i="3"/>
  <c r="B316" i="3"/>
  <c r="B276" i="3"/>
  <c r="B204" i="3" l="1"/>
  <c r="B159" i="3" l="1"/>
  <c r="B11" i="3" l="1"/>
  <c r="B15" i="3"/>
  <c r="B312" i="3" l="1"/>
  <c r="B293" i="3" l="1"/>
  <c r="B286" i="3"/>
  <c r="B285" i="3" l="1"/>
  <c r="B277" i="3" l="1"/>
  <c r="B275" i="3"/>
  <c r="B274" i="3"/>
  <c r="B262" i="3"/>
  <c r="B241" i="3" l="1"/>
  <c r="B242" i="3"/>
  <c r="B243" i="3"/>
  <c r="B246" i="3" l="1"/>
  <c r="B245" i="3" l="1"/>
  <c r="B213" i="3"/>
  <c r="B114" i="3" l="1"/>
  <c r="B54" i="3"/>
  <c r="B156" i="3" l="1"/>
  <c r="B155" i="3"/>
  <c r="B154" i="3" l="1"/>
  <c r="B153" i="3"/>
  <c r="B152" i="3" l="1"/>
  <c r="B138" i="3" l="1"/>
  <c r="B137" i="3" l="1"/>
  <c r="B136" i="3"/>
  <c r="B135" i="3"/>
  <c r="B113" i="3" l="1"/>
  <c r="B112" i="3"/>
  <c r="B53" i="3"/>
  <c r="B117" i="3" l="1"/>
  <c r="B109" i="3"/>
  <c r="B94" i="3" l="1"/>
  <c r="B52" i="3"/>
  <c r="B65" i="3" l="1"/>
  <c r="A23" i="3"/>
  <c r="B23" i="3"/>
  <c r="B47" i="3" l="1"/>
  <c r="A12" i="3" l="1"/>
  <c r="A499" i="3" l="1"/>
  <c r="A500" i="3"/>
  <c r="A501" i="3"/>
  <c r="A502" i="3"/>
  <c r="A503" i="3"/>
  <c r="A504" i="3"/>
  <c r="A505" i="3"/>
  <c r="A506" i="3"/>
  <c r="A507" i="3"/>
  <c r="A508" i="3"/>
  <c r="A509" i="3"/>
  <c r="A511" i="3"/>
  <c r="A512" i="3"/>
  <c r="A513" i="3"/>
  <c r="A514" i="3"/>
  <c r="A515" i="3"/>
  <c r="A516" i="3"/>
  <c r="A517" i="3"/>
  <c r="A518" i="3"/>
  <c r="B482" i="3" l="1"/>
  <c r="B461" i="3" l="1"/>
  <c r="B458" i="3"/>
  <c r="B459" i="3"/>
  <c r="B460" i="3"/>
  <c r="B427" i="3" l="1"/>
  <c r="B363" i="3" l="1"/>
  <c r="B308" i="3"/>
  <c r="B416" i="3" l="1"/>
  <c r="B359" i="3" l="1"/>
  <c r="B361" i="3"/>
  <c r="B362" i="3"/>
  <c r="B364" i="3"/>
  <c r="B365" i="3"/>
  <c r="B366" i="3"/>
  <c r="B367" i="3"/>
  <c r="B368" i="3"/>
  <c r="B369" i="3"/>
  <c r="B370" i="3"/>
  <c r="B394" i="3"/>
  <c r="B395" i="3"/>
  <c r="B397" i="3"/>
  <c r="B398" i="3"/>
  <c r="B399" i="3"/>
  <c r="B400" i="3"/>
  <c r="B401" i="3"/>
  <c r="B404" i="3"/>
  <c r="B405" i="3"/>
  <c r="B406" i="3"/>
  <c r="B414" i="3"/>
  <c r="B415" i="3"/>
  <c r="B417" i="3"/>
  <c r="B418" i="3"/>
  <c r="B419" i="3"/>
  <c r="B420" i="3"/>
  <c r="B421" i="3"/>
  <c r="B422" i="3"/>
  <c r="B423" i="3"/>
  <c r="B424" i="3"/>
  <c r="B425" i="3"/>
  <c r="B426" i="3"/>
  <c r="B428" i="3"/>
  <c r="B429" i="3"/>
  <c r="B430" i="3"/>
  <c r="B432" i="3"/>
  <c r="B433" i="3"/>
  <c r="B434" i="3"/>
  <c r="B435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62" i="3"/>
  <c r="B463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1" i="3"/>
  <c r="B512" i="3"/>
  <c r="B513" i="3"/>
  <c r="B514" i="3"/>
  <c r="B515" i="3"/>
  <c r="B516" i="3"/>
  <c r="B517" i="3"/>
  <c r="B518" i="3"/>
  <c r="A519" i="3"/>
  <c r="B519" i="3"/>
  <c r="A520" i="3"/>
  <c r="B520" i="3"/>
  <c r="A521" i="3"/>
  <c r="B521" i="3"/>
  <c r="A522" i="3"/>
  <c r="B522" i="3"/>
  <c r="A523" i="3"/>
  <c r="B523" i="3"/>
  <c r="A525" i="3"/>
  <c r="B525" i="3"/>
  <c r="A526" i="3"/>
  <c r="B526" i="3"/>
  <c r="A527" i="3"/>
  <c r="B527" i="3"/>
  <c r="A528" i="3"/>
  <c r="B528" i="3"/>
  <c r="A529" i="3"/>
  <c r="B529" i="3"/>
  <c r="A530" i="3"/>
  <c r="B530" i="3"/>
  <c r="A531" i="3"/>
  <c r="B531" i="3"/>
  <c r="A532" i="3"/>
  <c r="B532" i="3"/>
  <c r="A533" i="3"/>
  <c r="B533" i="3"/>
  <c r="A534" i="3"/>
  <c r="B534" i="3"/>
  <c r="A535" i="3"/>
  <c r="B535" i="3"/>
  <c r="A536" i="3"/>
  <c r="B536" i="3"/>
  <c r="A537" i="3"/>
  <c r="B537" i="3"/>
  <c r="A538" i="3"/>
  <c r="B538" i="3"/>
  <c r="A539" i="3"/>
  <c r="B539" i="3"/>
  <c r="A540" i="3"/>
  <c r="B540" i="3"/>
  <c r="A541" i="3"/>
  <c r="B541" i="3"/>
  <c r="A542" i="3"/>
  <c r="B542" i="3"/>
  <c r="A543" i="3"/>
  <c r="B543" i="3"/>
  <c r="A544" i="3"/>
  <c r="B544" i="3"/>
  <c r="A545" i="3"/>
  <c r="B545" i="3"/>
  <c r="B294" i="3" l="1"/>
  <c r="B304" i="3"/>
  <c r="B306" i="3"/>
  <c r="I2" i="3" l="1"/>
  <c r="B261" i="3" l="1"/>
  <c r="B260" i="3"/>
  <c r="B259" i="3"/>
  <c r="B258" i="3"/>
  <c r="B257" i="3"/>
  <c r="B256" i="3" l="1"/>
  <c r="B179" i="3" l="1"/>
  <c r="B244" i="3"/>
  <c r="B215" i="3"/>
  <c r="B212" i="3"/>
  <c r="B211" i="3"/>
  <c r="B210" i="3"/>
  <c r="B201" i="3"/>
  <c r="B202" i="3"/>
  <c r="B203" i="3"/>
  <c r="B205" i="3"/>
  <c r="B206" i="3"/>
  <c r="B207" i="3"/>
  <c r="B209" i="3"/>
  <c r="B200" i="3"/>
  <c r="B199" i="3"/>
  <c r="B193" i="3" l="1"/>
  <c r="B192" i="3"/>
  <c r="B178" i="3"/>
  <c r="B177" i="3" l="1"/>
  <c r="B143" i="3"/>
  <c r="B18" i="3" l="1"/>
  <c r="A18" i="3"/>
  <c r="B17" i="3" l="1"/>
  <c r="A17" i="3"/>
  <c r="B4" i="3" l="1"/>
  <c r="B5" i="3"/>
  <c r="B6" i="3"/>
  <c r="B7" i="3"/>
  <c r="A8" i="3"/>
  <c r="B8" i="3"/>
  <c r="A9" i="3"/>
  <c r="B9" i="3"/>
  <c r="A10" i="3"/>
  <c r="B10" i="3"/>
  <c r="A13" i="3"/>
  <c r="B13" i="3"/>
  <c r="A14" i="3"/>
  <c r="B14" i="3"/>
  <c r="A15" i="3"/>
  <c r="A19" i="3"/>
  <c r="B19" i="3"/>
  <c r="A20" i="3"/>
  <c r="B20" i="3"/>
  <c r="A21" i="3"/>
  <c r="B21" i="3"/>
  <c r="A22" i="3"/>
  <c r="B22" i="3"/>
  <c r="B44" i="3"/>
  <c r="B45" i="3"/>
  <c r="B46" i="3"/>
  <c r="B48" i="3"/>
  <c r="B49" i="3"/>
  <c r="B50" i="3"/>
  <c r="B51" i="3"/>
  <c r="B55" i="3"/>
  <c r="B58" i="3"/>
  <c r="B59" i="3"/>
  <c r="B60" i="3"/>
  <c r="B61" i="3"/>
  <c r="B62" i="3"/>
  <c r="B63" i="3"/>
  <c r="B64" i="3"/>
  <c r="B66" i="3"/>
  <c r="B67" i="3"/>
  <c r="B68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10" i="3"/>
  <c r="B111" i="3"/>
  <c r="B115" i="3"/>
  <c r="B116" i="3"/>
  <c r="B118" i="3"/>
  <c r="B119" i="3"/>
  <c r="B120" i="3"/>
  <c r="B121" i="3"/>
  <c r="B122" i="3"/>
  <c r="B123" i="3"/>
  <c r="B124" i="3"/>
  <c r="B125" i="3"/>
  <c r="B126" i="3"/>
  <c r="B127" i="3"/>
  <c r="B128" i="3"/>
  <c r="B131" i="3"/>
  <c r="B139" i="3"/>
  <c r="B140" i="3"/>
  <c r="B141" i="3"/>
  <c r="B142" i="3"/>
  <c r="B144" i="3"/>
  <c r="B146" i="3"/>
  <c r="B147" i="3"/>
  <c r="B148" i="3"/>
  <c r="B149" i="3"/>
  <c r="B150" i="3"/>
  <c r="B151" i="3"/>
  <c r="B157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4" i="3"/>
  <c r="B195" i="3"/>
  <c r="B196" i="3"/>
  <c r="B197" i="3"/>
  <c r="B198" i="3"/>
  <c r="B247" i="3"/>
  <c r="B248" i="3"/>
  <c r="B249" i="3"/>
  <c r="B250" i="3"/>
  <c r="B251" i="3"/>
  <c r="B252" i="3"/>
  <c r="B253" i="3"/>
  <c r="B255" i="3"/>
  <c r="B263" i="3"/>
  <c r="B264" i="3"/>
  <c r="B265" i="3"/>
  <c r="B266" i="3"/>
  <c r="B267" i="3"/>
  <c r="B268" i="3"/>
  <c r="B269" i="3"/>
  <c r="B270" i="3"/>
  <c r="B271" i="3"/>
  <c r="B272" i="3"/>
  <c r="B278" i="3"/>
  <c r="B279" i="3"/>
  <c r="B280" i="3"/>
  <c r="B281" i="3"/>
  <c r="B282" i="3"/>
  <c r="B283" i="3"/>
  <c r="B284" i="3"/>
  <c r="B287" i="3"/>
  <c r="B288" i="3"/>
  <c r="B289" i="3"/>
  <c r="B290" i="3"/>
  <c r="B291" i="3"/>
  <c r="B292" i="3"/>
  <c r="B310" i="3"/>
  <c r="B311" i="3"/>
  <c r="B314" i="3"/>
  <c r="B318" i="3"/>
  <c r="B319" i="3"/>
  <c r="B320" i="3"/>
  <c r="B321" i="3"/>
  <c r="K2" i="3" l="1"/>
  <c r="M2" i="3" l="1"/>
  <c r="L2" i="3"/>
  <c r="F22" i="1" l="1"/>
  <c r="F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48" authorId="0" shapeId="0" xr:uid="{A9820A05-96CE-4E6F-AA28-A5B973D139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Duplicate 059/25-26 IGR Number for this Invoice 
</t>
        </r>
      </text>
    </comment>
    <comment ref="E148" authorId="0" shapeId="0" xr:uid="{FCF7FA7B-0883-450F-805C-C0FAA61479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Duplicate 059/25-26 IGR Number for this Invoice </t>
        </r>
      </text>
    </comment>
  </commentList>
</comments>
</file>

<file path=xl/sharedStrings.xml><?xml version="1.0" encoding="utf-8"?>
<sst xmlns="http://schemas.openxmlformats.org/spreadsheetml/2006/main" count="6738" uniqueCount="3134">
  <si>
    <t>Camduct 40th week IGR details</t>
  </si>
  <si>
    <t>Sl No</t>
  </si>
  <si>
    <t>Supplier name</t>
  </si>
  <si>
    <t>Invoice no &amp; date</t>
  </si>
  <si>
    <t>IGR NO &amp; DATE</t>
  </si>
  <si>
    <t>Value</t>
  </si>
  <si>
    <t>Sheela foam ltd</t>
  </si>
  <si>
    <t>7621/29.9.18</t>
  </si>
  <si>
    <t>181/01.10.18</t>
  </si>
  <si>
    <t>LR Multi speciality products</t>
  </si>
  <si>
    <t>0311/1.10.18</t>
  </si>
  <si>
    <t>182/01.10.18</t>
  </si>
  <si>
    <t>Shree jashraj insulation</t>
  </si>
  <si>
    <t>0130/1.10.18</t>
  </si>
  <si>
    <t>183/1.10.18</t>
  </si>
  <si>
    <t>Horizen inc</t>
  </si>
  <si>
    <t>1046/1.10.18</t>
  </si>
  <si>
    <t>184/1.10.18</t>
  </si>
  <si>
    <t>Kaveri corner hardware &amp; tools</t>
  </si>
  <si>
    <t>2574/1.10.18</t>
  </si>
  <si>
    <t>185/1.10.18</t>
  </si>
  <si>
    <t>0136/3.10.18</t>
  </si>
  <si>
    <t>186/3.10.18</t>
  </si>
  <si>
    <t>Hitech air power pvt ltd</t>
  </si>
  <si>
    <t>181181/3.10.18</t>
  </si>
  <si>
    <t>187/3.10.18</t>
  </si>
  <si>
    <t>Total</t>
  </si>
  <si>
    <t>Camduct 40th week BPR details</t>
  </si>
  <si>
    <t>BPR NO &amp; DATE</t>
  </si>
  <si>
    <t>Aishwarya security services</t>
  </si>
  <si>
    <t>484/1.10.18</t>
  </si>
  <si>
    <t>OCT001</t>
  </si>
  <si>
    <t>Srinidhi enterprices</t>
  </si>
  <si>
    <t>222/30.9.18</t>
  </si>
  <si>
    <t>OCT002</t>
  </si>
  <si>
    <t xml:space="preserve">BPR NO </t>
  </si>
  <si>
    <t>Remarks</t>
  </si>
  <si>
    <t>Description</t>
  </si>
  <si>
    <t>Transport</t>
  </si>
  <si>
    <t>Taxable value</t>
  </si>
  <si>
    <t>Igst @18%</t>
  </si>
  <si>
    <t>cgst @9%</t>
  </si>
  <si>
    <t>Sgst @9%</t>
  </si>
  <si>
    <t>Labour Charges</t>
  </si>
  <si>
    <t>Material value</t>
  </si>
  <si>
    <t>Taxable Rate</t>
  </si>
  <si>
    <t>IGST @18%</t>
  </si>
  <si>
    <t>Particulars</t>
  </si>
  <si>
    <t>Invoice Value</t>
  </si>
  <si>
    <t>Contractor name</t>
  </si>
  <si>
    <t>SI NO</t>
  </si>
  <si>
    <t>MONTH</t>
  </si>
  <si>
    <t>Date</t>
  </si>
  <si>
    <t>IGR NO</t>
  </si>
  <si>
    <t>April</t>
  </si>
  <si>
    <t>Grand Total</t>
  </si>
  <si>
    <t>Month</t>
  </si>
  <si>
    <t>IGR</t>
  </si>
  <si>
    <t>BPR</t>
  </si>
  <si>
    <t>Total  Invoice's Value</t>
  </si>
  <si>
    <t>Shri Sumukha Industries</t>
  </si>
  <si>
    <t>PO number</t>
  </si>
  <si>
    <t>Price</t>
  </si>
  <si>
    <t>Quantity</t>
  </si>
  <si>
    <t>Kothari Metals</t>
  </si>
  <si>
    <t>TCS 0.1%</t>
  </si>
  <si>
    <t>Voucher No</t>
  </si>
  <si>
    <t>Paid To</t>
  </si>
  <si>
    <t>Voucher Value</t>
  </si>
  <si>
    <t xml:space="preserve">Month </t>
  </si>
  <si>
    <t>Total  Voucher Value</t>
  </si>
  <si>
    <t>Petty Cash</t>
  </si>
  <si>
    <t>0154/2024-25</t>
  </si>
  <si>
    <t>Guage</t>
  </si>
  <si>
    <t>Alu. 0.8mm</t>
  </si>
  <si>
    <t>INWARD GOOD RECEIPT DETAILS FY 2025-26</t>
  </si>
  <si>
    <t>BPR DETAILS FY 2025-26</t>
  </si>
  <si>
    <t>PETTY CASH 2025-26</t>
  </si>
  <si>
    <t>001/25-26</t>
  </si>
  <si>
    <t>002/25-26</t>
  </si>
  <si>
    <t>002/05-04-2025</t>
  </si>
  <si>
    <t>Spm Machine Spare Parts</t>
  </si>
  <si>
    <t>003/25-26</t>
  </si>
  <si>
    <t>KM/05521/2025-26/05-04-2025</t>
  </si>
  <si>
    <t>0003/2025-26</t>
  </si>
  <si>
    <t>Aluminium Coils (0.71x1220) in Mts</t>
  </si>
  <si>
    <t>004/25-26</t>
  </si>
  <si>
    <t>HA081/7-04-2025</t>
  </si>
  <si>
    <t>Aloukik Agencies</t>
  </si>
  <si>
    <t>Nitrile 19mmx1200mmx10MTRS ALU FOIL Class o (In Sqm) 10 Roll</t>
  </si>
  <si>
    <t>005/25-26</t>
  </si>
  <si>
    <t>H22500000291/07-04-2025</t>
  </si>
  <si>
    <t>0155/2024-25</t>
  </si>
  <si>
    <t>The Supreme Industries Ltd</t>
  </si>
  <si>
    <t>Insuflex 09mm x 1200mm Class O (In Sqm) 74 Pkg</t>
  </si>
  <si>
    <t>006/25-26</t>
  </si>
  <si>
    <t>HA096/08-04-2025</t>
  </si>
  <si>
    <t>Nitrile 13mmx1200mmx14MTRS ALU FOIL Class o (In Sqm) 15 Roll (In Sqm)</t>
  </si>
  <si>
    <t>Insusound 15mmx1000mmx1000m BLK (10 Boxes)</t>
  </si>
  <si>
    <t>ID325000318/02-04-2025</t>
  </si>
  <si>
    <t>Misumi India Pvt Ltd</t>
  </si>
  <si>
    <t xml:space="preserve">Toggle Clamps/-STK </t>
  </si>
  <si>
    <t>007/25-26</t>
  </si>
  <si>
    <t>M12500000069/05-04-2025</t>
  </si>
  <si>
    <t xml:space="preserve">Mail </t>
  </si>
  <si>
    <t>Insu Sound BN 15 MMx (1x1)M (188 Pkg) In Sqm</t>
  </si>
  <si>
    <t>008/25-26</t>
  </si>
  <si>
    <t>8339/07-04-2025</t>
  </si>
  <si>
    <t>0150/2024-25</t>
  </si>
  <si>
    <t>Thoro Buildcare</t>
  </si>
  <si>
    <t>13mm Thermobreak/Foil LS 1200mm x 20m (10 Rolls) In Sqm</t>
  </si>
  <si>
    <t>Bangalore Electricity Supply Company</t>
  </si>
  <si>
    <t>APR-001/25-26</t>
  </si>
  <si>
    <t xml:space="preserve">Power charges </t>
  </si>
  <si>
    <t>APR-002/25-26</t>
  </si>
  <si>
    <t>Sri Venkateshwara Electricals &amp; Rewinding Works</t>
  </si>
  <si>
    <t xml:space="preserve">Job Work </t>
  </si>
  <si>
    <t>For the month of APR-2025</t>
  </si>
  <si>
    <t>maknita Cutting Machine Armature &amp; Dewalt Armature Coil</t>
  </si>
  <si>
    <t>009/25-26</t>
  </si>
  <si>
    <t>47708/11-04-2025</t>
  </si>
  <si>
    <t>0148/2024-25</t>
  </si>
  <si>
    <t>J.R &amp; Company</t>
  </si>
  <si>
    <t>GP Slit Coil (0.80 x 137 x C) 16 Nos (In MT)</t>
  </si>
  <si>
    <t>GP Slit Coil (0.80 x 100 x C) 2 Nos (In MT)</t>
  </si>
  <si>
    <t>010/25-26</t>
  </si>
  <si>
    <t>47718/12-04-2025</t>
  </si>
  <si>
    <t>0142/2024-25</t>
  </si>
  <si>
    <t>GP Slit Coil (0.60 x 137 x C) 12 Nos (In MT)</t>
  </si>
  <si>
    <t>GP Slit Coil (0.60 x 100 x C) 2 Nos (In MT)</t>
  </si>
  <si>
    <t>011/25-26</t>
  </si>
  <si>
    <t>SAI400/25-26</t>
  </si>
  <si>
    <t>0009/2025-26</t>
  </si>
  <si>
    <t>Kflex St Sheet 13mm CL-O AluFoil (9 Roll) In Sqm</t>
  </si>
  <si>
    <t>Kflex St Sheet 19mm CL-O AluFoil (5 Roll) In Sqm</t>
  </si>
  <si>
    <t>Kflex St Sheet 13mm CL-O IC Clad (10 Roll) In Sqm</t>
  </si>
  <si>
    <t>Kflex St Sheet 93mm CL-O IC Clad (5 Roll) In Sqm</t>
  </si>
  <si>
    <t>APR-003/25-26</t>
  </si>
  <si>
    <t xml:space="preserve">M.S Auto Components </t>
  </si>
  <si>
    <t>For Camo12 GSS Corner 25 mm</t>
  </si>
  <si>
    <t>APR-004/25-26</t>
  </si>
  <si>
    <t>Maruthi Service Station</t>
  </si>
  <si>
    <t xml:space="preserve">Diesel Charges </t>
  </si>
  <si>
    <t>Diesel 120 Ltr</t>
  </si>
  <si>
    <t>APR-005/25-26</t>
  </si>
  <si>
    <t>Sanjana Enterprises</t>
  </si>
  <si>
    <t>Service Charges</t>
  </si>
  <si>
    <t>Repairs and Service Charges of Transformers</t>
  </si>
  <si>
    <t>012/25-26</t>
  </si>
  <si>
    <t>2526MSC0176/16-04-2025</t>
  </si>
  <si>
    <t>0008/25-26</t>
  </si>
  <si>
    <t>Meenakshi Steel Corporation</t>
  </si>
  <si>
    <t>GI Coil/Sheet (0.80x200mm-2) In Kgs</t>
  </si>
  <si>
    <t>120gsm Slit 24G</t>
  </si>
  <si>
    <t>120gsm Slit 22G</t>
  </si>
  <si>
    <t>0.80 x 240 mm - 3</t>
  </si>
  <si>
    <t>0.80 x 100 mm - 1</t>
  </si>
  <si>
    <t>0.80 x 228 mm - 4</t>
  </si>
  <si>
    <t>0.80 x 3058 mm -1</t>
  </si>
  <si>
    <t>0.80 x 1250</t>
  </si>
  <si>
    <t>120gsm 22G</t>
  </si>
  <si>
    <t>013/25-26</t>
  </si>
  <si>
    <t>2526MSC0177/16-04-2025</t>
  </si>
  <si>
    <t>GI Coil/Sheet (0.60 x 137 mm - 18)  In Kgs</t>
  </si>
  <si>
    <t>014/25-26</t>
  </si>
  <si>
    <t>KA/0162/25-26/17-04-2025</t>
  </si>
  <si>
    <t>0010/2025-26</t>
  </si>
  <si>
    <t>Cresco Industrial Products Pvt Ltd</t>
  </si>
  <si>
    <t>13x1.2x25 Anti Microbia CL-o Sheet-Plain (20 Rolls) In SQm</t>
  </si>
  <si>
    <t>015/25-26</t>
  </si>
  <si>
    <t>KM/05568/2025-26/17-04-2025</t>
  </si>
  <si>
    <t>0011/2025-26</t>
  </si>
  <si>
    <t>016/25-26</t>
  </si>
  <si>
    <t>ITC03/17-04-2025</t>
  </si>
  <si>
    <t>0012/2025-26</t>
  </si>
  <si>
    <t xml:space="preserve">Ideal Tools Corporation </t>
  </si>
  <si>
    <t>Chain Hoist 2 Ton (1 Phase) In Nos</t>
  </si>
  <si>
    <t>017/25-26</t>
  </si>
  <si>
    <t>469/17-04-2025</t>
  </si>
  <si>
    <t>0001/2025-2026</t>
  </si>
  <si>
    <t>A V Power Technologies</t>
  </si>
  <si>
    <t>AV Power Servo Voltage Stablizer with LCD Model</t>
  </si>
  <si>
    <t>3 Phase 25 KVA with Isolation  Transformer</t>
  </si>
  <si>
    <t>018/25-26</t>
  </si>
  <si>
    <t>0004/2025-26</t>
  </si>
  <si>
    <t>Insuflex 13mm x 1200mmx Class O Alu (158 Pkg) In Sqm</t>
  </si>
  <si>
    <t>019/25-26</t>
  </si>
  <si>
    <t>M12500000516/16-04-2025</t>
  </si>
  <si>
    <t>M12500000523/16-04-2025</t>
  </si>
  <si>
    <t>Insuflex 09mm x 1200mm Class O (In Sqm) 141 Pkg</t>
  </si>
  <si>
    <t>020/25-26</t>
  </si>
  <si>
    <t>25-26/0223/19-04-2025</t>
  </si>
  <si>
    <t>0006/2025-26</t>
  </si>
  <si>
    <t>Shree Jashraj Insulation Pvt Ltd</t>
  </si>
  <si>
    <t>Armaflex with Microban Sheet COM-19mm/E 1.2 (166 Roll) In Sqm</t>
  </si>
  <si>
    <t>Armasound Super Silence Sheet ASD-140-15 (42 Box)</t>
  </si>
  <si>
    <t>021/25-26</t>
  </si>
  <si>
    <t>25-26/0224/19-04-2025</t>
  </si>
  <si>
    <t>Fevicol AC Duct King (30 Ltr) 17 Tn (In ltr)</t>
  </si>
  <si>
    <t>022/25-26</t>
  </si>
  <si>
    <t>HA287/21-04-2025</t>
  </si>
  <si>
    <t>0018/2025-26</t>
  </si>
  <si>
    <t>Insusheild 13mmx1250mmx25MTRS Alu Foil (15 Rolls) In Sqm</t>
  </si>
  <si>
    <t>023/25-26</t>
  </si>
  <si>
    <t>042-2025-2026/21-04-2025</t>
  </si>
  <si>
    <t>0156/2024-25</t>
  </si>
  <si>
    <t>Sri Raghavendra Industries</t>
  </si>
  <si>
    <t>Consumable Materials</t>
  </si>
  <si>
    <t>024/25-26</t>
  </si>
  <si>
    <t>25-26/0239/21-04-2025</t>
  </si>
  <si>
    <t>0016/2025-26</t>
  </si>
  <si>
    <t>Armasound Super Silence Sheet ASD-140-15 (17 Box) In Sqm</t>
  </si>
  <si>
    <t xml:space="preserve">Armasound Super Silence Sheet ASD-140-25 (4 Box) </t>
  </si>
  <si>
    <t>Naveen S</t>
  </si>
  <si>
    <t>Weekly Pooja expenses (60 Sweets) 04/04/2025 Friday</t>
  </si>
  <si>
    <t>Pooja Expenses ( Shri Ramanavami ) 07-04-2025 Monday</t>
  </si>
  <si>
    <t>Travel Conveyance (Visited KNND Office &amp; Canara Bank 07-04-2025</t>
  </si>
  <si>
    <t>Electrical Work charges (Transformer Oil Changing work)</t>
  </si>
  <si>
    <t>Cleaning, Loading and Unloading Charges month of Apr-2025</t>
  </si>
  <si>
    <t>Internet Charges for the month of Apr-2025</t>
  </si>
  <si>
    <t>Weekly Pooja expenses (65 Sweets) 11/04/2025 Friday</t>
  </si>
  <si>
    <t>Mani N</t>
  </si>
  <si>
    <t>Food Expenses (Factory team Visited Maddur Factory-3 Workers)</t>
  </si>
  <si>
    <t>HDMI Cable For Desktop</t>
  </si>
  <si>
    <t>Porter Charges ( Sample VCD Sent to KNND )</t>
  </si>
  <si>
    <t>Charcol Purchased ( Earthing )</t>
  </si>
  <si>
    <t>MS Pipe Shifting Charges ( KNND )</t>
  </si>
  <si>
    <t>Weighment Charges ( Coil Received From J R &amp; Co and Meenakshi Steel)</t>
  </si>
  <si>
    <t>Food Expenses (Night Shift working on 17-04-2025 - 3 Workers )</t>
  </si>
  <si>
    <t>House Keeping Material Purchased</t>
  </si>
  <si>
    <t>Porter charges ( Chain Hoist 2 ton - 2 Nos received from Ideal Tools Co..)</t>
  </si>
  <si>
    <t>Food Expenses ( Visitor From MAHE Mr. Ravindra  Mohan )</t>
  </si>
  <si>
    <t>Refreshment Charges (Coffe, Tea Biscuit) IISC Team Visited)  12 &amp; 19-04-2025</t>
  </si>
  <si>
    <t>Transportation Charges (Spiral Duct Spares Received From Fedex -Shanghai)</t>
  </si>
  <si>
    <t>Weekly Pooja expenses (65 Sweets) 18/04/2025 Friday</t>
  </si>
  <si>
    <t>MS Channel Purchased for Spiral Trolly (Bill Attatched)</t>
  </si>
  <si>
    <t>025/25-26</t>
  </si>
  <si>
    <t>M12500000594/18-04-2025</t>
  </si>
  <si>
    <t>Insufex 19mmx1200mmxClass O Alu(100 PKG) In Sqm</t>
  </si>
  <si>
    <t>Insufex 13mmx1200mmxClass O GC (40 PKG) In Sqm</t>
  </si>
  <si>
    <t>Insufex 19mmx1200mmxClass O GC (114  PKG) In Sqm</t>
  </si>
  <si>
    <t>026/25-26</t>
  </si>
  <si>
    <t>8355/21-04-2025</t>
  </si>
  <si>
    <t>0017/2025-26</t>
  </si>
  <si>
    <t>13mm Thermobreak/Foil LS 1200mm x 20m (6 Rolls) In Sqm</t>
  </si>
  <si>
    <t>50mm Aluminium Foil Tape LS-C (50mm * 50 m) 600 Rmtr ( 12 Tape)</t>
  </si>
  <si>
    <t>027/25-26</t>
  </si>
  <si>
    <t>180/23-04-2025</t>
  </si>
  <si>
    <t xml:space="preserve">Manoj Enterprises </t>
  </si>
  <si>
    <t xml:space="preserve">Cotton Knitted Hand Gloves 80G Blue (300 Pairs ) </t>
  </si>
  <si>
    <t xml:space="preserve">Cotton Knitted Hand Gloves 90G Blue (200 Pairs ) </t>
  </si>
  <si>
    <t>028/25-26</t>
  </si>
  <si>
    <t>HRP/050/25-26/23-04-2025</t>
  </si>
  <si>
    <t>0138/2024-25_1</t>
  </si>
  <si>
    <t>HR Precisions</t>
  </si>
  <si>
    <t>Damper Operating lever Squar ( Guage 1.00mm, Hole -10mm (In Nos )</t>
  </si>
  <si>
    <t xml:space="preserve">Supply of 20 G GSS Duct Corner Pieces </t>
  </si>
  <si>
    <t>029/25-26</t>
  </si>
  <si>
    <t>MVDF/25-26/1754/23-04-2025`</t>
  </si>
  <si>
    <t>0086/24-25</t>
  </si>
  <si>
    <t xml:space="preserve">MVD Fasteners Pvt Ltd </t>
  </si>
  <si>
    <t>Slotted Truss HD Screw 4.6 G M8x25 (In Nos)</t>
  </si>
  <si>
    <t>Slotted Truss HD Screw 4.6 G M8x32 (In Nos)</t>
  </si>
  <si>
    <t>030/25-26</t>
  </si>
  <si>
    <t>2526MSC0263/23-04-2025</t>
  </si>
  <si>
    <t xml:space="preserve">Gi Coil/Sheet (0.60  x 1220 - 3-120 GSM) In Kgs </t>
  </si>
  <si>
    <t>120gsm 24G</t>
  </si>
  <si>
    <t>031/25-26</t>
  </si>
  <si>
    <t>ID325004016/21-04-2025</t>
  </si>
  <si>
    <t>Toggle Clamps/-STK 3</t>
  </si>
  <si>
    <t>032/25-26</t>
  </si>
  <si>
    <t>2526MSC0266/23-04-2025</t>
  </si>
  <si>
    <t xml:space="preserve">GI Coil / Sheet (0.60 x1220-2-120 GSM) In Kgs </t>
  </si>
  <si>
    <t xml:space="preserve">GI Coil / Sheet (1.20 x1250-1-120 SPM) In Kgs </t>
  </si>
  <si>
    <t>120spm 18G</t>
  </si>
  <si>
    <t xml:space="preserve">GI Coil / Sheet (1.00 x1220-1-120 GSM) In Kgs </t>
  </si>
  <si>
    <t>120gsm 20G</t>
  </si>
  <si>
    <t>GI Coil/Sheet (1.00x137mm-8 &amp; 1.00x100mm-1)</t>
  </si>
  <si>
    <t>120gsm Slit 20G</t>
  </si>
  <si>
    <t>APR-006/25-26</t>
  </si>
  <si>
    <t xml:space="preserve">PSI Global </t>
  </si>
  <si>
    <t>INV028/25-26</t>
  </si>
  <si>
    <t>Repairs and Service Charges of Compressor</t>
  </si>
  <si>
    <t>APR-007/25-26</t>
  </si>
  <si>
    <t xml:space="preserve">Cartridge Plus </t>
  </si>
  <si>
    <t xml:space="preserve">Printing Charges </t>
  </si>
  <si>
    <t>Cartridge Refilling 3 Nos</t>
  </si>
  <si>
    <t>APR-008/25-26</t>
  </si>
  <si>
    <t>Sharp Welding Systems</t>
  </si>
  <si>
    <t xml:space="preserve">Service Charges for Serviced CO2 Mig Welding Machine </t>
  </si>
  <si>
    <t>APR-009/25-26</t>
  </si>
  <si>
    <t xml:space="preserve">P Venkatesh &amp; Associates </t>
  </si>
  <si>
    <t xml:space="preserve">Professional fees </t>
  </si>
  <si>
    <t>For Filling of MSME Form-1 as on 31.3.2025</t>
  </si>
  <si>
    <t xml:space="preserve">Nanjundappa </t>
  </si>
  <si>
    <t>Travel &amp; Food Expenses (Malur Factory Visit-10 for the month of Mar-2025)</t>
  </si>
  <si>
    <t>Deepak K.V</t>
  </si>
  <si>
    <t>Porter Charges</t>
  </si>
  <si>
    <t>Food Expenses along with Umesh, Chowdesh Gowda and Selec etc</t>
  </si>
  <si>
    <t>Hevelling Bar purchased for hole Punch Machine</t>
  </si>
  <si>
    <t>Scale purchased for hole Punching Stand</t>
  </si>
  <si>
    <t>Petrole Expenses</t>
  </si>
  <si>
    <t>Porter Charges (VCD Bush received from Tooling Ocean)</t>
  </si>
  <si>
    <t>Weekly Pooja Expenses (Sweets-70 Nos) 25-04-2025  Friday</t>
  </si>
  <si>
    <t>Weighment Charges ( Coil Received from Meenakshi )</t>
  </si>
  <si>
    <t>M12500000869/24-04-2025</t>
  </si>
  <si>
    <t>Insuflex 19mm x 1200mm x Class O Alu (56 Pkg) In Sqm</t>
  </si>
  <si>
    <t>Insuflex 13mm x 1200mm x Class O (GC)  127 Pkg (In Sqm )</t>
  </si>
  <si>
    <t xml:space="preserve">Insuflex 19mm x 1200mm x Class O (GC) 78 Pkg </t>
  </si>
  <si>
    <t>MVDF/25-26/2166/27-04-2025</t>
  </si>
  <si>
    <t>0086/2024-25</t>
  </si>
  <si>
    <t>033/25-26</t>
  </si>
  <si>
    <t>034/25-26</t>
  </si>
  <si>
    <t>035/25-26</t>
  </si>
  <si>
    <t>51/2025-26/28-04-2025</t>
  </si>
  <si>
    <t>Verbal</t>
  </si>
  <si>
    <t xml:space="preserve">Emmanuels Electricals </t>
  </si>
  <si>
    <t>11 KV Voltage Transformer (In Nos)</t>
  </si>
  <si>
    <t>036/25-26</t>
  </si>
  <si>
    <t>HA419/29-04-2025</t>
  </si>
  <si>
    <t>13mm x 1200mm x 14MTRS Class O (GC) 10 Rolls (In Sqm)</t>
  </si>
  <si>
    <t xml:space="preserve">19mm x 1200mm x 10MTRS Class O (GC) 2 Rolls </t>
  </si>
  <si>
    <t>037/25-26</t>
  </si>
  <si>
    <t>25-26/0327/29-04-2025</t>
  </si>
  <si>
    <t>0020/2025-26</t>
  </si>
  <si>
    <t>Arma Comp Uniskin 3/50 mm Tape-12 Nos Per Box ( 46.33 Box ) In nos</t>
  </si>
  <si>
    <t>038/25-26</t>
  </si>
  <si>
    <t>SF/346/25-26/29-04-2025</t>
  </si>
  <si>
    <t>0014/2025-26</t>
  </si>
  <si>
    <t>Sanghvi Fasteners</t>
  </si>
  <si>
    <t>00824 MS Long Nut ( Size M8x24 ) In Nos</t>
  </si>
  <si>
    <t>039/25-26</t>
  </si>
  <si>
    <t>12/29-04-2025</t>
  </si>
  <si>
    <t>0007/2025-26</t>
  </si>
  <si>
    <t xml:space="preserve">Toolings Ocean </t>
  </si>
  <si>
    <t xml:space="preserve">Outer Bush </t>
  </si>
  <si>
    <t xml:space="preserve">Inner Bush </t>
  </si>
  <si>
    <t xml:space="preserve">Gear 150 Dia </t>
  </si>
  <si>
    <t>040/25-26</t>
  </si>
  <si>
    <t>MVDF/25-26/2321/29-04-2025</t>
  </si>
  <si>
    <t>041/25-26</t>
  </si>
  <si>
    <t>14041/25-04-2025</t>
  </si>
  <si>
    <t>Hardwares Junction</t>
  </si>
  <si>
    <t>042/25-26</t>
  </si>
  <si>
    <t>14062/26-04-2025</t>
  </si>
  <si>
    <t>043/25-26</t>
  </si>
  <si>
    <t>14098/30-04-2025</t>
  </si>
  <si>
    <t>044/25-26</t>
  </si>
  <si>
    <t>LRM/0059/25-26/02-05-2025</t>
  </si>
  <si>
    <t>0022/25-26</t>
  </si>
  <si>
    <t>LR Multi Speciality Products</t>
  </si>
  <si>
    <t>Stretch Film ( Manual Grade ) 500mm (In Kgs )</t>
  </si>
  <si>
    <t>May</t>
  </si>
  <si>
    <t>APR-010/25-26</t>
  </si>
  <si>
    <t>R.G Hotels &amp; Resort</t>
  </si>
  <si>
    <t>Lodging Charges</t>
  </si>
  <si>
    <t>Hotel and Room Rent</t>
  </si>
  <si>
    <t>APR-011/25-26</t>
  </si>
  <si>
    <t>Armstrong International Consultants</t>
  </si>
  <si>
    <t>BLR/2025-26/0514</t>
  </si>
  <si>
    <t xml:space="preserve">Consulting Fees </t>
  </si>
  <si>
    <t>For the actuarial valuation of Grauity and issuance of report as per the AS-15(R) Standerds.</t>
  </si>
  <si>
    <t>APR-012/25-26</t>
  </si>
  <si>
    <t>APR-013/25-26</t>
  </si>
  <si>
    <t>Sri Venkateshwara Enterprises</t>
  </si>
  <si>
    <t>SVE/0474/25-26</t>
  </si>
  <si>
    <t>Carbon-Di-Oxide Full Cylinder</t>
  </si>
  <si>
    <t>107 Kgs</t>
  </si>
  <si>
    <t>APR-014/25-26</t>
  </si>
  <si>
    <t>Diesel Charges</t>
  </si>
  <si>
    <t>Diesel 360 Ltr</t>
  </si>
  <si>
    <t>APR-015/25-26</t>
  </si>
  <si>
    <t>Chiru Catering</t>
  </si>
  <si>
    <t xml:space="preserve">Catering Service charges </t>
  </si>
  <si>
    <t xml:space="preserve">Morning, Evening and Night Dinner </t>
  </si>
  <si>
    <t>APR-016/25-26</t>
  </si>
  <si>
    <t>APR-017/25-26</t>
  </si>
  <si>
    <t>APR-018/25-26</t>
  </si>
  <si>
    <t>Kumar Auto Electrical Works</t>
  </si>
  <si>
    <t xml:space="preserve">Repair Charges </t>
  </si>
  <si>
    <t>Exide Xpresss(XP 1800) A3C5G2403723C54</t>
  </si>
  <si>
    <t>APR-019/25-26</t>
  </si>
  <si>
    <t>Nandini Milk Parlour</t>
  </si>
  <si>
    <t xml:space="preserve">Refreshment Charges </t>
  </si>
  <si>
    <t xml:space="preserve">Butter Milk </t>
  </si>
  <si>
    <t>APR-020/25-26</t>
  </si>
  <si>
    <t>Industrial Bearing House</t>
  </si>
  <si>
    <t>25-26/138</t>
  </si>
  <si>
    <t>LMF30LUU THK (2 Nos)</t>
  </si>
  <si>
    <t>MAY-001/25-26</t>
  </si>
  <si>
    <t>Aishwarya Security Services</t>
  </si>
  <si>
    <t>Aiss/25-26/14</t>
  </si>
  <si>
    <t xml:space="preserve">Security Service Charges </t>
  </si>
  <si>
    <t>Refreshment Charges (Coffe, Tea Biscuit) for the moth of Mar-2025</t>
  </si>
  <si>
    <t>Monthly Flower Payment (11-03-2025 To 10-04-2025)</t>
  </si>
  <si>
    <t>Refreshment Charges (Tea-834 Nos) for the moth of APR-2025</t>
  </si>
  <si>
    <t>Paper Roll for Plotor Machine - 1 Nos Purchased</t>
  </si>
  <si>
    <t>Porter charges (11 KV Voltage Transformer 3 Nos received from Emmanuel Electrical)</t>
  </si>
  <si>
    <t>Paid to Britle Service</t>
  </si>
  <si>
    <t>Weekly Pooja Expenses (70 Sweets) 02-05-2025 Friday</t>
  </si>
  <si>
    <t>Internet Charges for the month of May-2025</t>
  </si>
  <si>
    <t>Food charges (Night Working - 6 Workers ) Oval Machine repair work</t>
  </si>
  <si>
    <t>045/25-26</t>
  </si>
  <si>
    <t>KM/05630/2025-26/06-05-2025</t>
  </si>
  <si>
    <t>0027/2025-26</t>
  </si>
  <si>
    <t>Aluminium Coils (0.91x1220) in Mts</t>
  </si>
  <si>
    <t>Alu. 1.0mm</t>
  </si>
  <si>
    <t>046/25-26</t>
  </si>
  <si>
    <t>2526MSC0385/06-05-2025</t>
  </si>
  <si>
    <t>0008/2025-26</t>
  </si>
  <si>
    <t>GI Coil / Sheet (0.80 x137 mm -16 Nos) In Kgs</t>
  </si>
  <si>
    <t>GI Coil / Sheet (0.80 x100 mm -2 Nos) In Kgs</t>
  </si>
  <si>
    <t>047/25-26</t>
  </si>
  <si>
    <t>329/25-26/06-05-2025</t>
  </si>
  <si>
    <t>0025/2025-26_1-No.2</t>
  </si>
  <si>
    <t xml:space="preserve">Izzy Agencies </t>
  </si>
  <si>
    <t>Flexible Hose Re Infoced (1/2" x 30 Mtrs ) In Nos</t>
  </si>
  <si>
    <t>Flexible Hose Re Infoced (3/4" x 30 Mtrs ) In Nos</t>
  </si>
  <si>
    <t>Flexible Hose Re Infoced (1" x 30 Mtrs ) In Nos</t>
  </si>
  <si>
    <t>Flexible Hose Re Infoced (2" x 30 Mtrs ) In Nos</t>
  </si>
  <si>
    <t>048/25-26</t>
  </si>
  <si>
    <t>330/25-26/06-05-2025</t>
  </si>
  <si>
    <t>0013/2025-26</t>
  </si>
  <si>
    <t>Galvanised Flexible Hose ( 1/2" x 15 Mtrs ) In Nos</t>
  </si>
  <si>
    <t>Galvanised Flexible Hose ( 3/4" x 15 Mtrs ) In Nos</t>
  </si>
  <si>
    <t>Galvanised Flexible Hose ( 1" x 15 Mtrs ) In Nos</t>
  </si>
  <si>
    <t>Galvanised Flexible Hose ( 2" x 10 Mtrs ) In Nos</t>
  </si>
  <si>
    <t>049/25-26</t>
  </si>
  <si>
    <t>KM/05637/2025-26/07-05-2025</t>
  </si>
  <si>
    <t>0029/2025-26</t>
  </si>
  <si>
    <t>CR Coil Cut (3.00mm x 1250 x 2500) 2 Nos (In Mts )</t>
  </si>
  <si>
    <t>050/25-26</t>
  </si>
  <si>
    <t>355/25-26/08-05-2025</t>
  </si>
  <si>
    <t>0028/2025-26-No:3</t>
  </si>
  <si>
    <t>Plastic Crate ( 600 x 400 x 325mm Aristo) 2% Disc</t>
  </si>
  <si>
    <t>Wall Fan (24" Wall Mounted Fan) 2% Disc (In Nos)</t>
  </si>
  <si>
    <t>051/25-26</t>
  </si>
  <si>
    <t>M12500001220/05-05-2025</t>
  </si>
  <si>
    <t>0026/2025-26</t>
  </si>
  <si>
    <t>Insu Sound BN 15 MMx (1x1)M (65 Pkg) In Sqm</t>
  </si>
  <si>
    <t>052/25-26</t>
  </si>
  <si>
    <t>M12500001221/05-05-2025</t>
  </si>
  <si>
    <t>Insuflex 19mm x 1200mmxClass O AL Foil FM (44 Pkg) In Sqm</t>
  </si>
  <si>
    <t>053/25-26</t>
  </si>
  <si>
    <t>SAI1294/25-26/09-05-2025</t>
  </si>
  <si>
    <t>0031/2025-26</t>
  </si>
  <si>
    <t>Kflex Kfonik 15mm Open Cell CL-1 Plain (42 Box) In Sqm</t>
  </si>
  <si>
    <t>APR-021/25-26</t>
  </si>
  <si>
    <t>Sri Veerabhadraswamy Transport</t>
  </si>
  <si>
    <t xml:space="preserve">Transportation Charges </t>
  </si>
  <si>
    <t>APR-022/25-26</t>
  </si>
  <si>
    <t>APR-023/25-26</t>
  </si>
  <si>
    <t xml:space="preserve">The Professional Couriers </t>
  </si>
  <si>
    <t>HRD25559</t>
  </si>
  <si>
    <t xml:space="preserve">Couriers Charges </t>
  </si>
  <si>
    <t>APR-024/25-26</t>
  </si>
  <si>
    <t>Jupiter &amp; Company</t>
  </si>
  <si>
    <t xml:space="preserve">Proffessional Fees </t>
  </si>
  <si>
    <t>Fees towards Preparation of EPF and ESI Challans During Calendar Month Apr-2025</t>
  </si>
  <si>
    <t>APR-025/25-26</t>
  </si>
  <si>
    <t>Suresh Travels</t>
  </si>
  <si>
    <t>45/25-26</t>
  </si>
  <si>
    <t xml:space="preserve">Taxi Hire Charges </t>
  </si>
  <si>
    <t>MAY-002/25-26</t>
  </si>
  <si>
    <t>SME Network</t>
  </si>
  <si>
    <t>180/GST/25-26</t>
  </si>
  <si>
    <t>Consultancy Fees</t>
  </si>
  <si>
    <t>Management Consultancy - IEC Modification</t>
  </si>
  <si>
    <t>MAY-003/25-26</t>
  </si>
  <si>
    <t>25-26/159</t>
  </si>
  <si>
    <t>LM 30 UU IKO (1 Ns )</t>
  </si>
  <si>
    <t>MAY-004/25-26</t>
  </si>
  <si>
    <t xml:space="preserve">Electricity Power charges </t>
  </si>
  <si>
    <t>MAY-005/25-26</t>
  </si>
  <si>
    <t>Likith Enterprises</t>
  </si>
  <si>
    <t>L004</t>
  </si>
  <si>
    <t xml:space="preserve">Shed Fabrication work </t>
  </si>
  <si>
    <t>APR-026/25-26</t>
  </si>
  <si>
    <t>Nikhila Engineering</t>
  </si>
  <si>
    <t xml:space="preserve">Thermal Insulation and Acoustic Insulation </t>
  </si>
  <si>
    <t>APR-027/25-26</t>
  </si>
  <si>
    <t>Thermal Insulation, Acoustic Insulation and Acoustic insulation (without beading )</t>
  </si>
  <si>
    <t>APR-028/25-26</t>
  </si>
  <si>
    <t>Thermal Insulation</t>
  </si>
  <si>
    <t>APR-029/25-26</t>
  </si>
  <si>
    <t>APR-030/25-26</t>
  </si>
  <si>
    <t>APR-031/25-26</t>
  </si>
  <si>
    <t>APR-032/25-26</t>
  </si>
  <si>
    <t>APR-033/25-26</t>
  </si>
  <si>
    <t xml:space="preserve">Thermal Insulation  </t>
  </si>
  <si>
    <t>APR-034/25-26</t>
  </si>
  <si>
    <t>Acoustic Insulation</t>
  </si>
  <si>
    <t>APR-035/25-26</t>
  </si>
  <si>
    <t>Thermal Insulation, Acoustic Insulation and Acoustic Insulation (without beading)</t>
  </si>
  <si>
    <t>APR-036/25-26</t>
  </si>
  <si>
    <t xml:space="preserve">Thermal Insulation </t>
  </si>
  <si>
    <t>APR-037/25-26</t>
  </si>
  <si>
    <t>APR-039/25-26</t>
  </si>
  <si>
    <t>APR-038/25-26</t>
  </si>
  <si>
    <t>054/25-26</t>
  </si>
  <si>
    <t>MS25-26/IN/23158/15-05-2025</t>
  </si>
  <si>
    <t>0032/2025-26</t>
  </si>
  <si>
    <t>Mandot Steel</t>
  </si>
  <si>
    <t>GP/GI Coil 120 STL (0.80 x 1220) In Kgs</t>
  </si>
  <si>
    <t>055/25-26</t>
  </si>
  <si>
    <t>MS25-26/IN/23159/15-05-2025</t>
  </si>
  <si>
    <t>GP/GI Coil 120 STL (0.60 x 1220) In Kgs</t>
  </si>
  <si>
    <t>056/25-26</t>
  </si>
  <si>
    <t>25-26/0556/16-05-2025</t>
  </si>
  <si>
    <t>0033/2025-26</t>
  </si>
  <si>
    <t>057/25-26</t>
  </si>
  <si>
    <t>25-26/0557/16-05-2025</t>
  </si>
  <si>
    <t>Armaflex with Microban Sheet COM-19MM/E 1.2 (113 Roll) In Sqm</t>
  </si>
  <si>
    <t>058/25-26</t>
  </si>
  <si>
    <t>25-26/0558/16-05-2025</t>
  </si>
  <si>
    <t>Armaflex with Microban Sheet COM-19MM/E 1.2 (107 Roll) In Sqm</t>
  </si>
  <si>
    <t>059/25-26</t>
  </si>
  <si>
    <t>Slotted Truss HD Screw 4.6G M8x25 ( In Nos )</t>
  </si>
  <si>
    <t>060/25-26</t>
  </si>
  <si>
    <t>8395/17-05-2025</t>
  </si>
  <si>
    <t>0034/2025-26</t>
  </si>
  <si>
    <t xml:space="preserve">13mm Thermobreak/Foil LS 1200mm x 20M (10 Rolls) In Sqm </t>
  </si>
  <si>
    <t>061/25-26</t>
  </si>
  <si>
    <t>GTR-I/25-26/613/20-05-2025</t>
  </si>
  <si>
    <t>0002/2025-26_1</t>
  </si>
  <si>
    <t>GTR Aluminium Pvt Ltd</t>
  </si>
  <si>
    <t>Aluminium Ext Profile ( In Kgs )</t>
  </si>
  <si>
    <t>062/25-26</t>
  </si>
  <si>
    <t>ST/25-26/1325/20-05-2025</t>
  </si>
  <si>
    <t>Silcon Steels Pvt Ltd</t>
  </si>
  <si>
    <t xml:space="preserve">G P Formed Sections ( Gi Angle Thk 2.5mm) In Mts </t>
  </si>
  <si>
    <t>Electrical Work charges (Transformer Meter Changing Labour  work) Day 1</t>
  </si>
  <si>
    <t>Weighment charges ( Slitted coil received from Meenakshi Steel )</t>
  </si>
  <si>
    <t>Electrical repair work charges ( Transformer )</t>
  </si>
  <si>
    <t>Electrical Work charges ( Transformer 11 KV Voltage changing Labour work Day-2 )</t>
  </si>
  <si>
    <t>Medical Expenses (Injury during working time Nandalal)</t>
  </si>
  <si>
    <t>Food charges ( Visitor from MSME Z Office )</t>
  </si>
  <si>
    <t>Weekly Pooja expenses (sweets - 70 Nos) 09-05-2025 Friday</t>
  </si>
  <si>
    <t>Stationary Material purchased ( Bill Attatched )</t>
  </si>
  <si>
    <t>Monthly Flower payment (11-04-2025 to 10-05-2025)</t>
  </si>
  <si>
    <t>Conveyane (Visiting KNND Office and Canara Bank Bangalore)</t>
  </si>
  <si>
    <t>Loading and Unloading charges for the month of May - 2025</t>
  </si>
  <si>
    <t>063/25-26</t>
  </si>
  <si>
    <t>497/25-26/22-05-2025</t>
  </si>
  <si>
    <t>0035/2025-26</t>
  </si>
  <si>
    <t>GI Mesh (5'x1/2"x1/2"x1mm) In Sq ft</t>
  </si>
  <si>
    <t>Chain (MS 10mm) In MTR</t>
  </si>
  <si>
    <t>MAY-006/25-26</t>
  </si>
  <si>
    <t xml:space="preserve">Sri Udyog Integrated Services Pvt Ltd </t>
  </si>
  <si>
    <t>SUI/1020</t>
  </si>
  <si>
    <t xml:space="preserve">Salary Maintenance Charges </t>
  </si>
  <si>
    <t>MAY-007/25-26</t>
  </si>
  <si>
    <t>SUI/1021</t>
  </si>
  <si>
    <t xml:space="preserve">Over Time Wages </t>
  </si>
  <si>
    <t>MAY-008/25-26</t>
  </si>
  <si>
    <t>120 Ltrs</t>
  </si>
  <si>
    <t>MAY-009/25-26</t>
  </si>
  <si>
    <t>1243199007262</t>
  </si>
  <si>
    <t>MAY-010/25-26</t>
  </si>
  <si>
    <t>RS Form Teknic</t>
  </si>
  <si>
    <t>RSFT/INV/03/2025</t>
  </si>
  <si>
    <t xml:space="preserve">Repair &amp; Service Maintenance Charges </t>
  </si>
  <si>
    <t xml:space="preserve">Servicing of Plasma Cutting Machines and Old Spiral tube Former machine </t>
  </si>
  <si>
    <t>MAY-011/25-26</t>
  </si>
  <si>
    <t>SAMS Industrial Products</t>
  </si>
  <si>
    <t>0339-25-26</t>
  </si>
  <si>
    <t xml:space="preserve">Leveling Base Straight ,Levelling Base Solid and Anti Vibration Rubber Pad Purchased </t>
  </si>
  <si>
    <t>MAY-012/25-26</t>
  </si>
  <si>
    <t>Product Brochures - 6 Pages - 3 Fold (10-10=20 Nos)</t>
  </si>
  <si>
    <t xml:space="preserve">Neha Graphics </t>
  </si>
  <si>
    <t>MAY-013/25-26</t>
  </si>
  <si>
    <t xml:space="preserve">Metal Work Pneumatic India Pvt Ltd </t>
  </si>
  <si>
    <t>GST/25-26/001194</t>
  </si>
  <si>
    <t xml:space="preserve">Repair &amp; Maintenance Charges </t>
  </si>
  <si>
    <t xml:space="preserve">Mini Valve Mech/Hand Operated VME 1-01 NC </t>
  </si>
  <si>
    <t>MAY-014/25-26</t>
  </si>
  <si>
    <t>Shriram Institute For Industrial Research</t>
  </si>
  <si>
    <t>25-26/02/185</t>
  </si>
  <si>
    <t xml:space="preserve">Laboratory Charges </t>
  </si>
  <si>
    <t xml:space="preserve">Polyurethane Foam Testing </t>
  </si>
  <si>
    <t>MAY-015/25-26</t>
  </si>
  <si>
    <t>Asho Business Service India Pvt Ltd</t>
  </si>
  <si>
    <t>ABSIPL/25-26/018</t>
  </si>
  <si>
    <t xml:space="preserve">Manpower Services Charges </t>
  </si>
  <si>
    <t>Hypertherm Cooling Fan for Plasma Cutting Machine -1 VPCM-01</t>
  </si>
  <si>
    <t>Porter Charges (Hypertherm Cooling Fan received from KNND office)</t>
  </si>
  <si>
    <t>Porter charges ( Cleats sent to IISC Site )</t>
  </si>
  <si>
    <t>Food charges (Mr.Prasad &amp; Prakash from RS Form Tecknic visited Factory 14-05-25 &amp; 15-05-2025)</t>
  </si>
  <si>
    <t>Hypertherm Cooling Fan for Service Charges ( Amount paid Raghu )</t>
  </si>
  <si>
    <t>Weekly Pooja Expenses ( 60 Sweets ) 16-05-2025 Friday</t>
  </si>
  <si>
    <t xml:space="preserve">First Aid Kit &amp; Medicines Purchased </t>
  </si>
  <si>
    <t>Porter Charges ( Stabilizer Sent to AV Technologies Peenya Bangalore )</t>
  </si>
  <si>
    <t>Refreshment Charges (IISC Team Visited Factory Tea and Buiscut )</t>
  </si>
  <si>
    <t>Weighment charges (Coil received from Mandot Steel )</t>
  </si>
  <si>
    <t>Porter Charges ( Stabilizer received from AV Technologies )</t>
  </si>
  <si>
    <t>Porter Charges ( GI Mesh &amp; MS Chain received from Izzy Agencies )</t>
  </si>
  <si>
    <t>064/25-26</t>
  </si>
  <si>
    <t>M12500001774/21-05-2025</t>
  </si>
  <si>
    <t>Insu sound BN 15mm x (1*1) M (60 Pkg ) In Sqm</t>
  </si>
  <si>
    <t>065/25-26</t>
  </si>
  <si>
    <t>MS25-26/IN/23322/23-05-2025</t>
  </si>
  <si>
    <t xml:space="preserve">GP/GI Coil 120 STL (0.80 x 1220) In Kgs </t>
  </si>
  <si>
    <t>GP/GI Slitting Coil (137x18=12010KG) 0.60 x 1250</t>
  </si>
  <si>
    <t>066/25-26</t>
  </si>
  <si>
    <t>MS25-26/IN/23323/23-05-2025</t>
  </si>
  <si>
    <t>GP/GI Coil 120 STL (1.00 x 1250)</t>
  </si>
  <si>
    <t>067/25-26</t>
  </si>
  <si>
    <t>MVDF/25-26/5012/27-05-2025</t>
  </si>
  <si>
    <t>0015/2025-26</t>
  </si>
  <si>
    <t>Threaded Rod Steel 4.6 M8x245 (In Nos )</t>
  </si>
  <si>
    <t>068/25-26</t>
  </si>
  <si>
    <t>MVDF/25-26/5015/27-05-2025</t>
  </si>
  <si>
    <t>Threaded Rod Steel 4.6 M8x295</t>
  </si>
  <si>
    <t>Threaded Rod Steel 4.6 M8x345</t>
  </si>
  <si>
    <t>Threaded Rod Steel 4.6 M8x395</t>
  </si>
  <si>
    <t>Threaded Rod Steel 4.6 M8x445</t>
  </si>
  <si>
    <t>Threaded Rod Steel 4.6 M8x495</t>
  </si>
  <si>
    <t>069/25-26</t>
  </si>
  <si>
    <t>SAI1916/25-26/26-05-2025</t>
  </si>
  <si>
    <t>0139/2024-25</t>
  </si>
  <si>
    <t>Kflex ST Sheet 9mm CL-O AM (200 Roll) In Sqm</t>
  </si>
  <si>
    <t xml:space="preserve">Kflex kfonik 10mm Open Cell CL-1 AM (30 Box) </t>
  </si>
  <si>
    <t>MAY-016/25-26</t>
  </si>
  <si>
    <t>671/672</t>
  </si>
  <si>
    <t>Hotel and Room Rent (4188+915) 6% Tax</t>
  </si>
  <si>
    <t>MAY-017/25-26</t>
  </si>
  <si>
    <t>Cartridge Refilling 5 Nos</t>
  </si>
  <si>
    <t>MAY-018/25-26</t>
  </si>
  <si>
    <t>Job Work (Die Holder, Clinch Die,Press Tool Etc)</t>
  </si>
  <si>
    <t>MAY-019/25-26</t>
  </si>
  <si>
    <t>2024-12-00-16 LM Bush Mtg Plate</t>
  </si>
  <si>
    <t>MAY-020/25-26</t>
  </si>
  <si>
    <t>MAY-021/25-26</t>
  </si>
  <si>
    <t>SVE/0970/25-26</t>
  </si>
  <si>
    <t>INV081/25-26</t>
  </si>
  <si>
    <t>MAY-022/25-26</t>
  </si>
  <si>
    <t>MAY-023/25-26</t>
  </si>
  <si>
    <t>Diesel 240 Ltr</t>
  </si>
  <si>
    <t>MAY-024/25-26</t>
  </si>
  <si>
    <t>86/25-26</t>
  </si>
  <si>
    <t>For the month of May-2025</t>
  </si>
  <si>
    <t>MAY-025/25-26</t>
  </si>
  <si>
    <t>0128/2025-26</t>
  </si>
  <si>
    <t>Fees towards Preparation of EPF and ESI Challans During Calendar Month May-2025</t>
  </si>
  <si>
    <t>JUN-001/25-26</t>
  </si>
  <si>
    <t>Aiss/25-26/193</t>
  </si>
  <si>
    <t>JUN-002/25-26</t>
  </si>
  <si>
    <t>A4 Size Die Punched Stickers - 10,000 Nos</t>
  </si>
  <si>
    <t>June</t>
  </si>
  <si>
    <t xml:space="preserve">Weekly pooja expences (70 Sweets) 23-05-2025 Friday </t>
  </si>
  <si>
    <t>Weekly Pooja Expenses (70 Sweets) 30-05-2025 Friday</t>
  </si>
  <si>
    <t>Refreshment Expenses (Water Battle and Snacks for IISC Team)</t>
  </si>
  <si>
    <t>Bearing 51212 Purchased (coil Lifting Crane)</t>
  </si>
  <si>
    <t>Travel Conveyance (Visited KNND Office &amp; Canara Bank Bangalore)</t>
  </si>
  <si>
    <t>070/25-26</t>
  </si>
  <si>
    <t>208/30-05-2025</t>
  </si>
  <si>
    <t>80G Blue Cotton Knitted Gloves (in Pairs)</t>
  </si>
  <si>
    <t xml:space="preserve">90G Cotton Knitted Gloves </t>
  </si>
  <si>
    <t>071/25-26</t>
  </si>
  <si>
    <t>14263/30-05-2025</t>
  </si>
  <si>
    <t>072/25-26</t>
  </si>
  <si>
    <t>14269/31-05-2025</t>
  </si>
  <si>
    <t>073/25-26</t>
  </si>
  <si>
    <t>MVDF/25-26/3874/16-05-2025</t>
  </si>
  <si>
    <t>Threaded Rod Steel 4.6 M8x295 (In Nos)</t>
  </si>
  <si>
    <t>Threaded Rod Steel 4.6 M8x345 (In Nos)</t>
  </si>
  <si>
    <t>Threaded Rod Steel 4.6 M8x395 (In Nos)</t>
  </si>
  <si>
    <t>Threaded Rod Steel 4.6 M8x445 (In Nos)</t>
  </si>
  <si>
    <t>Threaded Rod Steel 4.6 M8x495 (In Nos)</t>
  </si>
  <si>
    <t>074/25-26</t>
  </si>
  <si>
    <t>25-26/0793/03-06-2025</t>
  </si>
  <si>
    <t>0041/2025-26</t>
  </si>
  <si>
    <t>Armaflex Rubber Sheet 13mm/E 1.2 (25 Roll) In Sqm</t>
  </si>
  <si>
    <t>Armaflex Rubber Sheet 13mm/E ( 5 Roll) In Sqm</t>
  </si>
  <si>
    <t>075/25-26</t>
  </si>
  <si>
    <t>8420/02-06-2025</t>
  </si>
  <si>
    <t>0042/25-26_1</t>
  </si>
  <si>
    <t>13mm Thermobreak/Foil LS 1200mmx20m (150 Rolls) In Sqm</t>
  </si>
  <si>
    <t>50mm Aluminium Foil Tape LS-C (50mm * 50 m) 2400 Rmtr ( 48 Tape)</t>
  </si>
  <si>
    <t xml:space="preserve"> </t>
  </si>
  <si>
    <t>076/25-26</t>
  </si>
  <si>
    <t>GTR-I/25-26/790/05-06-2025</t>
  </si>
  <si>
    <t>077/25-26</t>
  </si>
  <si>
    <t>25-26/0877/09-06-2025</t>
  </si>
  <si>
    <t>Armasound Super Silence Sheets ASD-140-15 (42 Box) In Sqm</t>
  </si>
  <si>
    <t>MAY-026/25-26</t>
  </si>
  <si>
    <t>Trade Wings Limited</t>
  </si>
  <si>
    <t>K2503299</t>
  </si>
  <si>
    <t>Travel Expences</t>
  </si>
  <si>
    <t>MAY-027/25-26</t>
  </si>
  <si>
    <t>K2503300</t>
  </si>
  <si>
    <t>Flight Ticket Expenses Blr to Bom (10374) and 600*18% GST ( Mr. Mani N )</t>
  </si>
  <si>
    <t>Flight Ticket Expenses Blr to Bom (10374) and 600*18% GST ( Mr. Deepak KV )</t>
  </si>
  <si>
    <t>MAY-028/25-26</t>
  </si>
  <si>
    <t>HRD254881</t>
  </si>
  <si>
    <t>MAY-029/25-26</t>
  </si>
  <si>
    <t>Butter Milk and Milk</t>
  </si>
  <si>
    <t>MAY-030/25-26</t>
  </si>
  <si>
    <t>MAY-031/25-26</t>
  </si>
  <si>
    <t>MAY-032/25-26</t>
  </si>
  <si>
    <t>MAY-033/25-26</t>
  </si>
  <si>
    <t>MAY-034/25-26</t>
  </si>
  <si>
    <t>MAY-035/25-26</t>
  </si>
  <si>
    <t>MAY-036/25-26</t>
  </si>
  <si>
    <t xml:space="preserve">Acoustic Insulation without beading </t>
  </si>
  <si>
    <t>MAY-037/25-26</t>
  </si>
  <si>
    <t>MAY-038/25-26</t>
  </si>
  <si>
    <t xml:space="preserve">Thermal Insulation And Acoustic Insulation without beading </t>
  </si>
  <si>
    <t>MAY-039/25-26</t>
  </si>
  <si>
    <t>MAY-040/25-26</t>
  </si>
  <si>
    <t>MAY-041/25-26</t>
  </si>
  <si>
    <t>MAY-042/25-26</t>
  </si>
  <si>
    <t>MAY-043/25-26</t>
  </si>
  <si>
    <t>MAY-044/25-26</t>
  </si>
  <si>
    <t>MAY-045/25-26</t>
  </si>
  <si>
    <t xml:space="preserve">Thermal Insulation, Acoustic Insulation and Acoustic Insulation without beading </t>
  </si>
  <si>
    <t>MAY-046/25-26</t>
  </si>
  <si>
    <t>MAY-047/25-26</t>
  </si>
  <si>
    <t>MAY-048/25-26</t>
  </si>
  <si>
    <t>JUN-003/25-26</t>
  </si>
  <si>
    <t>1243199007980</t>
  </si>
  <si>
    <t>JUN-004/25-26</t>
  </si>
  <si>
    <t>Evening Snacks for the month of May-25</t>
  </si>
  <si>
    <t>JUN-005/25-26</t>
  </si>
  <si>
    <r>
      <t>MVDF/25-26/</t>
    </r>
    <r>
      <rPr>
        <sz val="11"/>
        <color rgb="FFFF0000"/>
        <rFont val="Calibri"/>
        <family val="2"/>
        <scheme val="minor"/>
      </rPr>
      <t>3847</t>
    </r>
    <r>
      <rPr>
        <sz val="11"/>
        <color theme="1"/>
        <rFont val="Calibri"/>
        <family val="2"/>
        <scheme val="minor"/>
      </rPr>
      <t>/16-05-2025</t>
    </r>
  </si>
  <si>
    <r>
      <t>MVDF/25-26/</t>
    </r>
    <r>
      <rPr>
        <sz val="11"/>
        <color rgb="FFFF0000"/>
        <rFont val="Calibri"/>
        <family val="2"/>
        <scheme val="minor"/>
      </rPr>
      <t>3757</t>
    </r>
    <r>
      <rPr>
        <sz val="11"/>
        <color theme="1"/>
        <rFont val="Calibri"/>
        <family val="2"/>
        <scheme val="minor"/>
      </rPr>
      <t>/15-05-2025</t>
    </r>
  </si>
  <si>
    <t>078/25-26</t>
  </si>
  <si>
    <t>48075/11-06-2025</t>
  </si>
  <si>
    <t>0045/25-26</t>
  </si>
  <si>
    <t>GP Coil (0.80 x 1220 x C) Qty in MT (1 Nos)</t>
  </si>
  <si>
    <t>GP Coil (1.00 x 1220 x C) Qty in MT (1 Nos)</t>
  </si>
  <si>
    <t>GP Coil (0.60 x 1220 x C) Qty in MT (1 Nos)</t>
  </si>
  <si>
    <t>079/25-26</t>
  </si>
  <si>
    <t>227/12-06-2025</t>
  </si>
  <si>
    <t>0039/2025-26_1</t>
  </si>
  <si>
    <t>Sneha Enterprise Self Adhesive Tapes</t>
  </si>
  <si>
    <t xml:space="preserve">XLPE Gasket (5mm x 20mm x 10Mtr) </t>
  </si>
  <si>
    <t>XLPE Gasket (10mm x 10mm x 10Mtr)</t>
  </si>
  <si>
    <t>080/25-26</t>
  </si>
  <si>
    <t>25-26/0941/13-06-2025</t>
  </si>
  <si>
    <t>0049/2025-26</t>
  </si>
  <si>
    <t>Armasound Ductliner with Microban 10mm (20 Box) In Sqm</t>
  </si>
  <si>
    <t>081/25-26</t>
  </si>
  <si>
    <t>082/25-26</t>
  </si>
  <si>
    <t>SAI2639/25-26/16-06-2025</t>
  </si>
  <si>
    <t xml:space="preserve">Sri Arihant Industries </t>
  </si>
  <si>
    <t>Sri Arihant Industries</t>
  </si>
  <si>
    <t>Kflex ST Sheet 13mm CL-O AM (30 Roll) In Sqm</t>
  </si>
  <si>
    <t>083/25-26</t>
  </si>
  <si>
    <t>LRM/0177/25-26/16-06-2025</t>
  </si>
  <si>
    <t>0052/2025-26</t>
  </si>
  <si>
    <t>Stretch Film ( Manual Grade ) 500mm M (In Kgs ) (19 Boxes )</t>
  </si>
  <si>
    <t>084/25-26</t>
  </si>
  <si>
    <t>48111/17-06-2025</t>
  </si>
  <si>
    <t>0045/2025-26</t>
  </si>
  <si>
    <t>GP Coil ( 0.80 x1220 x C ) 1 Nos ( In MT)</t>
  </si>
  <si>
    <t>085/25-26</t>
  </si>
  <si>
    <t>TCE/2526/236/17-06-2025</t>
  </si>
  <si>
    <t>0053/2025-26-CDIPL/001/25-26</t>
  </si>
  <si>
    <t>Truecon Enterprises</t>
  </si>
  <si>
    <t>Electrode 45A-105A-PMX (In Nos)</t>
  </si>
  <si>
    <t xml:space="preserve">Nozzel 45A PMX </t>
  </si>
  <si>
    <t>086/25-26</t>
  </si>
  <si>
    <t>ST/25-26/2087/18-06-2025</t>
  </si>
  <si>
    <t>GI Formed Sections ( L Angle-Thk-2.5mmx25x25) In MTS</t>
  </si>
  <si>
    <t>087/25-26</t>
  </si>
  <si>
    <t>BCT/25-26/658/13-06-2025</t>
  </si>
  <si>
    <t>Monitor Dell 27" SE2725HM (In Nos)</t>
  </si>
  <si>
    <t>Big  C Technologies Pvt Ltd</t>
  </si>
  <si>
    <t>APR-040/25-26</t>
  </si>
  <si>
    <t>ID325004268</t>
  </si>
  <si>
    <t xml:space="preserve">THT Spring TB/Ecal 2 and THT Spring TF/Ecal 2 and </t>
  </si>
  <si>
    <t>JUNE-006/25-26</t>
  </si>
  <si>
    <t>SVE/1330/25-26</t>
  </si>
  <si>
    <t>93 Kgs</t>
  </si>
  <si>
    <t>JUNE-007/25-26</t>
  </si>
  <si>
    <t>SUI/1054</t>
  </si>
  <si>
    <t>JUNE-008/25-26</t>
  </si>
  <si>
    <t>SUI/1055</t>
  </si>
  <si>
    <t>JUNE-009/25-26</t>
  </si>
  <si>
    <t>Petrol Charges</t>
  </si>
  <si>
    <t>Petrol 10 Ltr</t>
  </si>
  <si>
    <t>JUNE-010/25-26</t>
  </si>
  <si>
    <t>Ashok Business Service India Pvt Ltd</t>
  </si>
  <si>
    <t>ABSIPL/25-26/042</t>
  </si>
  <si>
    <t>House keeping Material Purchased</t>
  </si>
  <si>
    <t>Refreshment Charges (Tea-460 Nos 02-05-2025 to 15-05-2025)</t>
  </si>
  <si>
    <t>Refreshment Charges ( Tea 635 Nos - 16-05-2025 to 31-05-2025)</t>
  </si>
  <si>
    <t xml:space="preserve">Weekly Pooja Expenses (Sweets - 70 Nos) 06-06-2025 Friday </t>
  </si>
  <si>
    <t>Manjunath GM</t>
  </si>
  <si>
    <t>Visit to Camduct factory on 8-05-2025 &amp; 06-06-2025</t>
  </si>
  <si>
    <t>Room Charges In Mumbai . Deepak, Mani and Prasad</t>
  </si>
  <si>
    <t>Travel expenses Home to Airport to Home.</t>
  </si>
  <si>
    <t xml:space="preserve">Food Expenses In Mumbai </t>
  </si>
  <si>
    <t xml:space="preserve">Mumbai To Airport To Kalyan travelling Charges </t>
  </si>
  <si>
    <t>Mumbai - Ant charges In Mubai</t>
  </si>
  <si>
    <t>Food expenses along with Umesh</t>
  </si>
  <si>
    <t>Loading and Unloading charges for the month of June-2025</t>
  </si>
  <si>
    <t>Internet charges for the month of June - 2025</t>
  </si>
  <si>
    <t>Travel and Food charges Expenses (Camduct Team 5 Workers visited Maddur Factory)</t>
  </si>
  <si>
    <t>Weighment Charges ( Coil received form JR &amp; Co )</t>
  </si>
  <si>
    <t>Monthly Flower Payment (11-05-2025 To 10-06-2025)</t>
  </si>
  <si>
    <t>Weekly Pooja expenses ( Sweets - 75 Nos ) 13-06-2025 Friday</t>
  </si>
  <si>
    <t>Internet New connection Wifi Modem &amp; Package Charges</t>
  </si>
  <si>
    <t>Weighment charges ( Coil and L Angles received from JR &amp; Co and Silicon Steel)</t>
  </si>
  <si>
    <t>Refreshment Charges  ( BAS Security Agency team Visited Tea, Water bottle and Biscuit)</t>
  </si>
  <si>
    <t>Transportation charges ( Urja Sealant received from Pune )</t>
  </si>
  <si>
    <t>Refreshment charges ( IISC team visited Factory Tea, Water bottle and Biscuit )</t>
  </si>
  <si>
    <t>088/25-26</t>
  </si>
  <si>
    <t>414/13-06-2025</t>
  </si>
  <si>
    <t>Urja Sealants Pvt Ltd</t>
  </si>
  <si>
    <t>Urja Duct Sealant Grey KG (25Kg Per 4 Bucket)</t>
  </si>
  <si>
    <t>089/25-26</t>
  </si>
  <si>
    <t>RSFT/INV/09/2025/17-06-2025</t>
  </si>
  <si>
    <t>0023/25-26/RSFT/RGK/QT/1376R1/25</t>
  </si>
  <si>
    <t>Supply of Lockformer Pittsburgh Lock machine Model 20 (2 Nos)</t>
  </si>
  <si>
    <t>090/25-26</t>
  </si>
  <si>
    <t>48141/20-06-2025</t>
  </si>
  <si>
    <t>GP Coil (0.60 x137xC) 18 Nos (In MT)</t>
  </si>
  <si>
    <t>091/25-26</t>
  </si>
  <si>
    <t>ML25260573/20-06-2025</t>
  </si>
  <si>
    <t>SO-36950</t>
  </si>
  <si>
    <t>Cauvery Petrochemicals Pvt Ltd</t>
  </si>
  <si>
    <t>BCS XL 35-H-N-20 (Best Cut S XL 35)Can 20L ( In Ltrs )</t>
  </si>
  <si>
    <t>092/25-26</t>
  </si>
  <si>
    <t>3/23-06-2025</t>
  </si>
  <si>
    <t>Global Storage Solution</t>
  </si>
  <si>
    <t>Locker Cabinet (1' H X 1' W X 1.5' L Without Inbuilt Lock 1mm Doors0.8 Thk)</t>
  </si>
  <si>
    <t>093/25-26</t>
  </si>
  <si>
    <t>TCE/2526/261/24-06-2025</t>
  </si>
  <si>
    <t>094/25-26</t>
  </si>
  <si>
    <t>48171/25-06-2025</t>
  </si>
  <si>
    <t>GP Coil (0.60x1220xC) 1 Nos (In MT)</t>
  </si>
  <si>
    <t>095/25-26</t>
  </si>
  <si>
    <t>AVK-151-25-26/25-06-2025</t>
  </si>
  <si>
    <t>Verbal (Mr.Mani)</t>
  </si>
  <si>
    <t>AVK Industrial Supplies</t>
  </si>
  <si>
    <t>096/25-26</t>
  </si>
  <si>
    <t>SAI3030/25-26/26-06-2025</t>
  </si>
  <si>
    <t>0059/2025-26</t>
  </si>
  <si>
    <t>Kflex St Sheet 19mm CL-O AluFoil (58 Roll) In Sqm</t>
  </si>
  <si>
    <t xml:space="preserve">Kflex kfonik 10mm Open Cell CL-1 Plain (5 Box) </t>
  </si>
  <si>
    <t>097/25-26</t>
  </si>
  <si>
    <t>SAI3059/25-26/27-06-2025</t>
  </si>
  <si>
    <t>0058/2025-26</t>
  </si>
  <si>
    <t xml:space="preserve">Sri Arihant industries </t>
  </si>
  <si>
    <t>Kflex ST Sheet 13mm CL-O Plain (60 Roll) In Sqm</t>
  </si>
  <si>
    <t>098/25-26</t>
  </si>
  <si>
    <t>TGPL-25-26-4215/25-06-2025</t>
  </si>
  <si>
    <t>0047/2025-26</t>
  </si>
  <si>
    <t>Transtech Gears Pvt Ltd</t>
  </si>
  <si>
    <t>TW110 U100 F90 B5B3 + TM90 S4 B5 ( 1 Nos )</t>
  </si>
  <si>
    <t>JUNE-011/25-26</t>
  </si>
  <si>
    <t xml:space="preserve">Shandilya Softech Pvt Ltd </t>
  </si>
  <si>
    <t>INV0047-25</t>
  </si>
  <si>
    <t>Legal and Law Charges</t>
  </si>
  <si>
    <t>Form 26Q2, Form 24Q2 and Form</t>
  </si>
  <si>
    <t>JUNE-012/25-26</t>
  </si>
  <si>
    <t>3 Phase HTETV Meter, KGF and Malur Office expencess and Contractor fees ( Transformers )</t>
  </si>
  <si>
    <t>JUNE-013/25-26</t>
  </si>
  <si>
    <t>CAM012 GSS Corner 25 MM (In Nos)</t>
  </si>
  <si>
    <t>Staff Food expenses</t>
  </si>
  <si>
    <t>Weekly Pooja Expenses (Sweets - 70 Nos) 20-06-2025 Friday</t>
  </si>
  <si>
    <t xml:space="preserve">WD Spray and Thinner purchased (Maddur Factory ) </t>
  </si>
  <si>
    <t>Display port HDMI Cable - 2 Nos purchased</t>
  </si>
  <si>
    <t>Electrical repair work charges ( Fuse  Setting - 2 tims )</t>
  </si>
  <si>
    <t>Visited KNND Office Bangalore &amp; Canara Bank cunnighan Road, Bangalore</t>
  </si>
  <si>
    <t xml:space="preserve">House Keeping Material Purchased </t>
  </si>
  <si>
    <t xml:space="preserve">Refreshment Charges (Tea, Biscuit and Water bottle-KNND IISC team 19-06-2025 &amp;27-06-2025 L&amp;T Team) </t>
  </si>
  <si>
    <t>Weekly Pooja expenses (Sweets-70 Nos) 27-06-2025 Friday</t>
  </si>
  <si>
    <t>Transportation Charges ( Gear Motor received from TNPL )</t>
  </si>
  <si>
    <t>Computer maintance ( Mouse Pad - 4 Nos purchased )</t>
  </si>
  <si>
    <t xml:space="preserve">Stationary Material purchased  </t>
  </si>
  <si>
    <t>Weekly Pooja expenses (70 Sweets) 04-07-2025 Friday</t>
  </si>
  <si>
    <t>Transportation Charges ( UPS received from PowerCare Technology)</t>
  </si>
  <si>
    <t>July</t>
  </si>
  <si>
    <t>JUNE-014/25-26</t>
  </si>
  <si>
    <t>SBM Engineering Works</t>
  </si>
  <si>
    <t>Engineering works</t>
  </si>
  <si>
    <t>Materials purchased ( MS Plates 650x310x32mm,200x50x32mm,300x200x12mm, Etc)</t>
  </si>
  <si>
    <t>JUNE-015/25-26</t>
  </si>
  <si>
    <t>Materials purchased</t>
  </si>
  <si>
    <t>JUNE-016/25-26</t>
  </si>
  <si>
    <t>Spot Welding Machine (Copper Rod Turning )</t>
  </si>
  <si>
    <t>JUNE-017/25-26</t>
  </si>
  <si>
    <t>123/25-26</t>
  </si>
  <si>
    <t>For the month of June-2025</t>
  </si>
  <si>
    <t>JUNE-018/25-26</t>
  </si>
  <si>
    <t>JUNE-019/25-26</t>
  </si>
  <si>
    <t>0238/2025-26</t>
  </si>
  <si>
    <t>Fees towards Preparation of EPF and ESI Challans During Calendar Month June-2025</t>
  </si>
  <si>
    <t>JUNE-020/25-26</t>
  </si>
  <si>
    <t>2 Hp Motor Rewinding Charges</t>
  </si>
  <si>
    <t>JUNE-021/25-26</t>
  </si>
  <si>
    <t>JUNE-022/25-26</t>
  </si>
  <si>
    <t>JUNE-023/25-26</t>
  </si>
  <si>
    <t>JUNE-024/25-26</t>
  </si>
  <si>
    <t>HRD258689</t>
  </si>
  <si>
    <t>JUNE-025/25-26</t>
  </si>
  <si>
    <t>188/2025-2026</t>
  </si>
  <si>
    <t>Material Purchased (Cyl Arm Pin, Cyl Adaptor Block and ARM MTG Weldment)</t>
  </si>
  <si>
    <t>099/25-26</t>
  </si>
  <si>
    <t>MVDF/25-26/8328/25-06-2025</t>
  </si>
  <si>
    <t>0048/2025-26</t>
  </si>
  <si>
    <t>100/25-26</t>
  </si>
  <si>
    <t>SAI3056/25-26/27-06-2025</t>
  </si>
  <si>
    <t>0056/25-26</t>
  </si>
  <si>
    <t>Kflex St Sheet 19mm CL-O AluFoil (220 Roll)  In Sqm</t>
  </si>
  <si>
    <t xml:space="preserve">Kflex Kfonik 10mm Open Cell CL-1 Plain (25 Box) </t>
  </si>
  <si>
    <t>101/25-26</t>
  </si>
  <si>
    <t>14442/30-06-2025</t>
  </si>
  <si>
    <t>102-25-26</t>
  </si>
  <si>
    <t>14443/30-06-2025</t>
  </si>
  <si>
    <t>103/25-26</t>
  </si>
  <si>
    <t>14445/30-06-2025</t>
  </si>
  <si>
    <t>104/25-26</t>
  </si>
  <si>
    <t>25-26/1156/01-07-2025</t>
  </si>
  <si>
    <t>Armaflex with Microban Sheet COM-19MM/E 1.2 (215 Roll) In Sqmt</t>
  </si>
  <si>
    <t>105/25-26</t>
  </si>
  <si>
    <t>25-26/1179/03-07-2025</t>
  </si>
  <si>
    <t>Armasound Super Silence Sheets ASD-140-15 (50 Box) In Sqm</t>
  </si>
  <si>
    <t>106-25-26</t>
  </si>
  <si>
    <t>52726100828/25-06-2025</t>
  </si>
  <si>
    <t>0057/2025-26</t>
  </si>
  <si>
    <t>Ador Welding Ltd</t>
  </si>
  <si>
    <t>Kit PM x45 XP 3-PH 400V CE/CCC Power Board (Hypertherm) 1 Nos</t>
  </si>
  <si>
    <t>107-25-26</t>
  </si>
  <si>
    <t>MS25-26/IN/24340/04-07-2025</t>
  </si>
  <si>
    <t>0062/2025-26</t>
  </si>
  <si>
    <t xml:space="preserve">GP/GI Coil 120 STL 2 Nos (0.60x1220) In Kgs </t>
  </si>
  <si>
    <t>108/25-26</t>
  </si>
  <si>
    <t>MS25-26/IN/24341/04-07-2025</t>
  </si>
  <si>
    <t>GP/GI Coil 120 STL ( 0.80  x 1220 ) In Kgs</t>
  </si>
  <si>
    <t>109/25-26</t>
  </si>
  <si>
    <t>25-26/1226/07-07-2025</t>
  </si>
  <si>
    <t>0064/2025-26</t>
  </si>
  <si>
    <t>Armasound Ductliner with Microban 10mm (40 Box) In Sqm</t>
  </si>
  <si>
    <t>JUNE-026/25-26</t>
  </si>
  <si>
    <t>Thermal Insulation, Acoustic Insulation and Insulation without beading (In Sqm)</t>
  </si>
  <si>
    <t>JUNE-027/25-26</t>
  </si>
  <si>
    <t>JUNE-028/25-26</t>
  </si>
  <si>
    <t>JUNE-029/25-26</t>
  </si>
  <si>
    <t>JUNE-030/25-26</t>
  </si>
  <si>
    <t xml:space="preserve">Thermal Insulation , Acoustic Insualtio and Acoustic Insualtion without beading </t>
  </si>
  <si>
    <t>JUNE-031/25-26</t>
  </si>
  <si>
    <t>JUNE-032/25-26</t>
  </si>
  <si>
    <t>JUNE-033/25-26</t>
  </si>
  <si>
    <t xml:space="preserve">Thermal Insulatin and Acoustic Insulation </t>
  </si>
  <si>
    <t>JUNE-034/25-26</t>
  </si>
  <si>
    <t>JUNE-035/25-26</t>
  </si>
  <si>
    <t>JUNE-036/25-26</t>
  </si>
  <si>
    <t>JUNE-037/25-26</t>
  </si>
  <si>
    <t>JUNE-038/25-26</t>
  </si>
  <si>
    <t xml:space="preserve">Acoustic Insulation </t>
  </si>
  <si>
    <t>JUNE-039/25-26</t>
  </si>
  <si>
    <t>JUNE-040/25-26</t>
  </si>
  <si>
    <t>JULY-001/25-26</t>
  </si>
  <si>
    <t>Aiss/25-26/376</t>
  </si>
  <si>
    <t>For the moth of June-2025</t>
  </si>
  <si>
    <t>JULY-002/25-26</t>
  </si>
  <si>
    <t>JULY-003/25-26</t>
  </si>
  <si>
    <t>ABSIPL/25-26/064</t>
  </si>
  <si>
    <t>JULY-004/25-26</t>
  </si>
  <si>
    <t>Brother's Allied Services</t>
  </si>
  <si>
    <t>JULY-005/25-26</t>
  </si>
  <si>
    <t>SBS Industries</t>
  </si>
  <si>
    <t>SBSI/25-26/059</t>
  </si>
  <si>
    <t xml:space="preserve">Cornamatic Piping work and Labour charges </t>
  </si>
  <si>
    <t>JULY-006/25-26</t>
  </si>
  <si>
    <t>SBSI/25-26/060</t>
  </si>
  <si>
    <t xml:space="preserve">Hydraulic Cooler 250 LPM Capcity, Fitting 11/2*1 1/2 Nipple, Hydraulic Hose &amp; Labour charges </t>
  </si>
  <si>
    <t>JULY-007/25-26</t>
  </si>
  <si>
    <t>Sri Manjunath Enterprieses</t>
  </si>
  <si>
    <t xml:space="preserve">Aluminum Fabrication charges </t>
  </si>
  <si>
    <t xml:space="preserve">Security Room Aluminum frame Fabrication work </t>
  </si>
  <si>
    <t>JULY-008/25-26</t>
  </si>
  <si>
    <t>CAM012 GSS Corner 32 MM (In Nos)</t>
  </si>
  <si>
    <t>110/25-26</t>
  </si>
  <si>
    <t>179/07-07-2025</t>
  </si>
  <si>
    <t>0143/2024-25-QU/NO</t>
  </si>
  <si>
    <t>111/25-26</t>
  </si>
  <si>
    <t>BCT/25-26/945/8-07-2025</t>
  </si>
  <si>
    <t>0061/2025-26</t>
  </si>
  <si>
    <t>Desk Top Lenovo M70T G5 12U6S01400 (1 Nos)</t>
  </si>
  <si>
    <t>112/25-26</t>
  </si>
  <si>
    <t>PCT/0214/25-26/09-07-2025</t>
  </si>
  <si>
    <t>Power Care Technologies</t>
  </si>
  <si>
    <t>Energy Saver UPS 1825 24V SW (1 Nos)</t>
  </si>
  <si>
    <t>113/25-26</t>
  </si>
  <si>
    <t>234/09-07-2025</t>
  </si>
  <si>
    <t xml:space="preserve">Cotton Knitted Hand Gloves 80G Blue (500 Pairs ) </t>
  </si>
  <si>
    <t>114/25-26</t>
  </si>
  <si>
    <t>MS25-26/IN/24461/10-07-2025</t>
  </si>
  <si>
    <t>GP/GI Coil 120 STL ( 0.60 x 1220 ) In KG</t>
  </si>
  <si>
    <t>GP/GI Coil 120 STL ( 0.8 x 1220 ) In KG</t>
  </si>
  <si>
    <t>115/25-26</t>
  </si>
  <si>
    <t>M12500003508/08-07-2025</t>
  </si>
  <si>
    <t>0060/2025-26</t>
  </si>
  <si>
    <t>Insuflex 09mm 1100mm*20MTR Class O (110 PKG) In Sqm</t>
  </si>
  <si>
    <t>Insuflex 13mm 1100mm*14MTR Class O (140 Pkg)</t>
  </si>
  <si>
    <t>7288/11-07-2025</t>
  </si>
  <si>
    <t>New Mataji Electricals</t>
  </si>
  <si>
    <t>Consumable Materials  (4 Sqm Wire Green 100 Mtr)</t>
  </si>
  <si>
    <t>1.5 Sqm x 3 Core Flexible Cable Poly Cab 100 Mtr</t>
  </si>
  <si>
    <t>1.5 Sqm x 4 Core Flexible Cable Poly Cab 100 Mtr</t>
  </si>
  <si>
    <t>2.5 Sqm x 4 Core Flexible Cable Poly Cab 100 Mtr</t>
  </si>
  <si>
    <t>121/25-26</t>
  </si>
  <si>
    <t>116/25-26</t>
  </si>
  <si>
    <t>MS25-26/IN/24577/15-07-2025</t>
  </si>
  <si>
    <t>117/25-26</t>
  </si>
  <si>
    <t>843/25-26/15-07-2025</t>
  </si>
  <si>
    <t>66/2025-26</t>
  </si>
  <si>
    <t>118/25-26</t>
  </si>
  <si>
    <t>844/25-26/15-07-2025</t>
  </si>
  <si>
    <t>71/2025-26-No.7</t>
  </si>
  <si>
    <t>119/25-26</t>
  </si>
  <si>
    <t>MTPL/0706/25-26/15-07-2025</t>
  </si>
  <si>
    <t>Malur Tubes Pvt Ltd</t>
  </si>
  <si>
    <t>MS Pipes and Tubes - HR</t>
  </si>
  <si>
    <t xml:space="preserve">Colour Coated Steel Roofing Sheet </t>
  </si>
  <si>
    <t>120/25-26</t>
  </si>
  <si>
    <t>095/2025-26/17-07-2025</t>
  </si>
  <si>
    <t xml:space="preserve">Raman Engineering Corporation </t>
  </si>
  <si>
    <t>Consumable Materials (Spair Parts)</t>
  </si>
  <si>
    <t>122/25-26</t>
  </si>
  <si>
    <t>HSRLY-25/2101775/07-07-2025</t>
  </si>
  <si>
    <t>Pai International Electronics Ltd</t>
  </si>
  <si>
    <t xml:space="preserve">Samsung A066BD 5G A06 4/128 GB Light </t>
  </si>
  <si>
    <t xml:space="preserve">Samsung Type-C Adapter 25W </t>
  </si>
  <si>
    <t>52726100859/27-06-2025</t>
  </si>
  <si>
    <t>0046/25-26</t>
  </si>
  <si>
    <t>088585 PowerMax 45 Sync 400V, 3PH (Hypertherm)</t>
  </si>
  <si>
    <t>124/25-26</t>
  </si>
  <si>
    <t>MS25-26/IN/24645/18-07-2025</t>
  </si>
  <si>
    <t xml:space="preserve">Mandot Steel </t>
  </si>
  <si>
    <t>GP/GI Slitting Coil (137x18=10195KG) 0.60 x 1250</t>
  </si>
  <si>
    <t>125/25-26</t>
  </si>
  <si>
    <t>8473/16-07-2025</t>
  </si>
  <si>
    <t>0072/2025-26</t>
  </si>
  <si>
    <t>50 MM Aluminium Foil Tape LS-C (50 MM x 50 M) 3,000 Rmt (60 Tape)</t>
  </si>
  <si>
    <t>Pnuematic Connectors For Oval Die</t>
  </si>
  <si>
    <t>Car Repair work (Cable Assy - Clutch &amp; Pin Changed)</t>
  </si>
  <si>
    <t>Stationary updating Charges (Paid to Abhinav)</t>
  </si>
  <si>
    <t>Petrole Expenses (13-06-2025 and  23-06-2025</t>
  </si>
  <si>
    <t>Food expenses at Maddur, Selec Team, Umesh and Automation Team</t>
  </si>
  <si>
    <t xml:space="preserve">Porter Charges </t>
  </si>
  <si>
    <t>Cement 1 Bag Purchased</t>
  </si>
  <si>
    <t>Refreshment Charges (IISC Team Visited Factory - 5 Members)</t>
  </si>
  <si>
    <t>Travel and Food Expenses (Factory Team visited maddur Factory 07-07-2025 to 09-07-2025)</t>
  </si>
  <si>
    <t>Monthly Flower Payment (11-06-2025 to 10-07-2025)</t>
  </si>
  <si>
    <t>Weekly Pooja Expenses (Sweets - 70 Nos) 11-07-2025 Friday</t>
  </si>
  <si>
    <t>Stationary item Purchased ( A4 70GSM - 1 Bundle)</t>
  </si>
  <si>
    <t>For Security Mobile Screen Guard and Cover</t>
  </si>
  <si>
    <t>Software Upgrade Caheges ( Paid to Abhinav)</t>
  </si>
  <si>
    <t>Internet charges for the month of July - 2025 (2 Connecton)</t>
  </si>
  <si>
    <t>Weighment charges ( Coil received from Mandot steel )</t>
  </si>
  <si>
    <t>Food Expenses ( Mani &amp; Anjinappa visited Maddure Factory )</t>
  </si>
  <si>
    <t>Travel and Food Expenses ( Mr.Prasad visited Mumbai 29-05-2025) Duct m/c Inspection Visit (Crown Star)</t>
  </si>
  <si>
    <t>Food Expenses ( Sunday Working 29-06-2025) 6 Workers</t>
  </si>
  <si>
    <t>Travel &amp; Food Fare (Mr.Prasad visit Mumbai 30-05-2025) Duct M/C Inspection visit (Crown Star)</t>
  </si>
  <si>
    <t>Food Expenses (Mani &amp; Anjinappa visited Maddur Factory)</t>
  </si>
  <si>
    <t>Blue Paint purchased</t>
  </si>
  <si>
    <t>Porter charges ( Jermex Spares received from Raman Engineering )</t>
  </si>
  <si>
    <t>Srinivas T.R</t>
  </si>
  <si>
    <t>Marriage Gift (Employee)</t>
  </si>
  <si>
    <t>Weekly Pooja expenses (Sweets 70 Nos) 18-07-2025 Friday</t>
  </si>
  <si>
    <t>Electrical Work charges ( Fuse correction )</t>
  </si>
  <si>
    <t>Garden Medicine purchase (Bill attached)</t>
  </si>
  <si>
    <t>Travel and Food expenses (visited Hyderabad) 19-07-2025</t>
  </si>
  <si>
    <t>126/25-26</t>
  </si>
  <si>
    <t>LS/0427/2025-26/22-07-2025</t>
  </si>
  <si>
    <t>0074/2025-26</t>
  </si>
  <si>
    <t xml:space="preserve">Nerotek Tapes Pvt Ltd </t>
  </si>
  <si>
    <t xml:space="preserve">Neoprene Gasket ( 5mm x 20mm x 10mtrs ) In Rolls </t>
  </si>
  <si>
    <t>127/25-26</t>
  </si>
  <si>
    <t>SK25-03083/21-07-2025</t>
  </si>
  <si>
    <t>0069/2025-26-SKCPL</t>
  </si>
  <si>
    <t>Siddhi Kabel Corporation Pvt Ltd</t>
  </si>
  <si>
    <t>Unitronic LiYCY 10x0,25 (In Mtr)</t>
  </si>
  <si>
    <t xml:space="preserve">Unitronic LiYCY 4x0,5 </t>
  </si>
  <si>
    <t>128/25-26</t>
  </si>
  <si>
    <t>48375/22-07-2025</t>
  </si>
  <si>
    <t>0070/2025-26</t>
  </si>
  <si>
    <t>GP Coil ( 0.80 x 1220 x C ) 3 Nos (In MT)</t>
  </si>
  <si>
    <t>129/25-26</t>
  </si>
  <si>
    <t>48385/22-07-2025</t>
  </si>
  <si>
    <t>GP Coil ( 0.60 x 1220 x C ) 7 Nos (In MT)</t>
  </si>
  <si>
    <t>130/25-26</t>
  </si>
  <si>
    <t>48389/23-07-2025</t>
  </si>
  <si>
    <t>131/25-26</t>
  </si>
  <si>
    <t>48396/23-07-2025</t>
  </si>
  <si>
    <t>GP Coil ( 0.60 x 1220 x C ) 8 Nos (In MT)</t>
  </si>
  <si>
    <t>132/25-26</t>
  </si>
  <si>
    <t>MVDF/25-26/11564/22-07-2025</t>
  </si>
  <si>
    <t>0075/2025-26</t>
  </si>
  <si>
    <t>Slotted Truss HD Screw 4.6G M8x32 ( In Nos )</t>
  </si>
  <si>
    <t>133/25-26</t>
  </si>
  <si>
    <t>SAI3889/25-26/21-07-2025</t>
  </si>
  <si>
    <t>Kflex ST Sheet 13mm CL-O AM (40 Roll) In Sqm</t>
  </si>
  <si>
    <t>134/25-26</t>
  </si>
  <si>
    <t>AVK-211-25-26/24-07-2025</t>
  </si>
  <si>
    <t>0065/2025-26-1</t>
  </si>
  <si>
    <t xml:space="preserve">Consumable Materials </t>
  </si>
  <si>
    <t>135/25-26</t>
  </si>
  <si>
    <t>MS25-26/IN/24808/25-07-2025</t>
  </si>
  <si>
    <t>GP/GI Slitting Coil 137x16 &amp; 100x2 (0.60x1220) In Kgs</t>
  </si>
  <si>
    <t xml:space="preserve">GP/GI Coil (0.80x1220) </t>
  </si>
  <si>
    <t>JUNE-041/25-26</t>
  </si>
  <si>
    <t>1243199008937</t>
  </si>
  <si>
    <t>JUNE-042/25-26</t>
  </si>
  <si>
    <t>Room /Food  Rent for Mr.Deepak &amp; Mr.Jagadish (28-06-25 to 29-06-2025)</t>
  </si>
  <si>
    <t>JUNE-043/25-26</t>
  </si>
  <si>
    <t>Room rent for Mr.Deepak and Mr.Umesh (28-06-2025 to 29-06-2025)</t>
  </si>
  <si>
    <t>JULY-009/25-26</t>
  </si>
  <si>
    <t>Trident Automobiles Pvt Ltd</t>
  </si>
  <si>
    <t>B202511886</t>
  </si>
  <si>
    <t>Repair and Maintanance Charges</t>
  </si>
  <si>
    <t>Car Repair Charges</t>
  </si>
  <si>
    <t>JULY-010/25-26</t>
  </si>
  <si>
    <t>SUI/1096</t>
  </si>
  <si>
    <t>JULY-011/25-26</t>
  </si>
  <si>
    <t>SUI/1097</t>
  </si>
  <si>
    <t>JULY-012/25-26</t>
  </si>
  <si>
    <t>00302</t>
  </si>
  <si>
    <t>JULY-013/25-26</t>
  </si>
  <si>
    <t>SVE/1933/25-26</t>
  </si>
  <si>
    <t>JULY-014/25-26</t>
  </si>
  <si>
    <t>Sri Bhagyalakshmi Earth Movers</t>
  </si>
  <si>
    <t xml:space="preserve">Loading &amp; Un Loading Charges </t>
  </si>
  <si>
    <t xml:space="preserve">Camduct Factory Insulation Scrap Loading and Un Loading Charges </t>
  </si>
  <si>
    <t>JULY-015/25-26</t>
  </si>
  <si>
    <t>Big C Technologies Pvt Ltd</t>
  </si>
  <si>
    <t>BCT/25-26/974</t>
  </si>
  <si>
    <t xml:space="preserve">Software Renewal Charges </t>
  </si>
  <si>
    <t>Software Microsoft Office 365 Business Basic Subscriptions</t>
  </si>
  <si>
    <t>136/25-26</t>
  </si>
  <si>
    <t>MVDF/25-26/12127/26-07-2025</t>
  </si>
  <si>
    <t>Consumable Materials ( Threaded Rod Steel )</t>
  </si>
  <si>
    <t>137/25-26</t>
  </si>
  <si>
    <t>INV2526-007/29-07-2025</t>
  </si>
  <si>
    <t>Solid Machine Works</t>
  </si>
  <si>
    <t>Tool Dia Set Press Tool as per your sample Cleating Cutting Tool</t>
  </si>
  <si>
    <t>138/25-26</t>
  </si>
  <si>
    <t>48442/29-07-2025</t>
  </si>
  <si>
    <t>GP Coil ( 1.20 x1250 x C ) In MT</t>
  </si>
  <si>
    <t>120gsm 18G</t>
  </si>
  <si>
    <t>139/25-26</t>
  </si>
  <si>
    <t>SRE/2085/25-26/30-07-2025</t>
  </si>
  <si>
    <t xml:space="preserve">S.R Enterprises </t>
  </si>
  <si>
    <t>140/25-26</t>
  </si>
  <si>
    <t>GTR -I/25-26/1430/30-07-2025</t>
  </si>
  <si>
    <t>141/25-26</t>
  </si>
  <si>
    <t>48446/30-07-2025</t>
  </si>
  <si>
    <t>0070/25-26</t>
  </si>
  <si>
    <t>MKAIA Annual Subscripiton 2025-26</t>
  </si>
  <si>
    <t>Waste Cycle Tube purchased (Maddur Factory)</t>
  </si>
  <si>
    <t>Electrical item Purchased (Relay purchaes)</t>
  </si>
  <si>
    <t>Sharpex 5.2 ft Long arm Reach piller Stick - 1 Nos</t>
  </si>
  <si>
    <t>Container Unloading Charges (Crane)</t>
  </si>
  <si>
    <t>Diesel Can 4 Nos purchased</t>
  </si>
  <si>
    <t>Weekly Pooja expenses ( 70 Sweets ) 25-07-2025 Friday</t>
  </si>
  <si>
    <t>Hole Punching Machine oil pipe Crimped</t>
  </si>
  <si>
    <t xml:space="preserve">Locker sticker (SL - 01 to 81-72) purchased </t>
  </si>
  <si>
    <t>Weighment charges (Coil received from J.R &amp; Co,, And Mandot Steel)</t>
  </si>
  <si>
    <t>Porter charges ( Neoprene Gasket received from Nerotech Solution Pvt Ltd)</t>
  </si>
  <si>
    <t>142/25-26</t>
  </si>
  <si>
    <t>SAI4257/25-26/29-07-2025</t>
  </si>
  <si>
    <t>0139/2024-25_1</t>
  </si>
  <si>
    <t>Kflex ST Sheet 9mm CL-O AM (110 Roll) In Sqm</t>
  </si>
  <si>
    <t>Kflex ST Sheet 13mm CL-O AM (60 Roll) In Sqm</t>
  </si>
  <si>
    <t>Kflex Kfonik 10mm Open CL-1AM (30 Box) Sqm</t>
  </si>
  <si>
    <t>143/25-26</t>
  </si>
  <si>
    <t>ST/25-26/3317/30-07-2025</t>
  </si>
  <si>
    <t>144/25-26</t>
  </si>
  <si>
    <t>14622/26-07-2025</t>
  </si>
  <si>
    <t>145/25-26</t>
  </si>
  <si>
    <t>14639/29-07-2025</t>
  </si>
  <si>
    <t>146/25-26</t>
  </si>
  <si>
    <t>MVDF/25-26-12636/30-07-2025</t>
  </si>
  <si>
    <t>Slotted Truss HD Screw 4.6G M8x16 (In Nos)</t>
  </si>
  <si>
    <t>147/25-26</t>
  </si>
  <si>
    <t>8489/30-07-2025</t>
  </si>
  <si>
    <t>0076/2025-26</t>
  </si>
  <si>
    <t>13mm Thermobreak/Foil LS 1200mmx20m (125 Rolls) In Sqm</t>
  </si>
  <si>
    <t xml:space="preserve">9mm Thermobreak LS AI Foil 1200mm*50mt (22 Rolls) </t>
  </si>
  <si>
    <t>50mm Aluminium Foil Tape LS-C (50mm * 50 m) 6000 Rmtr ( 120 Tape)</t>
  </si>
  <si>
    <t>148/25-26</t>
  </si>
  <si>
    <t>MVDF/25-26/12911/01-08-2025</t>
  </si>
  <si>
    <t>149/25-26</t>
  </si>
  <si>
    <t>MVDF/25-26/13136/02-08-2025</t>
  </si>
  <si>
    <t>150/25-26</t>
  </si>
  <si>
    <t>2526MSC1229/01-08-2025</t>
  </si>
  <si>
    <t>0077/2025-26</t>
  </si>
  <si>
    <t>GI Coil / Sheet (0.60 x 137mm - 18) In Kgs</t>
  </si>
  <si>
    <t>151/25-26</t>
  </si>
  <si>
    <t>LRM/0309/25-26/04-08-2025</t>
  </si>
  <si>
    <t>0079/2025-26</t>
  </si>
  <si>
    <t>Stretch Film ( Manual Grade ) 500mm x 23 Mic (In Kgs )</t>
  </si>
  <si>
    <t>152/25-26</t>
  </si>
  <si>
    <t>JSPL/0435/25-26/01-08-2025</t>
  </si>
  <si>
    <t>0063/2025-26</t>
  </si>
  <si>
    <t>Jaspreet Steelmet Pvt Ltd</t>
  </si>
  <si>
    <t>Quadrant Handle with 8mm Round Hole-J1004(Weight-64Kg)Box-5 Nos</t>
  </si>
  <si>
    <t>153/25-26</t>
  </si>
  <si>
    <t>110/2025-26/06-08-2025</t>
  </si>
  <si>
    <t>Bandsaw Machine (In Nos)</t>
  </si>
  <si>
    <t>Blade Bandsaw (3000x27x0.9) Aluminium</t>
  </si>
  <si>
    <t>Blade Bandsaw (3000x27x0.9) Spare Blade In MS</t>
  </si>
  <si>
    <t>154/25-26</t>
  </si>
  <si>
    <t>ME/25-26/256/06-08-2025</t>
  </si>
  <si>
    <t>80 Gram Blue Cotton Knitted Gloves (In Pairs)</t>
  </si>
  <si>
    <t>155/25-26</t>
  </si>
  <si>
    <t>SAI4495/25-26/05-08-2025</t>
  </si>
  <si>
    <t>0056/2025-26</t>
  </si>
  <si>
    <t>Kflex St Sheet 13mm CL-O AluFoil (240 Roll) In Sqm</t>
  </si>
  <si>
    <t>156/25-26</t>
  </si>
  <si>
    <t>2526MSC1284/07-08-2025</t>
  </si>
  <si>
    <t>157/25-26</t>
  </si>
  <si>
    <t>MS25-26/IN/25085/07-08-2025</t>
  </si>
  <si>
    <t>0062/2025-26-1</t>
  </si>
  <si>
    <t xml:space="preserve">GP/GI Sheet 120 STL (1.20 x 1250 ) In Kgs </t>
  </si>
  <si>
    <t xml:space="preserve">GP/GI Sheet 120 STL (1.00 x 1220 ) In Kgs </t>
  </si>
  <si>
    <t xml:space="preserve">GP/GI Sheet 120 STL (0.80 x 1220 ) In Kgs </t>
  </si>
  <si>
    <t>158/25-26</t>
  </si>
  <si>
    <t>MVDF/25-26/13457/06-08-2025</t>
  </si>
  <si>
    <t>Threaded Rod Steel 4.6 M8x400 (In Nos)</t>
  </si>
  <si>
    <t>August</t>
  </si>
  <si>
    <t xml:space="preserve">Medical Expenses </t>
  </si>
  <si>
    <t>Diesel 38 Ltr Purchased (Maddur Factory)</t>
  </si>
  <si>
    <t>Stihl Engine Oil 1 Nos Purchased for Garding Machine</t>
  </si>
  <si>
    <t>Travel Fare (Factory team visited Maddur Factory - Workers)</t>
  </si>
  <si>
    <t>House keeping material purchased</t>
  </si>
  <si>
    <t>Porter charges (Cleat Die tool received from Solid Machine Works)</t>
  </si>
  <si>
    <t>Paper Roll for Plottor machine (24 Inches x 50m)</t>
  </si>
  <si>
    <t>Food charges (Factory team Working 5 Days maddur factory 23-07-2025 to 27-07-2025</t>
  </si>
  <si>
    <t>Porter charges (Material received from SR Enterprises Peenya Bangalore)</t>
  </si>
  <si>
    <t>Weighment charges ( Coil received from J R &amp; Co..)</t>
  </si>
  <si>
    <t>Weekly Pooja expenses ( 70 Sweets )</t>
  </si>
  <si>
    <t>JULY-016/25-26</t>
  </si>
  <si>
    <t>K2506260</t>
  </si>
  <si>
    <t>Flight Ticket Expenses Blr to HYD (9751) and 600*18% GST ( Mr. Mani )</t>
  </si>
  <si>
    <t>JULY-017/25-26</t>
  </si>
  <si>
    <t>K2506427</t>
  </si>
  <si>
    <t>Flight Ticket Expenses Blr to Del (4955) and 300*18% GST ( Mr. Deepak  )</t>
  </si>
  <si>
    <t>JULY-018/25-26</t>
  </si>
  <si>
    <t>K2506428</t>
  </si>
  <si>
    <t>Flight Ticket Expenses Del to Blr (7416) and 300*18% GST ( Mr. Deepak  )</t>
  </si>
  <si>
    <t>JULY-019/25-26</t>
  </si>
  <si>
    <t>K2506911</t>
  </si>
  <si>
    <t>Flight Ticket Expenses Blr to Del (18170) and 600*18% GST ( Mr. Dinesh R )</t>
  </si>
  <si>
    <t>JULY-020/25-26</t>
  </si>
  <si>
    <t>JULY-021/25-26</t>
  </si>
  <si>
    <t xml:space="preserve">Inwords Goods Receipt - 5 Books </t>
  </si>
  <si>
    <t>JULY-022/25-26</t>
  </si>
  <si>
    <t>JULY-023/25-26</t>
  </si>
  <si>
    <t>0348/2025-26</t>
  </si>
  <si>
    <t>Fees Towards Preparation of EPF &amp; ESI Challans During Calender Month July-2025</t>
  </si>
  <si>
    <t>JULY-024/25-26</t>
  </si>
  <si>
    <t>For the month of July-2025</t>
  </si>
  <si>
    <t>JULY-025/25-26</t>
  </si>
  <si>
    <t>AUG-001/25-26</t>
  </si>
  <si>
    <t>613/GST/25-26</t>
  </si>
  <si>
    <t xml:space="preserve">Management Consultancy - Udyam Registration </t>
  </si>
  <si>
    <t>AUG-002/25-26</t>
  </si>
  <si>
    <t>Cartridge Refilling 7 Nos</t>
  </si>
  <si>
    <t>AUG-003/25-26</t>
  </si>
  <si>
    <t>BAS Staffing Solutions Pvt Ltd</t>
  </si>
  <si>
    <t>AUG-004/25-26</t>
  </si>
  <si>
    <t>L019</t>
  </si>
  <si>
    <t>Parking Tiels fixing Work</t>
  </si>
  <si>
    <t>AUG-005/25-26</t>
  </si>
  <si>
    <t>SUI/1134</t>
  </si>
  <si>
    <t>Arrears for the Month of April, May &amp; June - 2025</t>
  </si>
  <si>
    <t>AUG-006/25-26</t>
  </si>
  <si>
    <t>SUI/1135</t>
  </si>
  <si>
    <t>For the month of April, May and June - 2025</t>
  </si>
  <si>
    <t>159/25-26</t>
  </si>
  <si>
    <t>422/11-08-2025</t>
  </si>
  <si>
    <t>0080/2025-26</t>
  </si>
  <si>
    <t>XLPE Gasket (5mm x 20mm x 10Mtr) In Mtr</t>
  </si>
  <si>
    <t>Travel Fare ( Mr. Naveen visited KNND Office Bangalore )</t>
  </si>
  <si>
    <t>Car Service Rear Door Glass - Pending during Service</t>
  </si>
  <si>
    <t>Transportation charges (8mm Hole Handle received from Jaspreet Steelmet)</t>
  </si>
  <si>
    <t>Travel Fare (Mr. Naveen visited KNND Office Bangalore and Canara Bank Cunnigham Road Bangalore)</t>
  </si>
  <si>
    <t>Electrical Material Purchased (MSP4P240A-4 Nos) for Industrial Fan</t>
  </si>
  <si>
    <t xml:space="preserve">Nokia Mobile purchased for Office use </t>
  </si>
  <si>
    <t>Weekly Pooja Expenses (70-Sweets) 08-08-2025 Friday</t>
  </si>
  <si>
    <t>Porter charges (Electrical Item received from KNND Office)</t>
  </si>
  <si>
    <t>Loading and Unloading charges for the month of August 2025</t>
  </si>
  <si>
    <t>Up-Down charges-Home-Airport-Home During Delhi visit (22-07-2025 - 23-07-20205)</t>
  </si>
  <si>
    <t>Guest House charges at Noida Delhi</t>
  </si>
  <si>
    <t>Food expenses Delhi Umesh,Selec,Automation and Ravi Kulakarni Etc.</t>
  </si>
  <si>
    <t>Petrol and Toll Expenses for the month of Aug-Peenya</t>
  </si>
  <si>
    <t>Porter charges ( 18-07-2025 - 19-07-2025 )</t>
  </si>
  <si>
    <t>Monthly Flower Payment (01-07-2025 to 10-08-2025)</t>
  </si>
  <si>
    <t>JULY-026/25-26</t>
  </si>
  <si>
    <t>Electrical Items</t>
  </si>
  <si>
    <t>Electrical Repair Work</t>
  </si>
  <si>
    <t>JULY-027/25-26</t>
  </si>
  <si>
    <t>HRD2512386</t>
  </si>
  <si>
    <t>AUG-007/25-26</t>
  </si>
  <si>
    <t>1243199011478</t>
  </si>
  <si>
    <t>AUG-008/25-26</t>
  </si>
  <si>
    <t>ABSIPL/25-26/088</t>
  </si>
  <si>
    <t>AUG-009/25-26</t>
  </si>
  <si>
    <t>ABSIPL/25-26/089</t>
  </si>
  <si>
    <t>AUG-010/25-26</t>
  </si>
  <si>
    <t>Arkance IN Private Limited</t>
  </si>
  <si>
    <t xml:space="preserve">Printer Charges </t>
  </si>
  <si>
    <t>Purchase of Printer HP DNJ T230 24</t>
  </si>
  <si>
    <t>AUG-011/25-26</t>
  </si>
  <si>
    <t>313/2025-2026</t>
  </si>
  <si>
    <t>Purchase of 2024-05-00-02-ARM Adaptor (Material-MS With Material) 1 Nos</t>
  </si>
  <si>
    <t>160/25-26</t>
  </si>
  <si>
    <t>M12500004633/11-08-2025</t>
  </si>
  <si>
    <t>0081/2025-26</t>
  </si>
  <si>
    <t>Insuflex 09mm 1100mm*20MTR Class O (100 Pkg) In Sqm</t>
  </si>
  <si>
    <t xml:space="preserve">Insuflex 13mm  1100mm *14MTR Class O (180 Pkg)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</si>
  <si>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</si>
  <si>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AUG-012/25-26</t>
  </si>
  <si>
    <t>Thermal Insulation and Acoustic Insulation</t>
  </si>
  <si>
    <t>AUG-013/25-26</t>
  </si>
  <si>
    <t>AUG-014/25-26</t>
  </si>
  <si>
    <t>AUG-015/25-26</t>
  </si>
  <si>
    <t>AUG-016/25-26</t>
  </si>
  <si>
    <t>AUG-017/25-26</t>
  </si>
  <si>
    <t>AUG-018/25-26</t>
  </si>
  <si>
    <t>AUG-019/25-26</t>
  </si>
  <si>
    <t>AUG-020/25-26</t>
  </si>
  <si>
    <t>AUG-021/25-26</t>
  </si>
  <si>
    <t>AUG-022/25-26</t>
  </si>
  <si>
    <t>AUG-023/25-26</t>
  </si>
  <si>
    <t>AUG-024/25-26</t>
  </si>
  <si>
    <t>AUG-025/25-26</t>
  </si>
  <si>
    <t>AUG-026/25-26</t>
  </si>
  <si>
    <t>AUG-027/25-26</t>
  </si>
  <si>
    <t>AUG-028/25-26</t>
  </si>
  <si>
    <t>AUG-029/25-26</t>
  </si>
  <si>
    <t>AUG-030/25-26</t>
  </si>
  <si>
    <t>AUG-031/25-26</t>
  </si>
  <si>
    <t>AUG-032/25-26</t>
  </si>
  <si>
    <t>AUG-033/25-26</t>
  </si>
  <si>
    <t>AUG-034/25-26</t>
  </si>
  <si>
    <t>AUG-035/25-26</t>
  </si>
  <si>
    <t>AUG-036/25-26</t>
  </si>
  <si>
    <t>AUG-037/25-26</t>
  </si>
  <si>
    <t>Micro Data Products</t>
  </si>
  <si>
    <t>DR/25-26/2225</t>
  </si>
  <si>
    <t>Security Cameras Work</t>
  </si>
  <si>
    <t>Security Cameras Repair and Installation Work</t>
  </si>
  <si>
    <t>AUG-038/25-26</t>
  </si>
  <si>
    <t>161/25-26</t>
  </si>
  <si>
    <t>MVDF/25-26/14102/13-08-2025</t>
  </si>
  <si>
    <t xml:space="preserve">Theraded Rod Steel 4.6 M8x295 </t>
  </si>
  <si>
    <t>162/25-26</t>
  </si>
  <si>
    <t>MS25-26/IN/25378/20-08-2025</t>
  </si>
  <si>
    <t>0084/2025-26</t>
  </si>
  <si>
    <t xml:space="preserve">GP GI Coil 120 STL (0.60 x1220) In Kgs </t>
  </si>
  <si>
    <t xml:space="preserve">GP GI Coil 120 STL (0.80 x1220) In Kgs </t>
  </si>
  <si>
    <t>163/25-26</t>
  </si>
  <si>
    <t>MS25-26/IN/25379/20-08-2025</t>
  </si>
  <si>
    <t>164/25-26</t>
  </si>
  <si>
    <t>2526MSC1428/21-08-2025</t>
  </si>
  <si>
    <t>0085/202526</t>
  </si>
  <si>
    <t>GI Coil / Sheet (0.60 x 137mm - 36) In Kgs</t>
  </si>
  <si>
    <t>GI Coil / Sheet (0.80 x 137mm - 18) In Kgs</t>
  </si>
  <si>
    <t>165/25-26</t>
  </si>
  <si>
    <t>MS25-26/IN/25486/24-08-2025</t>
  </si>
  <si>
    <t>166/25-26</t>
  </si>
  <si>
    <t>25-26/1837/28-08-2025</t>
  </si>
  <si>
    <t>Armasound Ductliner with Microban 15mm (33 Box) In Sqm</t>
  </si>
  <si>
    <t>167/25-26</t>
  </si>
  <si>
    <t>25-26/1838/28-08-2025</t>
  </si>
  <si>
    <t>0086/2025-26</t>
  </si>
  <si>
    <t>Armasound Ductliner with Microban 10mm (25 Box) In Sqm</t>
  </si>
  <si>
    <t>168/25-26</t>
  </si>
  <si>
    <t>2526MSC1495/29-08-2025</t>
  </si>
  <si>
    <t>0085/2526</t>
  </si>
  <si>
    <t xml:space="preserve">GI Coil / Sheet (0.60 x 137 mm -18 -120 STL) In Kgs </t>
  </si>
  <si>
    <t>169/25-26</t>
  </si>
  <si>
    <t>2526MSC1496/29-08-2025</t>
  </si>
  <si>
    <t xml:space="preserve">GI Coil / Sheet (0.80 x 137mm - 9 - 120 Gsm) In Kgs </t>
  </si>
  <si>
    <t xml:space="preserve">GI Coil / Sheet (1.00 x 137mm - 18 - 120 Gsm) In Kgs </t>
  </si>
  <si>
    <t>AUG-039/25-26</t>
  </si>
  <si>
    <t>Advanced Metallurgical Laboratory LLP</t>
  </si>
  <si>
    <t>UII/25-26/1138</t>
  </si>
  <si>
    <t xml:space="preserve">Lab Testing Charges </t>
  </si>
  <si>
    <t xml:space="preserve">Third Party Coil Testing Report charges </t>
  </si>
  <si>
    <t>AUG-040/25-26</t>
  </si>
  <si>
    <t>SVE/2515/25-26</t>
  </si>
  <si>
    <t>90 Kgs</t>
  </si>
  <si>
    <t>AUG-041/25-26</t>
  </si>
  <si>
    <t>AUG-042/25-26</t>
  </si>
  <si>
    <t>AUG-043/25-26</t>
  </si>
  <si>
    <t>AUG-044/25-26</t>
  </si>
  <si>
    <t>AUG-045/25-26</t>
  </si>
  <si>
    <t>UII/25-26/1229</t>
  </si>
  <si>
    <t>AUG-046/25-26</t>
  </si>
  <si>
    <t>SUI/1157</t>
  </si>
  <si>
    <t>AUG-047/25-26</t>
  </si>
  <si>
    <t>SUI/1158</t>
  </si>
  <si>
    <t>AUG-048/25-26</t>
  </si>
  <si>
    <t>Sun Power Systems</t>
  </si>
  <si>
    <t>AUG-007-25-26</t>
  </si>
  <si>
    <t>Machine Service (Engine Oil, Filter Kit, Coolant 5 Ltrs Can, Air Filter, Radiator De-Scaling Etc)</t>
  </si>
  <si>
    <t>AUG-049/25-26</t>
  </si>
  <si>
    <t>L020</t>
  </si>
  <si>
    <t>AUG-050/25-26</t>
  </si>
  <si>
    <t>AUG-051/25-26</t>
  </si>
  <si>
    <t>AUG-052/25-26</t>
  </si>
  <si>
    <t>RBS IT Solutions</t>
  </si>
  <si>
    <t>RBS/549/25-26</t>
  </si>
  <si>
    <t>Tally Software Services-Gold 2 years ( 1 Nos )</t>
  </si>
  <si>
    <t xml:space="preserve">Maddur Machine Unloading charges </t>
  </si>
  <si>
    <t>Pooja Expenses ( Independence Day )</t>
  </si>
  <si>
    <t>Weekly Pooja Expenses (Sweets-70Nos) 16-08-2025 Saturday</t>
  </si>
  <si>
    <t xml:space="preserve">Oval Machine Spares Loading and Unloading Charges </t>
  </si>
  <si>
    <t>Donation (Amount Paid to Govt School Nosegere for Independence  Day Celebration)</t>
  </si>
  <si>
    <t xml:space="preserve">Electricale Material Purchased </t>
  </si>
  <si>
    <t>Electrical Fuse Connection Labour charges (BESCOM)</t>
  </si>
  <si>
    <t>Internet Charges for the Month fo Aug 2025 (2- Connection) (1650+1650)</t>
  </si>
  <si>
    <t>Loading charges (Mani &amp; Team Stayed in Maddur)</t>
  </si>
  <si>
    <t>Food Expenses (Maddur Factory)</t>
  </si>
  <si>
    <t>Weekly Pooja Expenses (Sweets-70 Nos) 22-08-2025 Friday</t>
  </si>
  <si>
    <t xml:space="preserve">Coil Unloading charges </t>
  </si>
  <si>
    <t>Weighment charges (Coil received from Meenakshi &amp; Mandot Steel)</t>
  </si>
  <si>
    <t>Refreshment Charges (IISC Team Visited Factory 23-08-2025) Coffe, Biscuit and Water Bottle</t>
  </si>
  <si>
    <t>Camduct Visit on 26-08-2025</t>
  </si>
  <si>
    <t xml:space="preserve">Water Filter service and Leakage resolved charges </t>
  </si>
  <si>
    <t xml:space="preserve">Paint EB.6.8296 Purchased </t>
  </si>
  <si>
    <t>Weekly Pooja Expenses (70 Sweets) 29-08-2025 Friday</t>
  </si>
  <si>
    <t>170/25-26</t>
  </si>
  <si>
    <t>MS25-26/IN/25574/29-08-2025</t>
  </si>
  <si>
    <t xml:space="preserve">GP GI Coil 120 STL (1.00 x1220) In Kgs </t>
  </si>
  <si>
    <t>171/25-26</t>
  </si>
  <si>
    <t>MS25-26/IN/25575/29-08-2025</t>
  </si>
  <si>
    <t>172/25-26</t>
  </si>
  <si>
    <t>14803/25-08-2025</t>
  </si>
  <si>
    <t>173/25-26</t>
  </si>
  <si>
    <t>14814/27-08-2025</t>
  </si>
  <si>
    <t>174/25-26</t>
  </si>
  <si>
    <t>HRP/394/25-26/30-08-2025</t>
  </si>
  <si>
    <t>0082/2025-26</t>
  </si>
  <si>
    <t>175/25-26</t>
  </si>
  <si>
    <t>395/01-08-2025</t>
  </si>
  <si>
    <t xml:space="preserve">300x250x20mm MS Plate </t>
  </si>
  <si>
    <t>60mm Round Rod (1 Mtr) In Kgs</t>
  </si>
  <si>
    <t>400mmx200mmx32mm MS Plate (In Kgs)</t>
  </si>
  <si>
    <t>100 Dia Roller Set (In Nos)</t>
  </si>
  <si>
    <t>176/25-26</t>
  </si>
  <si>
    <t>396/01-08-2025</t>
  </si>
  <si>
    <t>25mmx25mm Square Rod 2  Mtr (In Nos)</t>
  </si>
  <si>
    <t>200mmX200mmX16mm MS Plate (IN Nos)</t>
  </si>
  <si>
    <t>Seam Closing Roller Set (In Nos)</t>
  </si>
  <si>
    <t>100 Dia Roller Set Pin (In Nos)</t>
  </si>
  <si>
    <t>177/25-26</t>
  </si>
  <si>
    <t>MVDF/25-26/15885/02-09-2025</t>
  </si>
  <si>
    <t>Threaded Rod Steel 4.6 M8x245 (In Nos)</t>
  </si>
  <si>
    <t>178/25-26</t>
  </si>
  <si>
    <t>25-26/1915/03-09-2025</t>
  </si>
  <si>
    <t>Armaflex with Microban Sheet Com-19MM/E 1.2 (110 Roll) In Sqm</t>
  </si>
  <si>
    <t>179/25-26</t>
  </si>
  <si>
    <t>25-26/1916/03-09-2025</t>
  </si>
  <si>
    <t>Armaflex with Microban Sheet Com-19MM/E 1.2 (66 Roll) In Sqm</t>
  </si>
  <si>
    <t>180/25-26</t>
  </si>
  <si>
    <t>0089/2025-26</t>
  </si>
  <si>
    <t>D.S Ductofab Systems Pvt Ltd</t>
  </si>
  <si>
    <r>
      <t xml:space="preserve">G.I. Flat Sheet (22 Gauage) 0.80x1220 </t>
    </r>
    <r>
      <rPr>
        <sz val="11"/>
        <color rgb="FFFF0000"/>
        <rFont val="Calibri"/>
        <family val="2"/>
        <scheme val="minor"/>
      </rPr>
      <t>( 180 Gsm )</t>
    </r>
  </si>
  <si>
    <r>
      <t xml:space="preserve">G.I. Flat Sheet (24 Gauage) 0.60x1220 </t>
    </r>
    <r>
      <rPr>
        <sz val="11"/>
        <color rgb="FFFF0000"/>
        <rFont val="Calibri"/>
        <family val="2"/>
        <scheme val="minor"/>
      </rPr>
      <t>( 180 Gsm )</t>
    </r>
    <r>
      <rPr>
        <sz val="11"/>
        <color theme="1"/>
        <rFont val="Calibri"/>
        <family val="2"/>
        <scheme val="minor"/>
      </rPr>
      <t xml:space="preserve"> In Kgs </t>
    </r>
  </si>
  <si>
    <t>182/25-26</t>
  </si>
  <si>
    <t>25-26/1940/04-09-2025</t>
  </si>
  <si>
    <t>Armaflex with Microban Sheet Com-19MM/E 1.2 (70 Roll) In Sqm</t>
  </si>
  <si>
    <t>181/25-26</t>
  </si>
  <si>
    <t>183/25-26</t>
  </si>
  <si>
    <t>2526MSC1576/06-09-2025</t>
  </si>
  <si>
    <t>0088/2025-26</t>
  </si>
  <si>
    <r>
      <t>GI Coil / Sheet (1.00x137mm-18-</t>
    </r>
    <r>
      <rPr>
        <sz val="11"/>
        <color rgb="FFFF0000"/>
        <rFont val="Calibri"/>
        <family val="2"/>
        <scheme val="minor"/>
      </rPr>
      <t>180 GSM</t>
    </r>
    <r>
      <rPr>
        <sz val="11"/>
        <color theme="1"/>
        <rFont val="Calibri"/>
        <family val="2"/>
        <scheme val="minor"/>
      </rPr>
      <t>) In Kgs</t>
    </r>
  </si>
  <si>
    <t>180gsm 24G</t>
  </si>
  <si>
    <t>180gsm 22G</t>
  </si>
  <si>
    <t>180gsm Slit 20G</t>
  </si>
  <si>
    <r>
      <t xml:space="preserve">GI Coil   / Sheet ( 1.00 x 1220 - </t>
    </r>
    <r>
      <rPr>
        <sz val="11"/>
        <color rgb="FFED0000"/>
        <rFont val="Calibri"/>
        <family val="2"/>
        <scheme val="minor"/>
      </rPr>
      <t>180</t>
    </r>
    <r>
      <rPr>
        <sz val="11"/>
        <color theme="1"/>
        <rFont val="Calibri"/>
        <family val="2"/>
        <scheme val="minor"/>
      </rPr>
      <t xml:space="preserve"> GSM )</t>
    </r>
  </si>
  <si>
    <t>180gsm 20G</t>
  </si>
  <si>
    <t>185/25-26</t>
  </si>
  <si>
    <t>ME/25-26/275/08-09-2025</t>
  </si>
  <si>
    <t>184/25-26</t>
  </si>
  <si>
    <t>186/25-26</t>
  </si>
  <si>
    <t>HRP/415/25-26/08-09-2025</t>
  </si>
  <si>
    <t>Supply of 20 G Gss Duct Corner Pieces ( In Nos )</t>
  </si>
  <si>
    <t>September</t>
  </si>
  <si>
    <t>AUG-054/25-26</t>
  </si>
  <si>
    <t>K2507410</t>
  </si>
  <si>
    <t>Mr Dinesh Flight ticket Blr to Del and Del to Blr. (Inv Value 18787, Booking Fees 600 &amp; Gst 54+54)</t>
  </si>
  <si>
    <t>AUG-055/25-26</t>
  </si>
  <si>
    <t>K2507411</t>
  </si>
  <si>
    <t>Mr Deepak K.V Flight ticket Blr to Del and Del to Blr. (Inv Value 18787, Booking Fees 600 &amp; Gst 54+54)</t>
  </si>
  <si>
    <t>AUG-056/25-26</t>
  </si>
  <si>
    <t>AUG-066/25-26</t>
  </si>
  <si>
    <t>AUG-068/25-26</t>
  </si>
  <si>
    <t>AUG-069/25-26</t>
  </si>
  <si>
    <t>Thermal Insulation, Acoustic Insulation and Acoustic Insulation without beading</t>
  </si>
  <si>
    <t>AUG-070/25-26</t>
  </si>
  <si>
    <t>AUG-071/25-26</t>
  </si>
  <si>
    <t>AUG-072/25-26</t>
  </si>
  <si>
    <t>AUG-073/25-26</t>
  </si>
  <si>
    <t>AUG-074/25-26</t>
  </si>
  <si>
    <t>AUG-075/25-26</t>
  </si>
  <si>
    <t>AUG-076/25-26</t>
  </si>
  <si>
    <t>AUG-077/25-26</t>
  </si>
  <si>
    <t>AUG-078/25-26</t>
  </si>
  <si>
    <t>AUG-079/25-26</t>
  </si>
  <si>
    <t xml:space="preserve">Nikhila Engineering </t>
  </si>
  <si>
    <t>AUG-080/25-26</t>
  </si>
  <si>
    <t>AUG-081/25-26</t>
  </si>
  <si>
    <t>AUG-082/25-26</t>
  </si>
  <si>
    <t>AUG-083/25-26</t>
  </si>
  <si>
    <t>AUG-084/25-26</t>
  </si>
  <si>
    <t>AUG-085/25-26</t>
  </si>
  <si>
    <t>AUG-086/25-26</t>
  </si>
  <si>
    <t>AUG-087/25-26</t>
  </si>
  <si>
    <t>AUG-088/25-26</t>
  </si>
  <si>
    <t>AUG-089/25-26</t>
  </si>
  <si>
    <t>AUG-090/25-26</t>
  </si>
  <si>
    <t>AUG-091/25-26</t>
  </si>
  <si>
    <t>187/25-26</t>
  </si>
  <si>
    <t>M12500005638/05-09-2025</t>
  </si>
  <si>
    <t>0092/2025-26</t>
  </si>
  <si>
    <t>Insuflex NBR Sheets 09 1200mm*Class O (75 Pkg) In Sqm</t>
  </si>
  <si>
    <t>188/25-26</t>
  </si>
  <si>
    <t>DS/KR/25-26/2048/09-9-2025</t>
  </si>
  <si>
    <r>
      <t xml:space="preserve">G.I Flat Sheet - 22 Gaug (0.80 x 1220) </t>
    </r>
    <r>
      <rPr>
        <sz val="11"/>
        <color rgb="FFFF0000"/>
        <rFont val="Calibri"/>
        <family val="2"/>
        <scheme val="minor"/>
      </rPr>
      <t>180 GSm</t>
    </r>
    <r>
      <rPr>
        <sz val="11"/>
        <color theme="1"/>
        <rFont val="Calibri"/>
        <family val="2"/>
        <scheme val="minor"/>
      </rPr>
      <t xml:space="preserve"> In Kgs </t>
    </r>
  </si>
  <si>
    <t>189/25-26</t>
  </si>
  <si>
    <t>1175/25-26/09-08-2025</t>
  </si>
  <si>
    <t>Nav Tal Padlock(G 8 Levers)  In Nos</t>
  </si>
  <si>
    <t>Pad Lock (G Imara )</t>
  </si>
  <si>
    <t>Nav Tal Padlock ( G Pack of 4 )</t>
  </si>
  <si>
    <t>190/25-26</t>
  </si>
  <si>
    <t>TCE/2526/510/11-09-2025</t>
  </si>
  <si>
    <t>0106/2025-26</t>
  </si>
  <si>
    <t>191/25-26</t>
  </si>
  <si>
    <t>TGPL-25-26-8070/08-09-2025</t>
  </si>
  <si>
    <t>0093/2025-26</t>
  </si>
  <si>
    <t>TW63 UFB50 F80 B5B3 + TM80 B4 B5 ( In Nos)</t>
  </si>
  <si>
    <t>192/25-26</t>
  </si>
  <si>
    <t>SAI5805/25-26/10-09-2025</t>
  </si>
  <si>
    <t>0056/2025-26_1</t>
  </si>
  <si>
    <t>Kflex St Shet 13mm CL-O AluFoil (225 Roll) In Sqm</t>
  </si>
  <si>
    <t>193/25-26</t>
  </si>
  <si>
    <t>ET-2025-26/1738/11-09-2025</t>
  </si>
  <si>
    <t xml:space="preserve">Elegant Traders </t>
  </si>
  <si>
    <t>Swivel Caster Wheel 8 x 2" PT White Breake ( In Nos )</t>
  </si>
  <si>
    <t>Swivel Caster Wheel 6 x 2" PT White Breake ( In Nos )</t>
  </si>
  <si>
    <t>194/25-26</t>
  </si>
  <si>
    <t>7580/12-09-2025</t>
  </si>
  <si>
    <t>195/25-26</t>
  </si>
  <si>
    <t>7581/12-09-2025</t>
  </si>
  <si>
    <t>196/25-26</t>
  </si>
  <si>
    <t>PCT/0361/25-26/12-09-2025</t>
  </si>
  <si>
    <t>EVO-S 1550/12V Luminous Inverter ( In Nos )</t>
  </si>
  <si>
    <t xml:space="preserve">Luminous 150Ah ILTT18060 Pro Battery </t>
  </si>
  <si>
    <t>Luminous LD 1000 IN</t>
  </si>
  <si>
    <t>12V 42AH Amaron Quanta Make SMF Batteries</t>
  </si>
  <si>
    <t>197/25-26</t>
  </si>
  <si>
    <t>492/12-09-2025</t>
  </si>
  <si>
    <t>198/25-26</t>
  </si>
  <si>
    <t>2526MSC1629/12-09-2025</t>
  </si>
  <si>
    <r>
      <t xml:space="preserve">GI Coil / Sheet (1.20 x 1220) </t>
    </r>
    <r>
      <rPr>
        <sz val="11"/>
        <color rgb="FFFF0000"/>
        <rFont val="Calibri"/>
        <family val="2"/>
        <scheme val="minor"/>
      </rPr>
      <t>180 STL</t>
    </r>
    <r>
      <rPr>
        <sz val="11"/>
        <color theme="1"/>
        <rFont val="Calibri"/>
        <family val="2"/>
        <scheme val="minor"/>
      </rPr>
      <t xml:space="preserve"> In Kgs</t>
    </r>
  </si>
  <si>
    <t>180gsm 18G</t>
  </si>
  <si>
    <t>199/25-26</t>
  </si>
  <si>
    <t>KM/06055/2025-26/12-09-2025</t>
  </si>
  <si>
    <t>0101/2025-26</t>
  </si>
  <si>
    <t>MS Square Tube (50x50x2.50mm) 45 Nos (In MTS) 1.0000 MTS</t>
  </si>
  <si>
    <t>MS Angles (40x40x5.00mm) 10 Nos (0.1800)</t>
  </si>
  <si>
    <t>HR Cut Pieces (10.0mm x 120x120) 50 Nos (0.0520)</t>
  </si>
  <si>
    <t>200/25-26</t>
  </si>
  <si>
    <t>MVDF/25-26-16596/09-09-2025</t>
  </si>
  <si>
    <t>0100/2025-26</t>
  </si>
  <si>
    <t>Threaded Rod Steel 4.6 M8x450 (In Nos)</t>
  </si>
  <si>
    <t>Threaded Rod Steel 4.6 M8x500 (In Nos)</t>
  </si>
  <si>
    <t>201/25-26</t>
  </si>
  <si>
    <t>MVDF/25-26/16801/11-09-2025</t>
  </si>
  <si>
    <t>Threaded Rod Steel 4.6 M8x300 (In Nos)`</t>
  </si>
  <si>
    <t>Threaded Rod Steel 4.6 M8x350 (In Nos)</t>
  </si>
  <si>
    <t>202/25-26</t>
  </si>
  <si>
    <t>MVDF/25-26/16908/12-09-2025</t>
  </si>
  <si>
    <t>203/25-26</t>
  </si>
  <si>
    <t>25-26/2071/15-09-2025</t>
  </si>
  <si>
    <t>0109/2025-26</t>
  </si>
  <si>
    <t>Armasound Super Silence Sheets ASD-140-15 (30 Box) In Sqm</t>
  </si>
  <si>
    <t>ArmaComp Uniskin Pro 3/50 MM Tape (36 Box) 432 No.s</t>
  </si>
  <si>
    <t>DS/KR/25-26/1973/04-09-2025</t>
  </si>
  <si>
    <t>0090/2025-26</t>
  </si>
  <si>
    <r>
      <t xml:space="preserve">G.I. Flat Sheet - 24 Gauge (0.60 x 1220) </t>
    </r>
    <r>
      <rPr>
        <sz val="11"/>
        <color rgb="FFFF0000"/>
        <rFont val="Calibri"/>
        <family val="2"/>
        <scheme val="minor"/>
      </rPr>
      <t>(180 GSM)</t>
    </r>
    <r>
      <rPr>
        <sz val="11"/>
        <color theme="1"/>
        <rFont val="Calibri"/>
        <family val="2"/>
        <scheme val="minor"/>
      </rPr>
      <t xml:space="preserve"> In Kgs</t>
    </r>
  </si>
  <si>
    <t>DS/KR/25-26/1974/04-09-2025</t>
  </si>
  <si>
    <t>DS/KR/25-26/1998/06-09-20025</t>
  </si>
  <si>
    <r>
      <t>G.I Flat Sheet - 24 Gauge (</t>
    </r>
    <r>
      <rPr>
        <sz val="11"/>
        <color rgb="FFFF0000"/>
        <rFont val="Calibri"/>
        <family val="2"/>
        <scheme val="minor"/>
      </rPr>
      <t>180 GSM</t>
    </r>
    <r>
      <rPr>
        <sz val="11"/>
        <color theme="1"/>
        <rFont val="Calibri"/>
        <family val="2"/>
        <scheme val="minor"/>
      </rPr>
      <t xml:space="preserve">) In Kgs </t>
    </r>
  </si>
  <si>
    <t>204/25-26</t>
  </si>
  <si>
    <t>HRP/458/25-26/18-09-2025</t>
  </si>
  <si>
    <t>Supply of 20G Gss Duct Corner Pieces (In Nos)</t>
  </si>
  <si>
    <t>205/25-26</t>
  </si>
  <si>
    <t>HRP/459/25-26/18-09-2025</t>
  </si>
  <si>
    <t>0098/2025-26</t>
  </si>
  <si>
    <t>206/25-26</t>
  </si>
  <si>
    <t>GSS/016/18-09-2025</t>
  </si>
  <si>
    <t>0099/2025-26/06-09-2025</t>
  </si>
  <si>
    <t>207/25-26</t>
  </si>
  <si>
    <t>MVDF/25-26/17352/16-09-2025</t>
  </si>
  <si>
    <t>208/25-26</t>
  </si>
  <si>
    <t>MVDF/25-26/17353/16-09-2025</t>
  </si>
  <si>
    <t>Slotted Truss HD Screw 4.6G M8x16 ( In Nos )</t>
  </si>
  <si>
    <t>209/25-26</t>
  </si>
  <si>
    <t>MVDF/25-26/17361/16-09-2025</t>
  </si>
  <si>
    <t>210/25-26</t>
  </si>
  <si>
    <t>LRM/0398/25-26/19-09-2025</t>
  </si>
  <si>
    <t>0113/2025-26</t>
  </si>
  <si>
    <t>Stretch Film ( Manual Grade ) 500mm  (In Kgs )</t>
  </si>
  <si>
    <t>211/25-26</t>
  </si>
  <si>
    <t>AG/25-26/396/19-09-2025</t>
  </si>
  <si>
    <t>0105/2025-26</t>
  </si>
  <si>
    <t>AG Systems</t>
  </si>
  <si>
    <t>Lenovo Neo30s G5 13DK000WIG (Nos)</t>
  </si>
  <si>
    <t>Thinkvision 24" Monitor-S24i-30</t>
  </si>
  <si>
    <t>HP Laserjet Pro-M128FW</t>
  </si>
  <si>
    <t>212/25-26</t>
  </si>
  <si>
    <t>1633/25-26/22-09-2025</t>
  </si>
  <si>
    <t>0107/2025-26</t>
  </si>
  <si>
    <t>AUG-053/25-26</t>
  </si>
  <si>
    <t xml:space="preserve">35mm L Angle Slot Hole,Plate Milling Work &amp; Threading &amp; Cutting Blade Grainging </t>
  </si>
  <si>
    <t>K2507686</t>
  </si>
  <si>
    <t>Mr KT Basavaraj Flight Ticket Blr to Del And Del to Blr (Inv Value 21611, Booking Fees 600 &amp; Gst 54-+54)</t>
  </si>
  <si>
    <t>AUG-057/25-26</t>
  </si>
  <si>
    <t>K2508772</t>
  </si>
  <si>
    <t>Mr Dinesh Flight Ticket Blr to Del (Inv Value 6332, Booking Fees 300 and GST 27+27)</t>
  </si>
  <si>
    <t>AUG-058/25-26</t>
  </si>
  <si>
    <t>K2508773</t>
  </si>
  <si>
    <t>Mr Deepak K.V Flight ticket Blr to Del (Inv Value 6332, Booking Fees 300 &amp; Gst 27+27)</t>
  </si>
  <si>
    <t>AUG-059/25-26</t>
  </si>
  <si>
    <t>K2508805</t>
  </si>
  <si>
    <t>Mr Deepak K.V Flight ticket Blr to Pnq and Pnq to Blr (Inv Value 8029, Booking Fees 600 &amp; Gst 54+54)</t>
  </si>
  <si>
    <t>AUG-060/25-26</t>
  </si>
  <si>
    <t>K2508946</t>
  </si>
  <si>
    <t>Mr Dinesh Flight Ticket Del to Blr (Inv Value 7253, Booking Fees 300 &amp; GST 27+27)</t>
  </si>
  <si>
    <t>AUG-061/25-26</t>
  </si>
  <si>
    <t>K2508948</t>
  </si>
  <si>
    <t>R Dinesh KV Flight Ticket Del To Blr (Inv Value 7253, Booking Fees 300 &amp; GST 27+27)</t>
  </si>
  <si>
    <t>AUG-062/25-26</t>
  </si>
  <si>
    <t>K2508943</t>
  </si>
  <si>
    <t>MR Deepak KV Miscelleneous Service (Standard Charges 10514 , Management Fees 500 and Gst 45+45)</t>
  </si>
  <si>
    <t>AUG-063/25-26</t>
  </si>
  <si>
    <t>K2508945</t>
  </si>
  <si>
    <t>MR Dinesh R Miscelleneous Service (Standard Charges 10514 , Management Fees 500 and Gst 45+45)</t>
  </si>
  <si>
    <t>AUG-064/25-26</t>
  </si>
  <si>
    <t>HRD2515734</t>
  </si>
  <si>
    <t>For the Month of August 2025</t>
  </si>
  <si>
    <t>AUG-065/25-26</t>
  </si>
  <si>
    <t>0458/2025-26</t>
  </si>
  <si>
    <t>Fees Towards Preparation of EPF &amp; ESI Challans During Calender Month Aug-2025</t>
  </si>
  <si>
    <t>AUG-067/25-26</t>
  </si>
  <si>
    <t>AUG-092/25-26</t>
  </si>
  <si>
    <t>AUG-093/25-26</t>
  </si>
  <si>
    <t>AUG-094/25-26</t>
  </si>
  <si>
    <t>225/25-26</t>
  </si>
  <si>
    <t>AUG-095/25-26</t>
  </si>
  <si>
    <t>Metronix Incorporation</t>
  </si>
  <si>
    <t>Machine Spare Purchase Charges</t>
  </si>
  <si>
    <t>MS58-10-3000-5-30L-5MTR (Metronix Make Rotary Incremental Shaft Encoer)</t>
  </si>
  <si>
    <t>Basavaraj K.T Sir</t>
  </si>
  <si>
    <t>Travel Expenses (Visited Delhi)</t>
  </si>
  <si>
    <t>Weekly Pooja Expenses ( Sweets - 70 Nos) 05-09-2025 Friday</t>
  </si>
  <si>
    <t>Weighment Charges (Coil received from D.S DuctoFab &amp; Meenakshi Steel)</t>
  </si>
  <si>
    <t>Electricity Fuse Correction Charges</t>
  </si>
  <si>
    <t>Refreshment Charges (Tea+Biscuits + Bottle for IISC team visited Factory)</t>
  </si>
  <si>
    <t>Monthly Flower Payment 11/08/2025 to 10-09-2025</t>
  </si>
  <si>
    <t>Stationary Purchased for Security (Camduct India Pvt Ltd)</t>
  </si>
  <si>
    <t>Porter charges from  Metronix to Ador for Encoder</t>
  </si>
  <si>
    <t>Cab charges Pune Airport to Ador</t>
  </si>
  <si>
    <t>Encoder Wheel KNND to Sumukha Industries Peenya</t>
  </si>
  <si>
    <t>Food Expenses (Umesh, Selec &amp; Abhinav Pune Etc Aug &amp; Sep 2025)</t>
  </si>
  <si>
    <t>Petrol charges Aug-2025</t>
  </si>
  <si>
    <t>Paid to Chandan KNND for Sales</t>
  </si>
  <si>
    <t>Loading &amp; Unloading charges for the Month of Sep 2025</t>
  </si>
  <si>
    <t>Transportation charges (TUPL Worm Geared Motar received from TNPL Bangalore)</t>
  </si>
  <si>
    <t>Internet charges for the Month of Sep-2025 (2 Connection)</t>
  </si>
  <si>
    <t>Weekly Pooja expenses (Sweets - 70 Nos) 12/09/2025 Friday</t>
  </si>
  <si>
    <t>Weighment Charges (Coil received from Meenakshi Steel)</t>
  </si>
  <si>
    <t>Transportation charges (Stabilizer received from AV Technologies)</t>
  </si>
  <si>
    <t>Porter charges (Electrical Material UPS &amp; Batteries received from KNND Office)</t>
  </si>
  <si>
    <t>Porter charges (SWIVEL Caster Whales received from Elegant Traders)</t>
  </si>
  <si>
    <t>Food &amp; Refreshment expenses (Auditors visited Camduct Factory)</t>
  </si>
  <si>
    <t>Weekly Pooja expenses (65 Sweets) 19-09-2025 Friday</t>
  </si>
  <si>
    <t>Camduct visit on 23-09-2025</t>
  </si>
  <si>
    <t>Weekly Pooja expenses (70 Sweets) 26-07-2025 Friday</t>
  </si>
  <si>
    <t>Chandan G</t>
  </si>
  <si>
    <t>Office Visit Tally Update</t>
  </si>
  <si>
    <t>Porter charges (Sweet Boxes received from KNND Office)</t>
  </si>
  <si>
    <t>House Keeping Material (M Glass cleaner 500 Ml - 2 Nos) Purchased</t>
  </si>
  <si>
    <t>Weighment charges ( L Angle received from Silicon Steels)</t>
  </si>
  <si>
    <t>213/25-26</t>
  </si>
  <si>
    <t>M12500005990/16-09-2025</t>
  </si>
  <si>
    <t>0110/2025-26</t>
  </si>
  <si>
    <t xml:space="preserve">Insuflex 13mm 1100mm*14MTR Class O (270 Pkg) In Sqm </t>
  </si>
  <si>
    <t>214/25-26</t>
  </si>
  <si>
    <t>KM/06092/2025-26/25-09-2025</t>
  </si>
  <si>
    <t>0118/2025-26</t>
  </si>
  <si>
    <t>MS Square Tube (100x100x5.0mm) 2 Nos (In MTS)</t>
  </si>
  <si>
    <t>215/25-26</t>
  </si>
  <si>
    <t>15027/26-09-2025</t>
  </si>
  <si>
    <t>216/25-26</t>
  </si>
  <si>
    <t>ST/25-26/4990/26-09-2025</t>
  </si>
  <si>
    <t>217/25-26</t>
  </si>
  <si>
    <t>ST/25-26/5059/29-09-2025</t>
  </si>
  <si>
    <t>GI Formed Sections (Bresh Angles-2.5mm)</t>
  </si>
  <si>
    <t>GI Formed Sections (Thk 2.5mm-38x1500-100Nos &amp; Thk 2.5mm-56x1615-200Nos)</t>
  </si>
  <si>
    <t>218/25-26</t>
  </si>
  <si>
    <t>ML25261328/29-09-2025</t>
  </si>
  <si>
    <t>Best System 68 (210 Ltr Drum) In Ltr</t>
  </si>
  <si>
    <t>Best System 46  (210 Ltr Drum) In Ltr</t>
  </si>
  <si>
    <t>Best Cut S XL 35 (20 Ltr Can) In Ltr</t>
  </si>
  <si>
    <t>0119/2025-26</t>
  </si>
  <si>
    <t>219/25-26</t>
  </si>
  <si>
    <t>SRE/3282/25-26/29-09-2025</t>
  </si>
  <si>
    <t>Long Nut (M8) In Nos</t>
  </si>
  <si>
    <t>220/25-26</t>
  </si>
  <si>
    <t>593/29-09-2025</t>
  </si>
  <si>
    <t>0111/2025-26</t>
  </si>
  <si>
    <t>221/25-26</t>
  </si>
  <si>
    <t>AVK-324-25-26/29-09-2025</t>
  </si>
  <si>
    <t>0108/2025-26</t>
  </si>
  <si>
    <t xml:space="preserve">222/25-26 </t>
  </si>
  <si>
    <t>ME/25-26/287/29-09-2025</t>
  </si>
  <si>
    <t>3M Ear Plugs (In Nos)</t>
  </si>
  <si>
    <t xml:space="preserve">223/25-26 </t>
  </si>
  <si>
    <t>GST/25-26/004982/30-09-2025</t>
  </si>
  <si>
    <t>0094/2025-26</t>
  </si>
  <si>
    <t>Metal Work Pneumatic India Pvt Ltd</t>
  </si>
  <si>
    <t>Control Cabinet (10% Discount On 60871)</t>
  </si>
  <si>
    <t xml:space="preserve">224/25-26 </t>
  </si>
  <si>
    <t>1076/29-09-2025</t>
  </si>
  <si>
    <t>0120/2025-26</t>
  </si>
  <si>
    <t xml:space="preserve">225/25-26 </t>
  </si>
  <si>
    <t>ML25261342/03-10-2025</t>
  </si>
  <si>
    <t>226/25-26</t>
  </si>
  <si>
    <t>HRP/500/25-26/06-10-2025</t>
  </si>
  <si>
    <t>227/25-26</t>
  </si>
  <si>
    <t>ME/25-26/290/07-10-2025</t>
  </si>
  <si>
    <t>228/25-26</t>
  </si>
  <si>
    <t>MVDF/25-26/18784/27-09-2025</t>
  </si>
  <si>
    <t>Threaded Rod Steel 4.6 M8x300 (In Nos)</t>
  </si>
  <si>
    <t>October</t>
  </si>
  <si>
    <t>229/25-26</t>
  </si>
  <si>
    <t>UNI-25-26-011/27-09-2025</t>
  </si>
  <si>
    <t>0096/2025-26</t>
  </si>
  <si>
    <t>Universal Energy Solutions</t>
  </si>
  <si>
    <t>Hydraulic Punch Machine Electrical PLC Control Panel ( In Set)</t>
  </si>
  <si>
    <t>230/25-26</t>
  </si>
  <si>
    <t>SF/2307/25-26/09-10-2025</t>
  </si>
  <si>
    <t>0116/2025-26</t>
  </si>
  <si>
    <t>231/25-26</t>
  </si>
  <si>
    <t>SAI6753/25-26/08-10-2025</t>
  </si>
  <si>
    <t>0121/2025-26</t>
  </si>
  <si>
    <t>Kflex ST Sheet 9mm CL -O Plain (240 Roll) In Sqm</t>
  </si>
  <si>
    <t>232/25-26</t>
  </si>
  <si>
    <t>MS25-26/IN/26413/09-10-2025</t>
  </si>
  <si>
    <t>0087/2025-26</t>
  </si>
  <si>
    <t>233/25-26</t>
  </si>
  <si>
    <t>MS25-26/IN/26414/09-10-2025</t>
  </si>
  <si>
    <t>234/25-26</t>
  </si>
  <si>
    <t>HA3019/10-10-2025</t>
  </si>
  <si>
    <t>0122/2025-26</t>
  </si>
  <si>
    <t>Nitrile 19mmx1200mmx10MTRS BLK Class O (20 Roll) In Sqm</t>
  </si>
  <si>
    <t>235/25-26</t>
  </si>
  <si>
    <t>15101/12-10-2025</t>
  </si>
  <si>
    <t>236/25-26</t>
  </si>
  <si>
    <t>15103/13-10-2025</t>
  </si>
  <si>
    <t>237/25-26</t>
  </si>
  <si>
    <t>MS25-26/IN/26496/13-10-2025</t>
  </si>
  <si>
    <t>238/25-26</t>
  </si>
  <si>
    <t>25-26/2407/14-10-2025</t>
  </si>
  <si>
    <t>0124/2025-26</t>
  </si>
  <si>
    <t>Armasound Super Silence Sheets ASD-140-15 (15 Box) In Sqm</t>
  </si>
  <si>
    <t>239/25-26</t>
  </si>
  <si>
    <t>MSP-U/0036/25-26/15-10-2025</t>
  </si>
  <si>
    <t>0125/2025-26_1</t>
  </si>
  <si>
    <t>Multi Speciality Products</t>
  </si>
  <si>
    <t>SEP-001/25-26</t>
  </si>
  <si>
    <t>SEP-002/25-26</t>
  </si>
  <si>
    <t>Visitor ID Cards, Holders and Tags (25 Sets)</t>
  </si>
  <si>
    <t>SEP-003/25-26</t>
  </si>
  <si>
    <t>for the Month of 02-6-25 to 27-07-25</t>
  </si>
  <si>
    <t>SEP-004/25-26</t>
  </si>
  <si>
    <t>1243199012823</t>
  </si>
  <si>
    <t>SEP-005/25-26</t>
  </si>
  <si>
    <t>ABSIPL/25-26/116</t>
  </si>
  <si>
    <t>SEP-006/25-26</t>
  </si>
  <si>
    <t>SVE/2896/25-26</t>
  </si>
  <si>
    <t>SEP-007/25-26</t>
  </si>
  <si>
    <t>UII/25-26/1529</t>
  </si>
  <si>
    <t>SEP-008/25-26</t>
  </si>
  <si>
    <t>SEP-009/25-26</t>
  </si>
  <si>
    <t>Coil Slitting Charges (5730x1) and Transportation Charges 4010</t>
  </si>
  <si>
    <t>SEP-010/25-26</t>
  </si>
  <si>
    <t>Coil Slitting Charges (2560x1) and Transportation Charges 1800</t>
  </si>
  <si>
    <t>SEP-011/25-26</t>
  </si>
  <si>
    <t>Coil Slitting Charges (2090x1) and Transportation Charges 1490</t>
  </si>
  <si>
    <t>SEP-012/25-26</t>
  </si>
  <si>
    <t>Coil Slitting Charges (3085x1) and Transportation Charges 2200</t>
  </si>
  <si>
    <t>SEP-013/25-26</t>
  </si>
  <si>
    <t>Coil Slitting Charges (2000x1) and Transportation Charges 1400</t>
  </si>
  <si>
    <t>SEP-014/25-26</t>
  </si>
  <si>
    <t>CAM012 GSS Corner 25 MM (In Nos), Blanking Tool Rework and Forming Tool Rework</t>
  </si>
  <si>
    <t>SEP-015/25-26</t>
  </si>
  <si>
    <t>Quality Council of India</t>
  </si>
  <si>
    <t>NDIE/SEP25/00311</t>
  </si>
  <si>
    <t>Assessment Fees</t>
  </si>
  <si>
    <t>Zed Silver Certification Fees</t>
  </si>
  <si>
    <t>SEP-016/25-26</t>
  </si>
  <si>
    <t>Petrol and Diesel Charges</t>
  </si>
  <si>
    <t>Petrol 10 Ltr and Diesel 160 Ltr</t>
  </si>
  <si>
    <t>SEP-017/25-26</t>
  </si>
  <si>
    <t>SUI/1187</t>
  </si>
  <si>
    <t>SEP-018/25-26</t>
  </si>
  <si>
    <t>SUI/1188</t>
  </si>
  <si>
    <t>SEP-019/25-26</t>
  </si>
  <si>
    <t>UII/25-26/1596</t>
  </si>
  <si>
    <t>SEP-020/25-26</t>
  </si>
  <si>
    <t>Navami Technicals &amp; Services</t>
  </si>
  <si>
    <t>Inspection Charges</t>
  </si>
  <si>
    <t>Inspection of 1 Ton, 2 Ton and 7.5 Ton Cranes</t>
  </si>
  <si>
    <t xml:space="preserve">SEP-021/25-26 </t>
  </si>
  <si>
    <t>SEPT-032-25-26</t>
  </si>
  <si>
    <t>Purchasing Charges</t>
  </si>
  <si>
    <t>Fan Drive Pullu, V Belt, Stop Solinoid, Feed pump Kicker and Wiring and Sensor Works</t>
  </si>
  <si>
    <t xml:space="preserve">SEP-022/25-26 </t>
  </si>
  <si>
    <t>SVE/3317/25-26</t>
  </si>
  <si>
    <t>76 Kgs</t>
  </si>
  <si>
    <t xml:space="preserve">SEP-023/25-26 </t>
  </si>
  <si>
    <t xml:space="preserve">SEP-024/25-26 </t>
  </si>
  <si>
    <t>Hotel and Room Rent (Deepak K.v)</t>
  </si>
  <si>
    <t xml:space="preserve">SEP-025/25-26 </t>
  </si>
  <si>
    <t>Hemachandra Crane Service</t>
  </si>
  <si>
    <t>Crane Service</t>
  </si>
  <si>
    <t xml:space="preserve">SEP-026/25-26 </t>
  </si>
  <si>
    <t>For the month of Sep-2025</t>
  </si>
  <si>
    <t xml:space="preserve">SEP-027/25-26 </t>
  </si>
  <si>
    <t xml:space="preserve">SEP-028/25-26 </t>
  </si>
  <si>
    <t>297/25-26</t>
  </si>
  <si>
    <t xml:space="preserve">SEP-029/25-26 </t>
  </si>
  <si>
    <t>HRD2519432</t>
  </si>
  <si>
    <t xml:space="preserve">SEP-030/25-26 </t>
  </si>
  <si>
    <t>Iffco-Tokio General Insurance Co. Ltd</t>
  </si>
  <si>
    <t xml:space="preserve">Insurance charges </t>
  </si>
  <si>
    <t>Marine Inland specific Voyage Policy</t>
  </si>
  <si>
    <t xml:space="preserve">SEP-031/25-26 </t>
  </si>
  <si>
    <t xml:space="preserve">SEP-032/25-26 </t>
  </si>
  <si>
    <t>0568/2025-26</t>
  </si>
  <si>
    <t>Fees Towards Preparation of EPF &amp; ESI Challans During Calender Sep -2025</t>
  </si>
  <si>
    <t xml:space="preserve">SEP-033/25-26 </t>
  </si>
  <si>
    <t>RBS/673/25-26</t>
  </si>
  <si>
    <t>Tally Software Services-Silver 2 Year</t>
  </si>
  <si>
    <t xml:space="preserve">SEP-034/25-26 </t>
  </si>
  <si>
    <t xml:space="preserve">SEP-035/25-26 </t>
  </si>
  <si>
    <t xml:space="preserve">SEP-036/25-26 </t>
  </si>
  <si>
    <t xml:space="preserve">SEP-037/25-26 </t>
  </si>
  <si>
    <t xml:space="preserve">SEP-038/25-26 </t>
  </si>
  <si>
    <t xml:space="preserve">SEP-039/25-26 </t>
  </si>
  <si>
    <t xml:space="preserve">SEP-040/25-26 </t>
  </si>
  <si>
    <t xml:space="preserve">SEP-041/25-26 </t>
  </si>
  <si>
    <t xml:space="preserve">SEP-042/25-26 </t>
  </si>
  <si>
    <t xml:space="preserve">SEP-043/25-26 </t>
  </si>
  <si>
    <t xml:space="preserve">SEP-044/25-26 </t>
  </si>
  <si>
    <t xml:space="preserve">SEP-045/25-26 </t>
  </si>
  <si>
    <t>Thermal Insulation and Insulation without beading</t>
  </si>
  <si>
    <t xml:space="preserve">SEP-046/25-26 </t>
  </si>
  <si>
    <t xml:space="preserve">SEP-047/25-26 </t>
  </si>
  <si>
    <t xml:space="preserve">SEP-048/25-26 </t>
  </si>
  <si>
    <t>Job Work</t>
  </si>
  <si>
    <t xml:space="preserve">SEP-049/25-26 </t>
  </si>
  <si>
    <t>Acoustic Insulation and Acoustic Insulation without beading</t>
  </si>
  <si>
    <t xml:space="preserve">SEP-050/25-26 </t>
  </si>
  <si>
    <t xml:space="preserve">SEP-051/25-26 </t>
  </si>
  <si>
    <t xml:space="preserve">SEP-052/25-26 </t>
  </si>
  <si>
    <t>INV0228-25</t>
  </si>
  <si>
    <t xml:space="preserve">SEP-053/25-26 </t>
  </si>
  <si>
    <t>VRL Logistics Ltd</t>
  </si>
  <si>
    <t xml:space="preserve">Logistics Charges </t>
  </si>
  <si>
    <t>Transportation of Whisper Lock Machine to Haryana Factory</t>
  </si>
  <si>
    <t xml:space="preserve">SEP-054/25-26 </t>
  </si>
  <si>
    <t>Transportation of GI Formed Section machine to Haryana Factory</t>
  </si>
  <si>
    <t>OCT-001/25-26</t>
  </si>
  <si>
    <t>OCT-002/25-26</t>
  </si>
  <si>
    <t>Hotel and Room rent (Prasad Kumar)</t>
  </si>
  <si>
    <t>OCT-003/25-26</t>
  </si>
  <si>
    <t>1243199015222</t>
  </si>
  <si>
    <t>OCT-004/25-26</t>
  </si>
  <si>
    <t>GN Developers</t>
  </si>
  <si>
    <t>GN0137</t>
  </si>
  <si>
    <t>Domain and Host renewal for one year  (2025-26) Camduct.in</t>
  </si>
  <si>
    <t>OCT-005/25-26</t>
  </si>
  <si>
    <t>ABSIPL/25-26/141</t>
  </si>
  <si>
    <t>OCT-006/25-26</t>
  </si>
  <si>
    <t>ABSIPL/25-26/142</t>
  </si>
  <si>
    <t>Bonus for the Yeat of 2025-26</t>
  </si>
  <si>
    <t>OCT-007/25-26</t>
  </si>
  <si>
    <t>Prasad &amp; Suresh</t>
  </si>
  <si>
    <t>074/2025-26</t>
  </si>
  <si>
    <t>Statutory Audit of accounts for the year ended 31stt March, 2025 and Tax Audit for the year.</t>
  </si>
  <si>
    <t>OCT-008/25-26</t>
  </si>
  <si>
    <t>Diesel 160 Ltr</t>
  </si>
  <si>
    <t>Ayuda Pooja Expenses - Flower 55 KG - 30-09-2025</t>
  </si>
  <si>
    <t>Ayuda Pooja Expenses - Flower 55 Kg - 30-09-2025</t>
  </si>
  <si>
    <t>Ayuda Pooja Expenses - (Pooja Material + Coin Change + Rangoli Expenses)</t>
  </si>
  <si>
    <t>Dasara Collections</t>
  </si>
  <si>
    <t>Ayuda Pooja Expenses (Fruits + Coconuts + Dry Fruits + Milk)</t>
  </si>
  <si>
    <t>Weekly Pooja Expenses (Sweets - 70 Nos) 03-10-2025 Friday</t>
  </si>
  <si>
    <t>Travel Expenses ( Mr. Prasad visited factory)</t>
  </si>
  <si>
    <t>Transportation Charges (Sealant received from Urja Pune)</t>
  </si>
  <si>
    <t>House Keeping Material Purchased (Broom and Map)</t>
  </si>
  <si>
    <t xml:space="preserve">Garden Plant Medicines &amp; Tools Service Charges </t>
  </si>
  <si>
    <t>Monthly Flower Payment (11-09-2025 To 10-10-2025)</t>
  </si>
  <si>
    <t>Loading &amp; Unloading charges for the month of Oct-2025</t>
  </si>
  <si>
    <t>Transportation Charges (Long nut received from Sangvi Fastners)</t>
  </si>
  <si>
    <t>Weekly Pooja Expenses (Sweets - 70 Nos) 10-10-2025 Friday)</t>
  </si>
  <si>
    <t>Weighment charges (Coil received from Mandot Steel)</t>
  </si>
  <si>
    <t>Internet charges for the Month of Oct - 2025</t>
  </si>
  <si>
    <t>Stationary material Purchased (Bills attached)</t>
  </si>
  <si>
    <t>Stationary - (Paper Roll - 24"x50m 80 Gsm) 1 Nos purchased</t>
  </si>
  <si>
    <t>240/25-26</t>
  </si>
  <si>
    <t>MVDF/25-26/20341/16-10-2025</t>
  </si>
  <si>
    <t>241/25-26</t>
  </si>
  <si>
    <t>242/25-26</t>
  </si>
  <si>
    <t>MVDF/25-26/20362/17-10-2025</t>
  </si>
  <si>
    <t>Threaded  Rod Steel 4.6 M8 x 345</t>
  </si>
  <si>
    <t>243/25-26</t>
  </si>
  <si>
    <t>MVDF/25-26/20363/18-10-2025</t>
  </si>
  <si>
    <t>Threaded  Rod Steel 4.6 M8 x 395</t>
  </si>
  <si>
    <t>Threaded  Rod Steel 4.6 M8 x 445</t>
  </si>
  <si>
    <t>Threaded  Rod Steel 4.6 M8 x 495</t>
  </si>
  <si>
    <t>Threaded  Rod Steel 4.6 M8 x 300</t>
  </si>
  <si>
    <t>Threaded  Rod Steel 4.6 M8 x 350</t>
  </si>
  <si>
    <t>Threaded  Rod Steel 4.6 M8 x 400</t>
  </si>
  <si>
    <t>Threaded  Rod Steel 4.6 M8 x 450</t>
  </si>
  <si>
    <t>Slotted Truss HD Screw 4.6G M8 x 32</t>
  </si>
  <si>
    <t>244/25-26</t>
  </si>
  <si>
    <t>MVDF/25-26/20788/21-10-2025</t>
  </si>
  <si>
    <t>Threaded  Rod Steel 4.6 M8 x 500</t>
  </si>
  <si>
    <t>245/25-26</t>
  </si>
  <si>
    <t>AVK-356-25-26/22-10-2025</t>
  </si>
  <si>
    <t>128/2025-26</t>
  </si>
  <si>
    <t>Trolley Wheel (8" with Brake Supo)</t>
  </si>
  <si>
    <t>246/25-26</t>
  </si>
  <si>
    <t>657/23-10-2025</t>
  </si>
  <si>
    <t>247/25-26</t>
  </si>
  <si>
    <t>DS/KR/25-26/2709/24-10-2025</t>
  </si>
  <si>
    <t>0126/2025-26</t>
  </si>
  <si>
    <r>
      <t>G.I Flat Sheet -24 Gauge (</t>
    </r>
    <r>
      <rPr>
        <sz val="11"/>
        <color rgb="FFFF0000"/>
        <rFont val="Calibri"/>
        <family val="2"/>
        <scheme val="minor"/>
      </rPr>
      <t xml:space="preserve"> 180 GSM </t>
    </r>
    <r>
      <rPr>
        <sz val="11"/>
        <color theme="1"/>
        <rFont val="Calibri"/>
        <family val="2"/>
        <scheme val="minor"/>
      </rPr>
      <t>)</t>
    </r>
  </si>
  <si>
    <r>
      <t xml:space="preserve">G.I Flat Sheet -22 Gauge ( </t>
    </r>
    <r>
      <rPr>
        <sz val="11"/>
        <color rgb="FFFF0000"/>
        <rFont val="Calibri"/>
        <family val="2"/>
        <scheme val="minor"/>
      </rPr>
      <t>180 GSM</t>
    </r>
    <r>
      <rPr>
        <sz val="11"/>
        <color theme="1"/>
        <rFont val="Calibri"/>
        <family val="2"/>
        <scheme val="minor"/>
      </rPr>
      <t xml:space="preserve"> )</t>
    </r>
  </si>
  <si>
    <r>
      <t xml:space="preserve">G.I Flat Sheet -18 Gauge ( </t>
    </r>
    <r>
      <rPr>
        <sz val="11"/>
        <color rgb="FFFF0000"/>
        <rFont val="Calibri"/>
        <family val="2"/>
        <scheme val="minor"/>
      </rPr>
      <t>180 GSM</t>
    </r>
    <r>
      <rPr>
        <sz val="11"/>
        <color theme="1"/>
        <rFont val="Calibri"/>
        <family val="2"/>
        <scheme val="minor"/>
      </rPr>
      <t xml:space="preserve"> )</t>
    </r>
  </si>
  <si>
    <t>248/25-26</t>
  </si>
  <si>
    <t>2042/25-26/25-10-2025</t>
  </si>
  <si>
    <t>Mr. Naveen</t>
  </si>
  <si>
    <t>Submersible Pump (1.5 HP Texmo)</t>
  </si>
  <si>
    <t>Y Strainer (1 Inch)</t>
  </si>
  <si>
    <t>249/25-26</t>
  </si>
  <si>
    <t>DS/KR/25-26/2717/25-10-2025</t>
  </si>
  <si>
    <t>0127/2025-26</t>
  </si>
  <si>
    <r>
      <t xml:space="preserve">G.I Flat Sheet -20 Gauge ( </t>
    </r>
    <r>
      <rPr>
        <sz val="11"/>
        <color rgb="FFFF0000"/>
        <rFont val="Calibri"/>
        <family val="2"/>
        <scheme val="minor"/>
      </rPr>
      <t>180 GSM</t>
    </r>
    <r>
      <rPr>
        <sz val="11"/>
        <color theme="1"/>
        <rFont val="Calibri"/>
        <family val="2"/>
        <scheme val="minor"/>
      </rPr>
      <t xml:space="preserve"> )</t>
    </r>
  </si>
  <si>
    <t>250/25-26</t>
  </si>
  <si>
    <t>DS/KR/25-26/2731/25-10-2025</t>
  </si>
  <si>
    <r>
      <t>G.I Flat Sheet - 24 Gauge (</t>
    </r>
    <r>
      <rPr>
        <sz val="11"/>
        <color rgb="FFFF0000"/>
        <rFont val="Calibri"/>
        <family val="2"/>
        <scheme val="minor"/>
      </rPr>
      <t>180 GSM</t>
    </r>
    <r>
      <rPr>
        <sz val="11"/>
        <color theme="1"/>
        <rFont val="Calibri"/>
        <family val="2"/>
        <scheme val="minor"/>
      </rPr>
      <t>)</t>
    </r>
  </si>
  <si>
    <t>251/25-26</t>
  </si>
  <si>
    <t>15197/25-10-2025</t>
  </si>
  <si>
    <t>252/25-26</t>
  </si>
  <si>
    <t>15198/25-10-2025</t>
  </si>
  <si>
    <t>494/2025-2026/18-10-2025</t>
  </si>
  <si>
    <t>Cornmatic Machine Spares Parts</t>
  </si>
  <si>
    <t>OCT-009/25-26</t>
  </si>
  <si>
    <t>SUI/1212</t>
  </si>
  <si>
    <t>Bonus Charges</t>
  </si>
  <si>
    <t>For the Period of April 2024 to March 2025</t>
  </si>
  <si>
    <t>OCT-010/25-26</t>
  </si>
  <si>
    <t>SUI/1216</t>
  </si>
  <si>
    <t>OCT-011/25-26</t>
  </si>
  <si>
    <t>SUI/1217</t>
  </si>
  <si>
    <t>OCT-012/25-26</t>
  </si>
  <si>
    <t>SVE/3657/25-26</t>
  </si>
  <si>
    <t>135 Kgs</t>
  </si>
  <si>
    <t>Petrol Expenses for the month of Sep 2025</t>
  </si>
  <si>
    <t>Food and Beverage charges (MSME 2 Office Visiting Factory 14-10-2025 &amp; 15-10-2025)</t>
  </si>
  <si>
    <t>Car Insurance expenses</t>
  </si>
  <si>
    <t>Food Expenses Umesh, Selec and Abhinav Etc</t>
  </si>
  <si>
    <t xml:space="preserve">Weekly Pooja expenses ( Sweets 65 Nos) 17-10-2025 Friday </t>
  </si>
  <si>
    <t>Porter charges (Sample Duct Sent to KNND Office )</t>
  </si>
  <si>
    <t>Porter charges (Split Air Damper Sample Sent ot KNND Office)</t>
  </si>
  <si>
    <t>Weekly Pooja Expenses (Sweets 60 Nos) 24-10-2025 Friday</t>
  </si>
  <si>
    <t>253/25-26</t>
  </si>
  <si>
    <t>2059/25-26/28-10-2025</t>
  </si>
  <si>
    <t>254/25-26</t>
  </si>
  <si>
    <t>H22500012024/28-10-2025</t>
  </si>
  <si>
    <t>0131/2025-26</t>
  </si>
  <si>
    <t>Insu Sound BN 10 MMx(1x1)M 25 Pkg (In Sqm)</t>
  </si>
  <si>
    <t>Insu Sound BN 15 MMx(1x1)M 25 Pkg (In Sqm)</t>
  </si>
  <si>
    <t>Insuflex 09mm 1200mm*Class O (30 Pkg) In Sqm</t>
  </si>
  <si>
    <t>255/25-26</t>
  </si>
  <si>
    <t>AVK-365-25-26/28-10-2025</t>
  </si>
  <si>
    <t>0134/2025-26</t>
  </si>
  <si>
    <t>256/25-26</t>
  </si>
  <si>
    <t>HRP/556/25-26/29-10-2025</t>
  </si>
  <si>
    <t>257/25-26</t>
  </si>
  <si>
    <t>MVDF/25-26/21435/28-10-2025</t>
  </si>
  <si>
    <t>258/25-26</t>
  </si>
  <si>
    <t>GST/806/2025-26/28-10-2025</t>
  </si>
  <si>
    <t>By Verbel</t>
  </si>
  <si>
    <t>Bangalore Industrial Systems</t>
  </si>
  <si>
    <t>102x84mm Pipe (1 Nos) In Mtr</t>
  </si>
  <si>
    <t>259/25-26</t>
  </si>
  <si>
    <t>52726102574/28-10-2025</t>
  </si>
  <si>
    <t>0123/2025-26</t>
  </si>
  <si>
    <t xml:space="preserve">Adore Welding Limited </t>
  </si>
  <si>
    <t>Bulk Pack, Electrode, Duramax (Hypertherm) In Nos</t>
  </si>
  <si>
    <t>Bulk Pack, Nozzle, Duramax (Hypertherm) In Nos</t>
  </si>
  <si>
    <t>260/25-26</t>
  </si>
  <si>
    <t>GST/25-26/005653/29-10-2025</t>
  </si>
  <si>
    <t>0133/2025-26_1</t>
  </si>
  <si>
    <t>ISO 15552 Series 3 Cyl Dia 125x50mm Stroke</t>
  </si>
  <si>
    <t>261/25-26</t>
  </si>
  <si>
    <t>AVK-372-25-26/31-10-2025</t>
  </si>
  <si>
    <t>0136/2025-26</t>
  </si>
  <si>
    <t>OCT-013/25-26</t>
  </si>
  <si>
    <t>Hotel and Room rent (Mr.Deepak Kv and Mr. Jagdish)</t>
  </si>
  <si>
    <t>OCT-014/25-26</t>
  </si>
  <si>
    <t>Cartridge Refilling 6 Nos</t>
  </si>
  <si>
    <t>OCT-015/25-26</t>
  </si>
  <si>
    <t>Coil Slitting Charges (6.010x1) and Transportation Charges 4210  + Other Charges 100</t>
  </si>
  <si>
    <t>OCT-016/25-26</t>
  </si>
  <si>
    <t>Coil Slitting Charges (4.735x1) and Transportation Charges 3315</t>
  </si>
  <si>
    <t>OCT-017/25-26</t>
  </si>
  <si>
    <t>Coil Slitting Charges (4.925x1) and Transportation Charges 3450</t>
  </si>
  <si>
    <t>OCT-018/25-26</t>
  </si>
  <si>
    <t>For Filling of MSME Form-1 (April 2025 to September 2025)</t>
  </si>
  <si>
    <t>OCT-019/25-26</t>
  </si>
  <si>
    <t>OCT-020/25-26</t>
  </si>
  <si>
    <t>OCT-021/25-26</t>
  </si>
  <si>
    <t>348/25-26</t>
  </si>
  <si>
    <t>For the month of Oct-2025</t>
  </si>
  <si>
    <t>OCT-022/25-26</t>
  </si>
  <si>
    <t>NOV-001/25-26</t>
  </si>
  <si>
    <t>NOV-002/25-26</t>
  </si>
  <si>
    <t>Coil Slitting Charges (5.075 x 1) &amp; Transportation Charges 3555 + Others Charges 110</t>
  </si>
  <si>
    <t>NOV-003/25-26</t>
  </si>
  <si>
    <t>Coil Slitting Charges (4.820 x 1) &amp; Transportation Charges 3375</t>
  </si>
  <si>
    <t>NOV-004/25-26</t>
  </si>
  <si>
    <t>Coil Slitting Charges (5280 x 1) &amp; Transportation Charges 3700</t>
  </si>
  <si>
    <t>November</t>
  </si>
  <si>
    <t xml:space="preserve">Old Cycle Tyre Tube and Hukku Lever Purchased </t>
  </si>
  <si>
    <t>House Keeping material purchased (Bill Attache)</t>
  </si>
  <si>
    <t>Water Filter Tap 1 Nos purchased</t>
  </si>
  <si>
    <t>Food charges ( Sunday Working - 3 Worker)</t>
  </si>
  <si>
    <t>Water Filter Service Charges</t>
  </si>
  <si>
    <t xml:space="preserve">Empty Plastic Bags Purchased </t>
  </si>
  <si>
    <t>Weighment charges (Coil received from D.S Ducto Fab)</t>
  </si>
  <si>
    <t>Refreshment charges (IISC team visited - Tea + Biscuits)</t>
  </si>
  <si>
    <t>Electrical Charges (3 Core wire changed to water Ground Tank)</t>
  </si>
  <si>
    <t>Plumbing Work charges (Water Tank - 1 Fixed)</t>
  </si>
  <si>
    <t>Water Can 20 Ltr - 9 Nos purchased</t>
  </si>
  <si>
    <t>Plumbing work charges (Water Tank - 2 &amp; Fittings fixed charges)</t>
  </si>
  <si>
    <t>Food Expenses (Overtime work on 31-10-2025 night)</t>
  </si>
  <si>
    <t>Food Expenses (Overtime Work on 30/10/2025 Evening)</t>
  </si>
  <si>
    <t>Camduct visit on 31-10-2025</t>
  </si>
  <si>
    <t>Weekly Pooja expenses (60 Sweets) 31-10-2025 Friday</t>
  </si>
  <si>
    <t>Crane charges (Coil Unloading - received From Meenakshi Steel)</t>
  </si>
  <si>
    <t>Weighment charges (Coil received from Meenakshi Steel)</t>
  </si>
  <si>
    <t>Travel expenses ( Mubarak and Chandrashekar visited AIIMS Madurai)</t>
  </si>
  <si>
    <t>262/25-26</t>
  </si>
  <si>
    <t>HRP/565/25-26/31-10-2025</t>
  </si>
  <si>
    <t>0135/2025-26</t>
  </si>
  <si>
    <t>18G GSS Duct Corner Size - 32 mm ( In Nos)</t>
  </si>
  <si>
    <t>263/25-26</t>
  </si>
  <si>
    <t>25-26/2651/05-11-2025</t>
  </si>
  <si>
    <t>0137/2025-26</t>
  </si>
  <si>
    <t>Armasound Super Silence Sheet ASD-140-15 (25 Box) In Sqm</t>
  </si>
  <si>
    <t>264/25-26</t>
  </si>
  <si>
    <t>1694/25-26/07-11-2025</t>
  </si>
  <si>
    <t>0138/2025-26</t>
  </si>
  <si>
    <t xml:space="preserve">Prominent Insulation </t>
  </si>
  <si>
    <t>Insushield 13mm Thk Al.Foil (24-25) (1.25mtr X 25mtr X 13 Rolls) In Sqm</t>
  </si>
  <si>
    <t>Food Charges (Sunday overtime work on 02-11-2025 15 Workrs)</t>
  </si>
  <si>
    <t>Camduct visit on 04-11-2025</t>
  </si>
  <si>
    <t>First Aid Kit Medicine purchased</t>
  </si>
  <si>
    <t xml:space="preserve">Weekly Pooja Expenses -(70 Sweets) 07-11-2025 Friday </t>
  </si>
  <si>
    <t>Mubarak</t>
  </si>
  <si>
    <t>Travel Fare (Bus Expenses Madurai to Hosur 04-11-2025)</t>
  </si>
  <si>
    <t>Porter Charges (Hydraulic Cylinder Send to SBS Industries)</t>
  </si>
  <si>
    <t>Travel Conveyance (Naveen visited KNND Office &amp; Canara Bank)</t>
  </si>
  <si>
    <t>Monthly Flower Payment (11-10-2025 to 10-11-2025)</t>
  </si>
  <si>
    <t>Internet Charges for the Month of Nov-2025 (Connection 1 &amp; 2)</t>
  </si>
  <si>
    <t>Travel and Food Expenses (Visited AIIMS Madurai)</t>
  </si>
  <si>
    <t>NDIE/OCT25/01110</t>
  </si>
  <si>
    <t>OCT-023/25-26</t>
  </si>
  <si>
    <t>OCT-024/25-26</t>
  </si>
  <si>
    <t>0678/2025-26</t>
  </si>
  <si>
    <t>Fees Towards Preparation of EPF &amp; ESI Challans During Calender Oct -2025</t>
  </si>
  <si>
    <t>OCT-025/25-26</t>
  </si>
  <si>
    <t>HRD2522892</t>
  </si>
  <si>
    <t>NOV-005/25-26</t>
  </si>
  <si>
    <t>1243199016893</t>
  </si>
  <si>
    <t>OCT-026/25-26</t>
  </si>
  <si>
    <t>OCT-027/25-26</t>
  </si>
  <si>
    <t>OCT-028/25-26</t>
  </si>
  <si>
    <t xml:space="preserve">Acoustic Insulation Without Beading </t>
  </si>
  <si>
    <t>OCT-029/25-26</t>
  </si>
  <si>
    <t>OCT-030/25-26</t>
  </si>
  <si>
    <t>OCT-031/25-26</t>
  </si>
  <si>
    <t>OCT-032/25-26</t>
  </si>
  <si>
    <t>OCT-033/25-26</t>
  </si>
  <si>
    <t>OCT-034/25-26</t>
  </si>
  <si>
    <t>OCT-035/25-26</t>
  </si>
  <si>
    <t xml:space="preserve">Thermal Insulation, Acoustic Insulation and Acoustic Insulation without Beading </t>
  </si>
  <si>
    <t>OCT-036/25-26</t>
  </si>
  <si>
    <t>Thermal Insualtion and Acoustic Insulation</t>
  </si>
  <si>
    <t>OCT-037/25-26</t>
  </si>
  <si>
    <t>OCT-038/25-26</t>
  </si>
  <si>
    <t xml:space="preserve">NiKhila Engineering </t>
  </si>
  <si>
    <t>OCT-039/25-26</t>
  </si>
  <si>
    <t xml:space="preserve">Thermal Insulation  and Acousitc Insulation without Insulation </t>
  </si>
  <si>
    <t>OCT-040/25-26</t>
  </si>
  <si>
    <t xml:space="preserve">Acoustic Insulation without Beading </t>
  </si>
  <si>
    <t>OCT-041/25-26</t>
  </si>
  <si>
    <t>OCT-042/25-26</t>
  </si>
  <si>
    <t xml:space="preserve">A4 Size Die Punched Stickers - 10,000 Nos </t>
  </si>
  <si>
    <t xml:space="preserve">Travel Conveyance (Visited KNND &amp; Bank On 04-10-2025 and 18-10-2025) </t>
  </si>
  <si>
    <t>Donation</t>
  </si>
  <si>
    <t>Paid to Kannada Rajyosthava Celebration</t>
  </si>
  <si>
    <t>KIDB (No Bill)</t>
  </si>
  <si>
    <t>265/25-26</t>
  </si>
  <si>
    <t>INV2526-013/12-11-2025</t>
  </si>
  <si>
    <t>By Call Mani Sir</t>
  </si>
  <si>
    <t xml:space="preserve">Solid Machine Works </t>
  </si>
  <si>
    <t>Spring</t>
  </si>
  <si>
    <t>266/25-26</t>
  </si>
  <si>
    <t>HRP/607/25-26/12-11-2025</t>
  </si>
  <si>
    <t>267/25-26</t>
  </si>
  <si>
    <t>448/13-11-2025</t>
  </si>
  <si>
    <t>0143/2025-26</t>
  </si>
  <si>
    <t>Machine assemble Spare parts</t>
  </si>
  <si>
    <t>268/25-26</t>
  </si>
  <si>
    <t>SBSI/25-26/122/13-11-2025</t>
  </si>
  <si>
    <t>0145/2025-26</t>
  </si>
  <si>
    <t>Consumable Materials (Machine Spare parts)</t>
  </si>
  <si>
    <t>269/25-26</t>
  </si>
  <si>
    <t>SBSI/25-26/123/13-11-2025</t>
  </si>
  <si>
    <t>0146/2025-26</t>
  </si>
  <si>
    <t>Hydraulic Power Pack (100 Ltr capacity 40 LPM Pump) 5% Disco</t>
  </si>
  <si>
    <t>270/25-26</t>
  </si>
  <si>
    <t>ME/25-26-314/14-11-2025</t>
  </si>
  <si>
    <t>271/25-26</t>
  </si>
  <si>
    <t>1289/11-11-2025</t>
  </si>
  <si>
    <t>0130/2025-26</t>
  </si>
  <si>
    <t>272/25-26</t>
  </si>
  <si>
    <t>49279/21-11-2025</t>
  </si>
  <si>
    <t>147/2025-26</t>
  </si>
  <si>
    <t>GP Coil (0.60 x 1220 x C) 2 Nos (In MT)</t>
  </si>
  <si>
    <t>GP Coil (0.60 x 1220 x C) 1 Nos (In MT)</t>
  </si>
  <si>
    <t>273/25-26</t>
  </si>
  <si>
    <t>49281/22-11-2025</t>
  </si>
  <si>
    <t>GI Coil (0.80 x 1220 x C) 5.390 + 5.360 + 3693 (3 Nos )</t>
  </si>
  <si>
    <t>NOV-006/25-26</t>
  </si>
  <si>
    <t>ABSIPL/25-26/166</t>
  </si>
  <si>
    <t>NOV-007/25-26</t>
  </si>
  <si>
    <t>Professional Fees for Roc Filing Fee of E-Forms &amp; MCA Uploading Charges</t>
  </si>
  <si>
    <t>NOV-008/25-26</t>
  </si>
  <si>
    <t>SUI/1264</t>
  </si>
  <si>
    <t>NOV-009/25-26</t>
  </si>
  <si>
    <t>SUI/1265</t>
  </si>
  <si>
    <t>NOV-010/25-26</t>
  </si>
  <si>
    <t>Purchas of IPOL Hydropac AW 68 (52 Ltr)</t>
  </si>
  <si>
    <t>NOV-011/25-26</t>
  </si>
  <si>
    <t>SBSI/25-26/124</t>
  </si>
  <si>
    <t>Purchase of Machine Spate Parts (3Nos)</t>
  </si>
  <si>
    <t>NOV-012/25-26</t>
  </si>
  <si>
    <t>Purchase of Petrol 10 Ltr and 2 ltr Oil Bottle</t>
  </si>
  <si>
    <t>NOV-013/25-26</t>
  </si>
  <si>
    <t>UII/25-26/2129</t>
  </si>
  <si>
    <t>NOV-014/25-26</t>
  </si>
  <si>
    <t>613/2025-2026</t>
  </si>
  <si>
    <t>Tube Labour Charges Only</t>
  </si>
  <si>
    <t>Bolt &amp; Nut Purchased for Hydraulic Cornamatic machine - 2</t>
  </si>
  <si>
    <t>Loading charges of Hydraulic Cornamatic machine(Assembly, Rework for 3 labours)</t>
  </si>
  <si>
    <t>Food Expenses - Abhinav, Umesh and Selec</t>
  </si>
  <si>
    <t xml:space="preserve">Petrol Expenses  </t>
  </si>
  <si>
    <t>Petrol Expenses</t>
  </si>
  <si>
    <t>Porter Charges (Hydraulic Cylinder received from SBS Industries )</t>
  </si>
  <si>
    <t>Home - Airport - Home</t>
  </si>
  <si>
    <t>House Keeping material Purchased</t>
  </si>
  <si>
    <t>Weekly Pooja Expenses (Sweets - 65 Nos) 14-11-2025 Friday</t>
  </si>
  <si>
    <t>Loading &amp; Unloading charges for the month Nov-2025</t>
  </si>
  <si>
    <t>Hospital charges (MR.Ajay Kumar Injured - CMS Contract)</t>
  </si>
  <si>
    <t>Refreshment charges (Tea+Biscuits Purchased for Selec team)</t>
  </si>
  <si>
    <t xml:space="preserve">Weekly Pooja Expenses (Sweets - 65 Nos) 21-11-2025 Friday </t>
  </si>
  <si>
    <t>Refreshment  charges (Tea - 429 Nos) For the month of Jun &amp; July - 2025</t>
  </si>
  <si>
    <t>Porter charges Malur - Peeny - Malur</t>
  </si>
  <si>
    <t>Transportation Charges (Material received from Sri Raghavendra Industries+Universal Energy by Porter)</t>
  </si>
  <si>
    <t>Transportation Charges (Sealant received from Urja Sealant Pune)</t>
  </si>
  <si>
    <t>Weighment Charges (Coil Received from J.R &amp; Co.)</t>
  </si>
  <si>
    <t>Camduct visit on 26-11-2025</t>
  </si>
  <si>
    <t>Hardware Material - Hydraulic Hose Pipe changed</t>
  </si>
  <si>
    <t>Weekly Pooja expenses (Sweets-60 nos) 28-11-2025 Friday</t>
  </si>
  <si>
    <t>Weighment charges (Coil received from J.R &amp; Co)</t>
  </si>
  <si>
    <t>NOV-015/25-26</t>
  </si>
  <si>
    <t>Copper Rod Turning (Size 22x120mm ) Teper Tary 30 Nos</t>
  </si>
  <si>
    <t>NOV-016/25-26</t>
  </si>
  <si>
    <t>CIN Number, VINYL Stickers with Laminition &amp; Cutting -3Feetx2Feet and Company Board-3x2x Nos</t>
  </si>
  <si>
    <t>NOV-017/25-26</t>
  </si>
  <si>
    <t>Mr.Deepak K.V (20-11-25)Tariff 2516 &amp; Extra Bed 800</t>
  </si>
  <si>
    <t>DEC-001/25-26</t>
  </si>
  <si>
    <t>For the month of November-2025</t>
  </si>
  <si>
    <t>274/25-26</t>
  </si>
  <si>
    <t>HRP/634/25-26/24-11-2025</t>
  </si>
  <si>
    <t>0129/2025-26</t>
  </si>
  <si>
    <t>Supply of 20G Gss Duct Corner Pieces (In Nos) 25mm</t>
  </si>
  <si>
    <t>275/25-26</t>
  </si>
  <si>
    <t>HRP/635/25-26/24-11-2025</t>
  </si>
  <si>
    <t>276/25-26</t>
  </si>
  <si>
    <t>611/2025-26/24-11-2025</t>
  </si>
  <si>
    <t>277/25-26</t>
  </si>
  <si>
    <t>612/2025-26/24-11-2025</t>
  </si>
  <si>
    <t>2023-07-03-13 Dia 30 Guide Rod (Nos)</t>
  </si>
  <si>
    <t>278/25-26</t>
  </si>
  <si>
    <t>UNI-25-26-014/22-11-2025</t>
  </si>
  <si>
    <t>Whatsapp</t>
  </si>
  <si>
    <t>Inductive Type Dc Proximity sensor M12 PNP 6.5mm</t>
  </si>
  <si>
    <t>279/25-26</t>
  </si>
  <si>
    <t>25-26/2954/27-11-2025</t>
  </si>
  <si>
    <t>0150/2025-26</t>
  </si>
  <si>
    <t>280/25-26</t>
  </si>
  <si>
    <t>SAI8528/25-26/27-11-2025</t>
  </si>
  <si>
    <t>0149/2025-26</t>
  </si>
  <si>
    <t>Kflex Kfonik 10mm Open Cell CL-1 Plain (10 Box) In Sqm</t>
  </si>
  <si>
    <t>281/25-26</t>
  </si>
  <si>
    <t>15432/26-11-2025</t>
  </si>
  <si>
    <t xml:space="preserve">Consumable materials </t>
  </si>
  <si>
    <t>282/25-26</t>
  </si>
  <si>
    <t>15433/26-11-2025</t>
  </si>
  <si>
    <t>283/25-26</t>
  </si>
  <si>
    <t>15439/26-11-2025</t>
  </si>
  <si>
    <t>284/25-26</t>
  </si>
  <si>
    <t>15455/27-11-2025</t>
  </si>
  <si>
    <t>285/25-26</t>
  </si>
  <si>
    <t>49353/1-12-2025</t>
  </si>
  <si>
    <t>GP Coil (0.60 x 1220 x C) 3 Nos (In MTS)</t>
  </si>
  <si>
    <t>(0.80 x 1220 X C) 3 Nos (In MTS )</t>
  </si>
  <si>
    <t>December</t>
  </si>
  <si>
    <t>OCT-043/25-26</t>
  </si>
  <si>
    <t>Prithvi Exchange (India) Limited</t>
  </si>
  <si>
    <t xml:space="preserve">Money Exchange </t>
  </si>
  <si>
    <t>(Deepak) Indian  Money Exchange to China Currency By Prithvi Exchange (India) Limited</t>
  </si>
  <si>
    <t>NOV-018/25-26</t>
  </si>
  <si>
    <t>0801/2025-26</t>
  </si>
  <si>
    <t>Fee Towards Preparation of EPF &amp; ESI Challans during calendar Month Nove25</t>
  </si>
  <si>
    <t>NOV-019/25-26</t>
  </si>
  <si>
    <t>HRD2526393</t>
  </si>
  <si>
    <t>For the month of Nov-2025</t>
  </si>
  <si>
    <t>NOV-020/25-26</t>
  </si>
  <si>
    <t>400/25-26</t>
  </si>
  <si>
    <t>NOV-021/25-26</t>
  </si>
  <si>
    <t>DEC-002/25-26</t>
  </si>
  <si>
    <t>M/s Sanjivani Technologies</t>
  </si>
  <si>
    <t>ST37/25-26</t>
  </si>
  <si>
    <t>PUC Programming Service charges</t>
  </si>
  <si>
    <t>DEC-003/25-26</t>
  </si>
  <si>
    <t>ABSIPL/25-26/206</t>
  </si>
  <si>
    <t>DEC-005/25-26</t>
  </si>
  <si>
    <t>1243199018318</t>
  </si>
  <si>
    <t>DEC-006/25-26</t>
  </si>
  <si>
    <t>SVE/4561/25-26</t>
  </si>
  <si>
    <t>DEC-007/25-26</t>
  </si>
  <si>
    <t xml:space="preserve">Real Enterprises </t>
  </si>
  <si>
    <t>R023</t>
  </si>
  <si>
    <t>Refilling Charges</t>
  </si>
  <si>
    <t>Refilling of ABC 4, CO2 4.5 and ABC 6 Kgs Fire Extinguishers (12x550 +3x500+1x650)</t>
  </si>
  <si>
    <t>DEC-004/25-26</t>
  </si>
  <si>
    <t>M12 Sensor Purchased (Bill Attached0</t>
  </si>
  <si>
    <t>Porter charges (Sensor received from M.Raj Technology &amp; Electric send to Metal Work)</t>
  </si>
  <si>
    <t>Water Can 20 Ltr - 10 Nos Purchased</t>
  </si>
  <si>
    <t>Stationary material Purchased ( Nandi Box File - 10 Nos )</t>
  </si>
  <si>
    <t>Refreshment Charges (Tea, Biscuit and water bottle purchased- IISC team visited)</t>
  </si>
  <si>
    <t>Out side Job charges ( Hose Pipe &amp; Adopter fixing)</t>
  </si>
  <si>
    <t>Porter charges (Compressor spare send to Techno Power Solution)</t>
  </si>
  <si>
    <t>Weekly pooja material purchased (Sweets - 60 Nos) 05-12-2025</t>
  </si>
  <si>
    <t>Monthly Flower charges payment ( 11-11-2025 To 10-12-2025)</t>
  </si>
  <si>
    <t>Food Expenses (Visitor from MSME-Zed)</t>
  </si>
  <si>
    <t>Loading and Unloading charges for the month of Dec-2025</t>
  </si>
  <si>
    <t>Weekly Pooja expenses (Sweets - 70 Nos) on 12-12-2025 Friday</t>
  </si>
  <si>
    <t>Weighment charges (Coil received from J R &amp; Co)</t>
  </si>
  <si>
    <t>Food &amp; Hotel Room Rent charges (Visited Kolhapur)</t>
  </si>
  <si>
    <t>Travel Fare (Visiting Kolhapur for Panel repair Work)</t>
  </si>
  <si>
    <t>Transportation charges (Geared motor received from TGPL)</t>
  </si>
  <si>
    <t>Food charges (Sunday overtime work - 14-12-2025) 20x60 - 1200</t>
  </si>
  <si>
    <t>Internet charges for the month of Dec-2025 (2 Connection)</t>
  </si>
  <si>
    <t>Stationary Material Purchased (A-4 Sheet - 10 Nos)</t>
  </si>
  <si>
    <t>Water Filter Service charges</t>
  </si>
  <si>
    <t>Stationary material purchased</t>
  </si>
  <si>
    <t>Transportation charges (Street light received from Munato Agencies0</t>
  </si>
  <si>
    <t>Food and Refreshment charges (visitor from MSME -ZED M 15-12-2025 to  17-12-2025)</t>
  </si>
  <si>
    <t>Porter charges (Flood Light received from Izzy Agencies)</t>
  </si>
  <si>
    <t>Weekly Pooja Expenses (Sweets - 60) 19-12-2025 Friday</t>
  </si>
  <si>
    <t>Food &amp; Refreshment charges (Visitor from MSME -Zed)</t>
  </si>
  <si>
    <t xml:space="preserve">House Keeping material purchased </t>
  </si>
  <si>
    <t>NOV-022/25-26</t>
  </si>
  <si>
    <t>NOV-023/25-26</t>
  </si>
  <si>
    <t>NOV-024/25-26</t>
  </si>
  <si>
    <t>NOV-025/25-26</t>
  </si>
  <si>
    <t>NOV-026/25-26</t>
  </si>
  <si>
    <t>NOV-027/25-26</t>
  </si>
  <si>
    <t>NOV-028/25-26</t>
  </si>
  <si>
    <t>NOV-029/25-26</t>
  </si>
  <si>
    <t>NOV-030/25-26</t>
  </si>
  <si>
    <t>NOV-031/25-26</t>
  </si>
  <si>
    <t>NOV-032/25-26</t>
  </si>
  <si>
    <t>NOV-033/25-26</t>
  </si>
  <si>
    <t>NOV-034/25-26</t>
  </si>
  <si>
    <t>NOV-035/25-26</t>
  </si>
  <si>
    <t>NOV-036/25-26</t>
  </si>
  <si>
    <t>NOV-037/25-26</t>
  </si>
  <si>
    <t xml:space="preserve">Acoustic Insulation Without beading </t>
  </si>
  <si>
    <t>NOV-038/25-26</t>
  </si>
  <si>
    <t>DEC-008/25-26</t>
  </si>
  <si>
    <t>Cartridge Refilling 4 Nos</t>
  </si>
  <si>
    <t>DEC-009/25-26</t>
  </si>
  <si>
    <t>Shalan Sales and Services</t>
  </si>
  <si>
    <t>TI/25-26/23</t>
  </si>
  <si>
    <t>Testing &amp; Repairing of B&amp;R Make Power Panel/HMI (Touch Screen Issue)</t>
  </si>
  <si>
    <t>286/25-26</t>
  </si>
  <si>
    <t>665/2025-2026/03-12-2025</t>
  </si>
  <si>
    <t xml:space="preserve">2025-09-00-17 Base Plate </t>
  </si>
  <si>
    <t>287/25-26</t>
  </si>
  <si>
    <t>671/2025-2026/05-12-2025</t>
  </si>
  <si>
    <t xml:space="preserve">2024-11-00-00 Top Plate Mtg Plate </t>
  </si>
  <si>
    <t>288/25-26</t>
  </si>
  <si>
    <t>2511/25-26/09-12-2025</t>
  </si>
  <si>
    <t>0156/2025-26-11</t>
  </si>
  <si>
    <t xml:space="preserve">Consumable Material </t>
  </si>
  <si>
    <t>289/25-26</t>
  </si>
  <si>
    <t>HRP/699/25-26/10-12-2025</t>
  </si>
  <si>
    <t>0144/2025-26/12-11-2025</t>
  </si>
  <si>
    <t>Damper Operating lever Square (Guage 1.00mm, Hole - 10mm) In Nos</t>
  </si>
  <si>
    <t>290/25-26</t>
  </si>
  <si>
    <t>HRP/700/25-26/10-12-2025</t>
  </si>
  <si>
    <t>20g GSS Duct Corner Size-32mm (In Nos)</t>
  </si>
  <si>
    <t>291/25-26</t>
  </si>
  <si>
    <t>49459/12-12-2025</t>
  </si>
  <si>
    <t>120gsm 26G</t>
  </si>
  <si>
    <t>GP Coil (0.50 x 1220 x C) 2 Nos (In MTS)</t>
  </si>
  <si>
    <t>292/25-26</t>
  </si>
  <si>
    <t>H22500014977/13-12-2025</t>
  </si>
  <si>
    <t>0092-2025-26</t>
  </si>
  <si>
    <t>Insuflex 09mm x 1200mm x Class O (69 PKG) In Sqmtr</t>
  </si>
  <si>
    <t>293/25-26</t>
  </si>
  <si>
    <t>0843-25-26/15-12-2025</t>
  </si>
  <si>
    <t>SFS Industrial Co</t>
  </si>
  <si>
    <t>Coupling CI R110 (In Nos )</t>
  </si>
  <si>
    <t>294/25-26</t>
  </si>
  <si>
    <t>MA6325/16-12-2025</t>
  </si>
  <si>
    <t>0160/2025-26</t>
  </si>
  <si>
    <t xml:space="preserve">Munot Agencies </t>
  </si>
  <si>
    <t xml:space="preserve">150 Watt Led Street Light Fitting (Crompton Make) 6 Nos </t>
  </si>
  <si>
    <t>295/25-26</t>
  </si>
  <si>
    <t>7976/11-12-2025</t>
  </si>
  <si>
    <t>Dol Starter 1.5 HP  CH8536 (4 Nos)</t>
  </si>
  <si>
    <t>296/25-26</t>
  </si>
  <si>
    <t>2592/25-26/18-12-2025</t>
  </si>
  <si>
    <t>0159/2025-26</t>
  </si>
  <si>
    <t>Focus Light (100 Watts Wipro)</t>
  </si>
  <si>
    <t>TGPL-25-26-13046/13-12-2025</t>
  </si>
  <si>
    <t>0151/2025-26</t>
  </si>
  <si>
    <t>298/25-26</t>
  </si>
  <si>
    <t>MVDF/25-26/27215/16-12-2025</t>
  </si>
  <si>
    <t>158/2025-26</t>
  </si>
  <si>
    <t>Threaded Rod Steel 4.6 M8x145,195,395,445,495,350,400,450,500. (Consumable)</t>
  </si>
  <si>
    <t>299/25-26</t>
  </si>
  <si>
    <t>110/19-12-2025</t>
  </si>
  <si>
    <t>0139/2025-26</t>
  </si>
  <si>
    <t>Gear 150 Dia, Inner Bush and Outer Bush (Consumable Materials_</t>
  </si>
  <si>
    <t>DEC-010/25-26</t>
  </si>
  <si>
    <t>DEC-011/25-26</t>
  </si>
  <si>
    <t>DEC-012/25-26</t>
  </si>
  <si>
    <t>Technoo Power Solution</t>
  </si>
  <si>
    <t>Degital Temperature Sensor, CPA 15Vair End Service and Transport Charges</t>
  </si>
  <si>
    <t>DEC-013/25-26</t>
  </si>
  <si>
    <t>Petrol 10 Ltrs</t>
  </si>
  <si>
    <t>300/25-26</t>
  </si>
  <si>
    <t>INV359/25-26/06-12-2025</t>
  </si>
  <si>
    <t>0140/2025-26</t>
  </si>
  <si>
    <t>PSI Global</t>
  </si>
  <si>
    <t>Leintz 4000 HRS Kit (1Set) Rotair Advance Oil 5Ltr (2 Nos)</t>
  </si>
  <si>
    <t>301/25-26</t>
  </si>
  <si>
    <t xml:space="preserve">Supply of Spiral Tube machine Spares, Top Shaft lead screw, Slotted Flange </t>
  </si>
  <si>
    <t>302/25-26</t>
  </si>
  <si>
    <t>ID325062409/20-12-2025</t>
  </si>
  <si>
    <t>0152/2025-26</t>
  </si>
  <si>
    <t>MiSumi</t>
  </si>
  <si>
    <t>303/25-26</t>
  </si>
  <si>
    <t>25-26/3245/21-12-2025</t>
  </si>
  <si>
    <t>Armaflex with Microban Sheet Com-19mm/E 1.2(250 Roll) In Sqm</t>
  </si>
  <si>
    <t>304/25-26</t>
  </si>
  <si>
    <t>KM/06406/2025-26/23-12-2025</t>
  </si>
  <si>
    <t>0161/2025-26</t>
  </si>
  <si>
    <t>Aluminium Coils (0.71x1220) in Mts (17.0 Nos )</t>
  </si>
  <si>
    <t>305/25-26</t>
  </si>
  <si>
    <t>25-26/3273</t>
  </si>
  <si>
    <t>0163/2025-26</t>
  </si>
  <si>
    <t>Armasound Super silence Sheets ASD -140-15 (25 Box) 300 Sqmts</t>
  </si>
  <si>
    <t>306/25-26</t>
  </si>
  <si>
    <t>MVDF/25-26/28246/24-12-2025</t>
  </si>
  <si>
    <t>Threaded Rod Steel (4.6 M8*445) In Nos</t>
  </si>
  <si>
    <t>120gsm 22G(Alu)</t>
  </si>
  <si>
    <t>Threaded Rod Steel (4.6 M8*400) In Nos</t>
  </si>
  <si>
    <t>Threaded Rod Steel (4.6 M8*450) In Nos</t>
  </si>
  <si>
    <t>Threaded Rod Steel (4.6 M8*500) In Nos</t>
  </si>
  <si>
    <t>307/25-26</t>
  </si>
  <si>
    <t>SBSI/25-26/140/25-12-2025</t>
  </si>
  <si>
    <t>0154/2025-26</t>
  </si>
  <si>
    <t>Hydraulic Power Pack (1) &amp; Hydraulic Punching Machine Cylinder3(5% Dic on Both)</t>
  </si>
  <si>
    <t>308/25-26</t>
  </si>
  <si>
    <t>SBSI/25-26/141/25-12-2025</t>
  </si>
  <si>
    <t>0153/2025-26</t>
  </si>
  <si>
    <t>Hydraulic Machine Spare Parts Purchased (10 Nos)</t>
  </si>
  <si>
    <t>309/25-26</t>
  </si>
  <si>
    <t>758/2025-2026/25-12-2025</t>
  </si>
  <si>
    <t xml:space="preserve">Goorving Machine Parts 1 Set (1 Nos) </t>
  </si>
  <si>
    <t>310/25-26</t>
  </si>
  <si>
    <t>519/25-12-2025</t>
  </si>
  <si>
    <t xml:space="preserve">Ipol Hydropac AW 68 (52 Ltr) </t>
  </si>
  <si>
    <t>311/25-26</t>
  </si>
  <si>
    <t>ST/25-26/7463/27-12-2025</t>
  </si>
  <si>
    <t xml:space="preserve">GI Formed Sections (Brace Angle Thk 2.5mm*25*25) In MTS </t>
  </si>
  <si>
    <t>312/25-26</t>
  </si>
  <si>
    <t>8702/23-12-2025</t>
  </si>
  <si>
    <t>0162/2025-26</t>
  </si>
  <si>
    <t xml:space="preserve">Thoro Buildcare </t>
  </si>
  <si>
    <t>9mm Thermobreak LS AI Foil 1200mm*50mt (8 Rolls)  In Sqm</t>
  </si>
  <si>
    <t>313/25-26</t>
  </si>
  <si>
    <t>ME/25-26/338/27-12-2025</t>
  </si>
  <si>
    <t>0165/2025-26</t>
  </si>
  <si>
    <t>Cloth Waste (In Kg)</t>
  </si>
  <si>
    <t>314/25-26</t>
  </si>
  <si>
    <t>53/29-12-2025</t>
  </si>
  <si>
    <t>SK Tools And Hardware Stores</t>
  </si>
  <si>
    <t>Steel Rule 2000mm (1 Nos)</t>
  </si>
  <si>
    <t>315/25-26</t>
  </si>
  <si>
    <t>RSFT/INV/24/2025/27-12-2025</t>
  </si>
  <si>
    <t>014/2025-26</t>
  </si>
  <si>
    <t>Supply of Lockformer Auto Guide power Flanging attachment suitable for LK20 Machine</t>
  </si>
  <si>
    <t>316/25-26</t>
  </si>
  <si>
    <t>15691/29-12-2025</t>
  </si>
  <si>
    <t>317/25-26</t>
  </si>
  <si>
    <t>MA6382/30-12-2025</t>
  </si>
  <si>
    <t>Consumable materials</t>
  </si>
  <si>
    <t>318/25-26</t>
  </si>
  <si>
    <t>15715/31-12-2025</t>
  </si>
  <si>
    <t>319/25-26</t>
  </si>
  <si>
    <t>ST/25-26/7573/31-12-2025</t>
  </si>
  <si>
    <t>GI Formed Sections (Brace Angle 2.5mmX25X25(925-2000 Nos) Etc… In MTS</t>
  </si>
  <si>
    <t>320/25-26</t>
  </si>
  <si>
    <t>HRP/748/25-26/31-12-2025</t>
  </si>
  <si>
    <t>20g GSS Duct Corner Size-25mm (In Nos)</t>
  </si>
  <si>
    <t>321/25-26</t>
  </si>
  <si>
    <t>HRP/749/25-26/31-12-2025</t>
  </si>
  <si>
    <t>0155/2025-26</t>
  </si>
  <si>
    <t>18g GSS Duct Corner Size-32mm (In Nos)</t>
  </si>
  <si>
    <t>322/25-26</t>
  </si>
  <si>
    <t>MVDF/25-26/285983/27-12-2025</t>
  </si>
  <si>
    <t>Threaded Rod Steels 4.6 M8x145,195,300,400 and 500 (In Nos) 700+1700+2000+574+2</t>
  </si>
  <si>
    <t>323/25-26</t>
  </si>
  <si>
    <t>MVDF/25-26/29160/31-12-2025</t>
  </si>
  <si>
    <t>Threaded Rod steel 4.6 M8x145 and 195 (1268+1281) In Nos</t>
  </si>
  <si>
    <t>324/25-26</t>
  </si>
  <si>
    <t>MA6400/02-01-2026</t>
  </si>
  <si>
    <t>Naveen Sir</t>
  </si>
  <si>
    <t>325/25-26</t>
  </si>
  <si>
    <t>921/03-01-2026</t>
  </si>
  <si>
    <t>0164/2025-26</t>
  </si>
  <si>
    <t>326/25-26</t>
  </si>
  <si>
    <t>061/05-01-2026</t>
  </si>
  <si>
    <t>DSMJ Steels</t>
  </si>
  <si>
    <t xml:space="preserve">MS Pipes Random, PPGI Sheet Sky Blue 0.50mm and Bending </t>
  </si>
  <si>
    <t>327/25-26</t>
  </si>
  <si>
    <t>2744/25-26/05-01-2026</t>
  </si>
  <si>
    <t>0168/2025-26</t>
  </si>
  <si>
    <t>328/25-26</t>
  </si>
  <si>
    <t>INV358/25-26/06-12-2025</t>
  </si>
  <si>
    <t>0141/2025-26</t>
  </si>
  <si>
    <t>2000 Hrs Kit CPA (1 Set)</t>
  </si>
  <si>
    <t>329/25-26</t>
  </si>
  <si>
    <t>062/06-01-2026</t>
  </si>
  <si>
    <t xml:space="preserve">MS Pipes Random </t>
  </si>
  <si>
    <t>330/25-26</t>
  </si>
  <si>
    <t>UNI-25-26-020/22-12-2025</t>
  </si>
  <si>
    <t>January</t>
  </si>
  <si>
    <t>NOV-039/25-26</t>
  </si>
  <si>
    <t>B202520352</t>
  </si>
  <si>
    <t>SUI/1304</t>
  </si>
  <si>
    <t>DEC-014/25-26</t>
  </si>
  <si>
    <t>DEC-015/25-26</t>
  </si>
  <si>
    <t>Camduct India Pvt Ltd</t>
  </si>
  <si>
    <t>DEC-016/25-26</t>
  </si>
  <si>
    <t>12A25229</t>
  </si>
  <si>
    <t>DEC-017/25-26</t>
  </si>
  <si>
    <t>SVE/5048/25-26</t>
  </si>
  <si>
    <t>DEC-018/25-26</t>
  </si>
  <si>
    <t>0923/2025-26</t>
  </si>
  <si>
    <t>DEC-019/25-26</t>
  </si>
  <si>
    <t>493/25-26</t>
  </si>
  <si>
    <t>For the month of December 2025</t>
  </si>
  <si>
    <t>DEC-020/25-26</t>
  </si>
  <si>
    <t>NDIE/DEC25/01904</t>
  </si>
  <si>
    <t>DEC-021/25-26</t>
  </si>
  <si>
    <t>160 Ltr</t>
  </si>
  <si>
    <t>DEC-022/25-26</t>
  </si>
  <si>
    <t>DEC-023/25-26</t>
  </si>
  <si>
    <t>DEC-024/25-26</t>
  </si>
  <si>
    <t xml:space="preserve">Athreya Law Associates </t>
  </si>
  <si>
    <t xml:space="preserve">Renewal of Shops &amp; Commercial Establishment License and Pocket Expenses </t>
  </si>
  <si>
    <t>DEC-025/25-26</t>
  </si>
  <si>
    <t>HRD2529090</t>
  </si>
  <si>
    <t>DEC-026/25-26</t>
  </si>
  <si>
    <t>DEC-027/25-26</t>
  </si>
  <si>
    <t>DEC-028/25-26</t>
  </si>
  <si>
    <t>DEC-029/25-26</t>
  </si>
  <si>
    <t>DEC-030/25-26</t>
  </si>
  <si>
    <t>DEC-031/25-26</t>
  </si>
  <si>
    <t>DEC-032/25-26</t>
  </si>
  <si>
    <t>DEC-033/25-26</t>
  </si>
  <si>
    <t>DEC-034/25-26</t>
  </si>
  <si>
    <t>DEC-035/25-26</t>
  </si>
  <si>
    <t>DEC-036/25-26</t>
  </si>
  <si>
    <t>DEC-037/25-26</t>
  </si>
  <si>
    <t>DEC-038/25-26</t>
  </si>
  <si>
    <t>DEC-039/25-26</t>
  </si>
  <si>
    <t>DEC-040/25-26</t>
  </si>
  <si>
    <t>DEC-041/25-26</t>
  </si>
  <si>
    <t>DEC-042/25-26</t>
  </si>
  <si>
    <t>DEC-043/25-26</t>
  </si>
  <si>
    <t>JAN-001/25-26</t>
  </si>
  <si>
    <t>JAN-002/25-26</t>
  </si>
  <si>
    <t>1243199019346</t>
  </si>
  <si>
    <t>SUI/1303</t>
  </si>
  <si>
    <t>SBSI/25-26/139</t>
  </si>
  <si>
    <t>Purchase of Machine Spare Parts (28 Nos)</t>
  </si>
  <si>
    <t>HDMI Cable purchased - 2 Nos</t>
  </si>
  <si>
    <t>Camduct visit On 24-12-2025</t>
  </si>
  <si>
    <t>Cement, M-Sand and Gravel Stone purchased (Bill Attached)</t>
  </si>
  <si>
    <t>Weekly pooja expenses (Sweets - 50 Nos) 26-12-2025 Friday</t>
  </si>
  <si>
    <t>GSS L-Angles received - Weighment charges</t>
  </si>
  <si>
    <t>Weighment charges (GSS L-Angle received from Silicon Steel)</t>
  </si>
  <si>
    <t>Weekly pooja expenses  (Sweets - 60 Nos) 02-01-2026 Friday</t>
  </si>
  <si>
    <t>Porter charges (Electrical Material received from Munot Agencies)</t>
  </si>
  <si>
    <t>Refreshment charges (New Year Celebration)</t>
  </si>
  <si>
    <t>Electrical Work charges (Fuse Check)</t>
  </si>
  <si>
    <t>Porter charges (Material sent to sri Raghavendra Industries)</t>
  </si>
  <si>
    <t>Internet charges for the month of Jan - 2026 ( 2 Connection)</t>
  </si>
  <si>
    <t>Porter charges (Spot Welding Controller Sent to System Electric Services)</t>
  </si>
  <si>
    <t>Spot Welding M/C Controller repair Charges</t>
  </si>
  <si>
    <t>Weekly Pooja expenses (55 Sweets ) 09-01-2026 Friday</t>
  </si>
  <si>
    <t>Monthly Flower payment (11-12-2025 to 10-01-2026)</t>
  </si>
  <si>
    <t>Loading and Unloading charges for the Month of Jan 2026</t>
  </si>
  <si>
    <t>Hydraulic Service charges (Bill Attached)</t>
  </si>
  <si>
    <t>First Aid kit Medicine purchased</t>
  </si>
  <si>
    <t xml:space="preserve">Scrap and Insulation yard Cleaning charges </t>
  </si>
  <si>
    <t>331/25-26</t>
  </si>
  <si>
    <t>802/2025-26/09-01-2026</t>
  </si>
  <si>
    <t>0171/2025-26</t>
  </si>
  <si>
    <t>332/25-26</t>
  </si>
  <si>
    <t>MS25-26/IN/28396/13-01-2026</t>
  </si>
  <si>
    <t>0172/2025-26</t>
  </si>
  <si>
    <t>GP/GI Coil 120 Coil (0.80x1220) In Kgs</t>
  </si>
  <si>
    <t>333/25-26</t>
  </si>
  <si>
    <t>MS25-26/IN/28397/13-01-2026</t>
  </si>
  <si>
    <t>GP/GI Coil 120 STL (0.50 x 1250) In Kgs</t>
  </si>
  <si>
    <t>334/25-26</t>
  </si>
  <si>
    <t>HRP/784/25-26/13-01-2026</t>
  </si>
  <si>
    <t>335/25-26</t>
  </si>
  <si>
    <t>HRP/785/25-26/13-01-2026</t>
  </si>
  <si>
    <t>20G GSS Duct Corner Size - 32 mm ( In Nos)</t>
  </si>
  <si>
    <t>336/25-26</t>
  </si>
  <si>
    <t>568/14-01-2026</t>
  </si>
  <si>
    <t>Whisper Lock Blade</t>
  </si>
  <si>
    <t>337/25-26</t>
  </si>
  <si>
    <t>GST/25-26/007689/14-01-2026</t>
  </si>
  <si>
    <t>0170/2025-26</t>
  </si>
  <si>
    <t>Intermediate Equal Elbow Connector RL21 0 6 (Consumable materials )</t>
  </si>
  <si>
    <t>338/25-26</t>
  </si>
  <si>
    <t>AVK/493/25-26/16-01-2026</t>
  </si>
  <si>
    <t>0167/2025-26</t>
  </si>
  <si>
    <t>Consumable Materials (Wood Hammer Stick ) 0% GST</t>
  </si>
  <si>
    <t>Consumable Materials ( Crane Belt ) 5% GST</t>
  </si>
  <si>
    <t>339/25-26</t>
  </si>
  <si>
    <t>MS25-26/IN/28462/16-01-2026</t>
  </si>
  <si>
    <t>0172/25-26</t>
  </si>
  <si>
    <t>GP/GI Slitting Coil 120 STL 100x12 (1.00 x1220) In Kgs</t>
  </si>
  <si>
    <t>GP/GI  Coil 120 STL (1.00 x1220) In Kgs</t>
  </si>
  <si>
    <t>GP/GI  Coil 120 STL (0.60 x1220) In Kgs</t>
  </si>
  <si>
    <t>340/25-26</t>
  </si>
  <si>
    <t>MS25-26/IN/28463/16-01-2026</t>
  </si>
  <si>
    <t xml:space="preserve">GP/GI Slitting Coil 600x2 (0.60x1220) </t>
  </si>
  <si>
    <t>341/25-26</t>
  </si>
  <si>
    <t>SAI10491/25-26/17-01-2026</t>
  </si>
  <si>
    <t>0175/2025-26</t>
  </si>
  <si>
    <t>Kflex Kfonik 10mm Open Cell CL-1 Plain (10  Box) In Sqm</t>
  </si>
  <si>
    <t>342/25-26</t>
  </si>
  <si>
    <t>HA4787/19-01-2026</t>
  </si>
  <si>
    <t>0176/2025-26</t>
  </si>
  <si>
    <t>13mm x 1200mm x 14MTRS BLK Class O (60 Rolls) In Sqm</t>
  </si>
  <si>
    <t>343/25-26</t>
  </si>
  <si>
    <t>MSP-U/0221/25-26/19-01-2026</t>
  </si>
  <si>
    <t>0174/2025-26</t>
  </si>
  <si>
    <t>Stretch Film (Manual Grade) 500mm (In Kgs)</t>
  </si>
  <si>
    <t>344/25-26</t>
  </si>
  <si>
    <t>ML25262156/19-01-2026</t>
  </si>
  <si>
    <t>0178/2025-26</t>
  </si>
  <si>
    <t>BSY 68-H-N-210 (Best System 68) 210L Drum (Hydraulic Oil) In Ltrs</t>
  </si>
  <si>
    <t>345/25-26</t>
  </si>
  <si>
    <t>T92500004779/20-01-2026</t>
  </si>
  <si>
    <t>Insuflex 09mm 1200mm*Class O (69 Pkg) In Sqm</t>
  </si>
  <si>
    <t>346/25-26</t>
  </si>
  <si>
    <t>25-26/3620/21-01-2026</t>
  </si>
  <si>
    <t>0182/2025-26</t>
  </si>
  <si>
    <t>Armasound Super Silence Sheets ASD -140-15 (25 Box) 300 Sqmts</t>
  </si>
  <si>
    <t>347/25-26</t>
  </si>
  <si>
    <t>ME/25-26/355/21-01-2026</t>
  </si>
  <si>
    <t>0179/2025-26</t>
  </si>
  <si>
    <t xml:space="preserve">80 Gram Blue Cotton Knitted Gloves (In Pairs) </t>
  </si>
  <si>
    <t>Winarc25-26/2245/21-01-2026</t>
  </si>
  <si>
    <t>0180/2025-26</t>
  </si>
  <si>
    <t>Winarc Cutting System</t>
  </si>
  <si>
    <t>HPMX 220842 Electrode (50 Pcs)</t>
  </si>
  <si>
    <t>HPMX 220941 Nozzle 45A (40 Pcs)</t>
  </si>
  <si>
    <t>JAN-003/25-26</t>
  </si>
  <si>
    <t>Tiffin, Snacks and Dinner for the month of October 2025</t>
  </si>
  <si>
    <t>INV0365-25</t>
  </si>
  <si>
    <t>Form 24Q2, Form 26Q2 and Form (Uploading Fees 311 after GST)</t>
  </si>
  <si>
    <t>-</t>
  </si>
  <si>
    <t>349/25-26</t>
  </si>
  <si>
    <t>SAI10721/25-26/23-01-2026</t>
  </si>
  <si>
    <t>0184/2025-26</t>
  </si>
  <si>
    <t>Kflex ST Sheet 13mm CL-O Alufoil (50 Roll) In Sqm</t>
  </si>
  <si>
    <t>Kflex ST Sheet 25mm CL-O Alufoil (21 Roll) In Sqm</t>
  </si>
  <si>
    <t>350/25-26</t>
  </si>
  <si>
    <t>331/2025-26/23-01-2026</t>
  </si>
  <si>
    <t xml:space="preserve">ARC Welding Machine </t>
  </si>
  <si>
    <t xml:space="preserve">Shearing Machine </t>
  </si>
  <si>
    <t>351/25-26</t>
  </si>
  <si>
    <t>509/23-01-2026</t>
  </si>
  <si>
    <t>AV Servo Controlled Voltage Stabilizer with Lcd Module</t>
  </si>
  <si>
    <t>352/25-26</t>
  </si>
  <si>
    <t>HRP/814/25-26/27-01-2026</t>
  </si>
  <si>
    <t>353/25-26</t>
  </si>
  <si>
    <t>HRP/815/25-26/27-01-2026</t>
  </si>
  <si>
    <t>354/25-26</t>
  </si>
  <si>
    <t>2870/25-56/19-01-2026</t>
  </si>
  <si>
    <t>Angle Grinder (M9509B 4" Makita)</t>
  </si>
  <si>
    <t>355/25-26</t>
  </si>
  <si>
    <t>15883/26-01-2026</t>
  </si>
  <si>
    <t>356/25-26</t>
  </si>
  <si>
    <t>15896/28-01-2026</t>
  </si>
  <si>
    <t>357/25-26</t>
  </si>
  <si>
    <t>25-26/3749/31-01-2026</t>
  </si>
  <si>
    <t>0186/2025-26</t>
  </si>
  <si>
    <t>Armasound Super Silence Sheets ASD-140-15 (23 Box) In Sqm</t>
  </si>
  <si>
    <t>JAN-004/25-26</t>
  </si>
  <si>
    <t>SUI/1325</t>
  </si>
  <si>
    <t>JAN-005/25-26</t>
  </si>
  <si>
    <t>SUI/1326</t>
  </si>
  <si>
    <t>JAN-006/25-26</t>
  </si>
  <si>
    <t>INV2526-017</t>
  </si>
  <si>
    <t>Repair Work charges</t>
  </si>
  <si>
    <t>Repair of Machines Turnig, Bore and Key Way Fitting of Pully in motor Shaft.</t>
  </si>
  <si>
    <t>JAN-007/25-26</t>
  </si>
  <si>
    <t>ABSIPL/25-26/239</t>
  </si>
  <si>
    <t>JAN-008/25-26</t>
  </si>
  <si>
    <t xml:space="preserve">Lathe Work Charges </t>
  </si>
  <si>
    <t>Copper Rod Turning (Size 22x120mm ) Taper Turing</t>
  </si>
  <si>
    <t>JAN-009/25-26</t>
  </si>
  <si>
    <t>Precision Fab Tech</t>
  </si>
  <si>
    <t xml:space="preserve">Rewinding Charges </t>
  </si>
  <si>
    <t xml:space="preserve">Sopt Welding transformer 20Kva Rewinding charges </t>
  </si>
  <si>
    <t>JAN-010/25-26</t>
  </si>
  <si>
    <t>Charges for Inspection and Testing Charges (Duct Lifters)</t>
  </si>
  <si>
    <t>Crane charges (Machine shifting to Haryana Factory)</t>
  </si>
  <si>
    <t>Weekly Pooja Expenses (65 Sweets) 06-02-26 Friday</t>
  </si>
  <si>
    <t>Travel Fare (Visited KNND Office Bangalore)</t>
  </si>
  <si>
    <t>Monthly Flower Payment (11-01-2026 to 10-02-2026)</t>
  </si>
  <si>
    <t>Transportation charges ( Material Sent to Bahadurgarh unit )</t>
  </si>
  <si>
    <t>Loading and Unloading charges for the month of Feb 2026</t>
  </si>
  <si>
    <t>Porter charges (Cleats sent to Air Control Bangalore)</t>
  </si>
  <si>
    <t>Medicine for Garden Plants</t>
  </si>
  <si>
    <t>Weekly pooja Expenses (60 Sweets ) 13-02-2026 Friday</t>
  </si>
  <si>
    <t>Weighment charges (Aluminium Coil &amp; GSS Coil received)</t>
  </si>
  <si>
    <t>Porter charges (CPC Compressor parts sent to Bangalore) Airend</t>
  </si>
  <si>
    <t>Porter charges (Whisper Blade sent to Sumukha Industries)</t>
  </si>
  <si>
    <t>Stationary purchased (Bills Attached)</t>
  </si>
  <si>
    <t>Internet charges for the month of Feb-2026 (2 Connection)</t>
  </si>
  <si>
    <t>Internet service charges (Fiber 2500 and Media Converter 2500)</t>
  </si>
  <si>
    <t>Porter charges (Beading machine, Cornamatic press Block received from Sri Raghavendra Industries)</t>
  </si>
  <si>
    <t>February</t>
  </si>
  <si>
    <t>Food Expenses for the month of Nov-2025</t>
  </si>
  <si>
    <t>Petrol expenses for the month of Nov-2025</t>
  </si>
  <si>
    <t>Bearing block for round Seam closer -2</t>
  </si>
  <si>
    <t xml:space="preserve">Car towing and Inspection charges </t>
  </si>
  <si>
    <t>Loading charges at peenya</t>
  </si>
  <si>
    <t>Porter charges for December 2025</t>
  </si>
  <si>
    <t>Food expenses for the month of December 2025</t>
  </si>
  <si>
    <t>Scale for hole punching machine - 2</t>
  </si>
  <si>
    <t>Petrol expenses December 2025</t>
  </si>
  <si>
    <t>Penuematic Cylinder purchased for spiral machine</t>
  </si>
  <si>
    <t>Fastners purchased for hole punch machine</t>
  </si>
  <si>
    <t>Weekly pooja expenses (70 Sweets) 16-01-2026 Friday</t>
  </si>
  <si>
    <t>Weighment charges (coil received from Mandot Steel)</t>
  </si>
  <si>
    <t>Porter charges (Spot Welding machine service charges)</t>
  </si>
  <si>
    <t>Porter charges (Cleats sent to Air Control)</t>
  </si>
  <si>
    <t>Travel Fare (Mubarak visited Air Control Site)</t>
  </si>
  <si>
    <t>Porter charges (material sent to Infosys Bangalore)</t>
  </si>
  <si>
    <t>Weekly pooja expenses (70 Sweets ) 23-01-2026 Friday</t>
  </si>
  <si>
    <t>Porter charges ( Cornamatic elbow fitting received from SBS Industries Peenya)</t>
  </si>
  <si>
    <t>Porter charges (Welding machine received from Raman Engineering)</t>
  </si>
  <si>
    <t>Porter charges (Stabilizer received from Av Technologies)</t>
  </si>
  <si>
    <t>Crane charges (Machine Loading charges)</t>
  </si>
  <si>
    <t>Weekly pooja expenses (Sweets - 50 Nos ) 30-01-2026 Friday</t>
  </si>
  <si>
    <t>Madicines for Garden plant</t>
  </si>
  <si>
    <t>Stationary Material (Long Book Note - 10 Nos) purchased</t>
  </si>
  <si>
    <t>JAN-011/25-26</t>
  </si>
  <si>
    <t>595/25-26</t>
  </si>
  <si>
    <t>For the month of January 2026</t>
  </si>
  <si>
    <t>JAN-012/25-26</t>
  </si>
  <si>
    <t>Fees towards Preparation of EPF and ESI Challans During Calendar Month Jan 2026</t>
  </si>
  <si>
    <t>JAN-013/25-26</t>
  </si>
  <si>
    <t>UII/25-26/2700</t>
  </si>
  <si>
    <t>JAN-014/25-26</t>
  </si>
  <si>
    <t>HRD2533455</t>
  </si>
  <si>
    <t>JAN-015/25-26</t>
  </si>
  <si>
    <t>JAN-016/25-26</t>
  </si>
  <si>
    <t>JAN-017/25-26</t>
  </si>
  <si>
    <t>JAN-018/25-26</t>
  </si>
  <si>
    <t>Mr.Deepak K.V and Umesh (Check in 15-1-26 and Check out 16-1-2026)</t>
  </si>
  <si>
    <t>JAN-019/25-26</t>
  </si>
  <si>
    <t>Thermal insulation</t>
  </si>
  <si>
    <t>JAN-020/25-26</t>
  </si>
  <si>
    <t>JAN-021/25-26</t>
  </si>
  <si>
    <t>JAN-022/25-26</t>
  </si>
  <si>
    <t>JAN-023/25-26</t>
  </si>
  <si>
    <t>JAN-024/25-26</t>
  </si>
  <si>
    <t>JAN-025/25-26</t>
  </si>
  <si>
    <t>JAN-026/25-26</t>
  </si>
  <si>
    <t>JAN-027/25-26</t>
  </si>
  <si>
    <t>Termal Insulation</t>
  </si>
  <si>
    <t>JAN-028/25-26</t>
  </si>
  <si>
    <t>JAN-029/25-26</t>
  </si>
  <si>
    <t>JAN-030/25-26</t>
  </si>
  <si>
    <t>JAN-031/25-26</t>
  </si>
  <si>
    <t>JAN-032/25-26</t>
  </si>
  <si>
    <t>JAN-033/25-26</t>
  </si>
  <si>
    <t>JAN-034/25-26</t>
  </si>
  <si>
    <t xml:space="preserve">Thermal Insulatin , Acoustic Insulation and Acoustic Insulation without Beading </t>
  </si>
  <si>
    <t>JAN-035/25-26</t>
  </si>
  <si>
    <t>JAN-036/25-26</t>
  </si>
  <si>
    <t>JAN-037/25-26</t>
  </si>
  <si>
    <t>JAN-038/25-26</t>
  </si>
  <si>
    <t xml:space="preserve">Thermal Insulation, Acoustic Insulation and Acoustic Insulation without  beading </t>
  </si>
  <si>
    <t>JAN-039/25-26</t>
  </si>
  <si>
    <t>RSFT/INV/29/2025</t>
  </si>
  <si>
    <t>Mr. Prasad Kumar to your factory on 3.10.2025 to attend problem on TDF bending machine.</t>
  </si>
  <si>
    <t>FEB-001/25-26</t>
  </si>
  <si>
    <t>ABSIPL/25-26/266</t>
  </si>
  <si>
    <t>FEB-002/25-26</t>
  </si>
  <si>
    <t>Printing charges 4 Nos</t>
  </si>
  <si>
    <t>FEB-003/25-26</t>
  </si>
  <si>
    <t>FEB-004/25-26</t>
  </si>
  <si>
    <t>FEB-005/25-26</t>
  </si>
  <si>
    <t>187/2025-26</t>
  </si>
  <si>
    <t>Preparation and Fiiing Forms 9 and 9C under GST for the year ended 31st March 2025</t>
  </si>
  <si>
    <t>FEB-006/25-26</t>
  </si>
  <si>
    <t>A4 Size Die punched Stickers 10000 Nos and Inward Goods receip 5 Books</t>
  </si>
  <si>
    <t>DEC-044/25-26</t>
  </si>
  <si>
    <t>DEC-045/25-26</t>
  </si>
  <si>
    <t>RSFT/INV/20/2025</t>
  </si>
  <si>
    <t xml:space="preserve">Online Services Charges </t>
  </si>
  <si>
    <t xml:space="preserve">Mr.Prasad Kumar Installed Trimble Software on Vulcan Plasma Cutting machine </t>
  </si>
  <si>
    <t>Micro Products Data</t>
  </si>
  <si>
    <t>358/25-26</t>
  </si>
  <si>
    <t>Winarc25-26/2316/30-01-2026</t>
  </si>
  <si>
    <t>0185/2025-26</t>
  </si>
  <si>
    <t>HPMX 220817 Shield 45A-85A (5 Pcs) HPMX 220857 SWIRL Ring 45A-85A (5 PCS)</t>
  </si>
  <si>
    <t>359/25-26</t>
  </si>
  <si>
    <t>HA5072/04-02-2026</t>
  </si>
  <si>
    <t>0187/2025-26</t>
  </si>
  <si>
    <t>Insusound 10mmX1000mmX1000mm BLK (30 Box) In Sqm</t>
  </si>
  <si>
    <t>Insusound 15mmX1000mmX1000mm BLK (30 Box) In Sqm</t>
  </si>
  <si>
    <t>360/25-26</t>
  </si>
  <si>
    <t>HRP/839/25-26/06-02-2026</t>
  </si>
  <si>
    <t>20G GSS Duct Corner Size -32mm (In Nos)</t>
  </si>
  <si>
    <t>361/25-26</t>
  </si>
  <si>
    <t>HRP/840/25-26/06-02-2026</t>
  </si>
  <si>
    <t>0181/2025-26</t>
  </si>
  <si>
    <t>362/25-26</t>
  </si>
  <si>
    <t>WINARC25-26/2382/06-02-2026</t>
  </si>
  <si>
    <t>HPMX 220941 Nozzle 45A (10 Pcs)</t>
  </si>
  <si>
    <t>363/25-26</t>
  </si>
  <si>
    <t>25-26/3842/09-02-2026</t>
  </si>
  <si>
    <t>0190/2025-26</t>
  </si>
  <si>
    <t>Armasound Super silence Sheets ASD-140-15 (25 Box) In Sqm</t>
  </si>
  <si>
    <t>364/25-26</t>
  </si>
  <si>
    <t>ME/25-26/368/09-02-2026</t>
  </si>
  <si>
    <t>80 Gram Blue Cotton Knitted Gloves  (In Prs)</t>
  </si>
  <si>
    <t>365/25-26</t>
  </si>
  <si>
    <t>49900/10-02-2026</t>
  </si>
  <si>
    <t>0189/2025-26</t>
  </si>
  <si>
    <t xml:space="preserve">GP Coil (0.60 x 1220 x C ) In Nos  2 Nos </t>
  </si>
  <si>
    <t xml:space="preserve">GP Coil (0.60 x 1220 x C ) In Nos 2 Nos </t>
  </si>
  <si>
    <t>366/25-26</t>
  </si>
  <si>
    <t>24539/10-02-2026</t>
  </si>
  <si>
    <t>0193/2025-26</t>
  </si>
  <si>
    <t>Lunia Exim Pvt Ltd</t>
  </si>
  <si>
    <t>Aluminium Coil / Sheet (232 Guage - 4ft width-362.4+290.30+297.8 Etc)</t>
  </si>
  <si>
    <t>367/25-26</t>
  </si>
  <si>
    <t>KM/06596/2025-26/11-02-2026</t>
  </si>
  <si>
    <t>0192/2025-26</t>
  </si>
  <si>
    <t xml:space="preserve">Aluminium Coils (0.71 x 1220) 17 Nos </t>
  </si>
  <si>
    <t>368/25-26</t>
  </si>
  <si>
    <t>49925/13-02-2026</t>
  </si>
  <si>
    <t>369/25-26</t>
  </si>
  <si>
    <t>T92500005268/15-02-2026</t>
  </si>
  <si>
    <t>0191/2025-26</t>
  </si>
  <si>
    <t>Insuflex 13mm 1200mm*Class O Alu (125 Pkg) In Sqm</t>
  </si>
  <si>
    <t>Insuflex 13mm 1200mm*Class O GC  (57 Pkg) In Sqm</t>
  </si>
  <si>
    <t>Insuflex 19mm 1200mm*Class O GC  (35 Pkg) In Sqm</t>
  </si>
  <si>
    <t>370/25-26</t>
  </si>
  <si>
    <t>948/2025-2026/16-02-2026</t>
  </si>
  <si>
    <t>0197/2025-26</t>
  </si>
  <si>
    <t>Bending Machine Spare parts (Total 31 Nos)</t>
  </si>
  <si>
    <t>Petrol Expenses - January 2026</t>
  </si>
  <si>
    <t>Taxi charges from Airport to Home</t>
  </si>
  <si>
    <t>Weekly Pooja expenses (60 Sweets ) 20-02-2026 Friday</t>
  </si>
  <si>
    <t>Transportation charges (Stationary material - Sticker and IGR Book raceived from KNND Office)</t>
  </si>
  <si>
    <t>Madical Expenses (Employee Injured during working time - Dharmendra)</t>
  </si>
  <si>
    <t>Transportation charges (Sealant received from UrJa Sealant)</t>
  </si>
  <si>
    <t>Petrol expenses - February 2026</t>
  </si>
  <si>
    <t>Travel expenses (Mr.Buddhadeb Barik visited from Chennai to malur Factory)</t>
  </si>
  <si>
    <t>Weighment charges (Aluminium Coil and Gi Coil received)</t>
  </si>
  <si>
    <t>Food expenses - Umesh and Abhinav</t>
  </si>
  <si>
    <t xml:space="preserve">Petrol charges  </t>
  </si>
  <si>
    <t>Food and refreshment charges (Mr. Prakash and Naveen visited factory on 24-02-2026 &amp; 25-02-2026)</t>
  </si>
  <si>
    <t>Porter charges (0-ring received from SBS &amp; Value received from AVK Industrial)</t>
  </si>
  <si>
    <t>371/25-26</t>
  </si>
  <si>
    <t>1801/05-02-2026</t>
  </si>
  <si>
    <t>0188/2025-26</t>
  </si>
  <si>
    <t>372/25-26</t>
  </si>
  <si>
    <t>T92500005387/20-02-2026</t>
  </si>
  <si>
    <t>Insuflex 13mm 1200mm*Class O Alu (27 Pkg) In Sqm</t>
  </si>
  <si>
    <t>Insuflex 13mm  1200mm*Class O (GC) 61 Pkg</t>
  </si>
  <si>
    <t>Insuflex 19mm 1200mm*Class O GC (108 Pkg)</t>
  </si>
  <si>
    <t>373/25-26</t>
  </si>
  <si>
    <t>KM/06626/2025-26/20-02-2026</t>
  </si>
  <si>
    <t>0198/2025-26</t>
  </si>
  <si>
    <t>GP  Coil (0.60mm X 1220 /1250) 2 Nos (In MT)</t>
  </si>
  <si>
    <t>374/25-26</t>
  </si>
  <si>
    <t>T92500005398/21-02-2026</t>
  </si>
  <si>
    <t>Insuflex 13mm  1200mm*Class O (GC) 55 Pkg</t>
  </si>
  <si>
    <t>Insuflex 19mm 1200mm*Class O GC (65 Pkg)</t>
  </si>
  <si>
    <t>375/25-26</t>
  </si>
  <si>
    <t xml:space="preserve"> SAI11789/25-26/21-02-2026</t>
  </si>
  <si>
    <t>0056/2025-26_2</t>
  </si>
  <si>
    <t>Kflex Kfonik 10mm Open Cell -1 Plain (10 Box)</t>
  </si>
  <si>
    <t>376/25-26</t>
  </si>
  <si>
    <t>49977/22-02-2026</t>
  </si>
  <si>
    <t>Galvanised Sheets/Coils (0.50x1220xC) 1 Nos (In MT)</t>
  </si>
  <si>
    <t>(0.50x1220xC) 1 Nos (In MT)</t>
  </si>
  <si>
    <t>0.80x1220xC (1 Nos) In MT</t>
  </si>
  <si>
    <t>120gsm 22g</t>
  </si>
  <si>
    <t>377/25-26</t>
  </si>
  <si>
    <t>24656/23-02-2026</t>
  </si>
  <si>
    <t>Aluminium coil/Sheet (Nalco Make) (0.70mm - 1220mm ) In Kgs</t>
  </si>
  <si>
    <t>378/25-26</t>
  </si>
  <si>
    <t>SBSI/25-26/153/26-02-2026</t>
  </si>
  <si>
    <t>Hydraulic Piston U Cup Seal (4 Nos)</t>
  </si>
  <si>
    <t>379/25-26</t>
  </si>
  <si>
    <t>GPLB/25-26/87/26-02-2026</t>
  </si>
  <si>
    <t>0199/2025-26</t>
  </si>
  <si>
    <t>Global Polyurethanes LLP</t>
  </si>
  <si>
    <t>Polyol (Geopol GP 1023/PL) In Kgs</t>
  </si>
  <si>
    <t>Isocynate (Geonate GP 1023/PL)</t>
  </si>
  <si>
    <t>FEB-007/25-26</t>
  </si>
  <si>
    <t>Sui/1359</t>
  </si>
  <si>
    <t>FEB-008/25-26</t>
  </si>
  <si>
    <t>SUI/1360</t>
  </si>
  <si>
    <t>FEB-009/25-26</t>
  </si>
  <si>
    <t>FEB-010/25-26</t>
  </si>
  <si>
    <t>Porter charges (Material received from Sri Sumukha Industries) 20/00/ 18.55 Long strip</t>
  </si>
  <si>
    <t>Weekly Pooja material purchased (60 Sweets) 27-02-2026)</t>
  </si>
  <si>
    <t>House Keeping material purchased</t>
  </si>
  <si>
    <t>Stationary material purchased (Bill attached)</t>
  </si>
  <si>
    <t>Weekly pooja material purchased (60 Sweets) 06-03-2026 Friday</t>
  </si>
  <si>
    <t>Loading and Unloading charges for the month of Mar-2026</t>
  </si>
  <si>
    <t>Monthly flower payment (11-02-2026 to 10-03-2026)</t>
  </si>
  <si>
    <t>Internet charges for the month of Mar-2026</t>
  </si>
  <si>
    <t>Wire rope for Duct Lfter</t>
  </si>
  <si>
    <t>Weekly Pooja material purchased (60 Sweets) 13-03-2026 Friday</t>
  </si>
  <si>
    <t>Internet service charges (Installed friber and Media converter)</t>
  </si>
  <si>
    <t>First Aid Kit and Medicine purchased</t>
  </si>
  <si>
    <t>Travel convenience (Naveen visited KNND Office 11-03-2026 and 16-03-2026)</t>
  </si>
  <si>
    <t>Food charges (Mr.Naveen S.M Umesh and Abhinav)</t>
  </si>
  <si>
    <t>March</t>
  </si>
  <si>
    <t>380/25-26</t>
  </si>
  <si>
    <t>HRP/895/25-26/28-02-2026</t>
  </si>
  <si>
    <t>20g GSS Duct Corner Size - 25mm (In Nos)</t>
  </si>
  <si>
    <t>381/25-26</t>
  </si>
  <si>
    <t>HRP/896/25-26/28-02-2026</t>
  </si>
  <si>
    <t>20g GSS Duct Corner Size - 32mm (In Nos)</t>
  </si>
  <si>
    <t>382/25-26</t>
  </si>
  <si>
    <t>16113/28-02-2026</t>
  </si>
  <si>
    <t>383/25-26</t>
  </si>
  <si>
    <t>25-26/4169/05-03-2026</t>
  </si>
  <si>
    <t>0200/2025-26</t>
  </si>
  <si>
    <t>Armasound Super Silence Sheets ASD-140-15 (83 Box) In Sqm</t>
  </si>
  <si>
    <t>Aramflex with Microban Sheet Com-09mm/E 1.2 (138 Roll)</t>
  </si>
  <si>
    <t>384/25-26</t>
  </si>
  <si>
    <t>AVK-570-25-26/07-03-2026</t>
  </si>
  <si>
    <t>Verbal (Mr.Deepak)</t>
  </si>
  <si>
    <t>Janatics Solenoid Valve (5/3,1/2" Model: DS267SC63 With Coil 220v AC)</t>
  </si>
  <si>
    <t>385/25-26</t>
  </si>
  <si>
    <t>2526MSC3481/10-03-2026</t>
  </si>
  <si>
    <t>0201/2025-26</t>
  </si>
  <si>
    <t>Gi Coil / Sheet (0.50x1220-1-120 GSM) In Kg</t>
  </si>
  <si>
    <t>Gi Coil / Sheet (0.60x1220-2-120 GSM) In Kg</t>
  </si>
  <si>
    <t>Gi Coil / Sheet (1.00x1250-1-120 GSM) In Kg</t>
  </si>
  <si>
    <t>386/25-26</t>
  </si>
  <si>
    <t>25-26/4246/10-03-2026</t>
  </si>
  <si>
    <t>Armasound Super silence Sheets ASD -140-25 (200 Box) In Sqm</t>
  </si>
  <si>
    <t>387/25-26</t>
  </si>
  <si>
    <t>25-26/4259/12-03-2026</t>
  </si>
  <si>
    <t>Aramflex with Microban sheet COM-09mm/E 1.2 (40 Roll) In Sqm</t>
  </si>
  <si>
    <t xml:space="preserve">Armasound Super silence sheets ASD-140-25 (28 Box) </t>
  </si>
  <si>
    <t>388/25-26</t>
  </si>
  <si>
    <t>0201/202526</t>
  </si>
  <si>
    <t>GI Coil / Sheet (0.50 x 1250 - 120 GSM) In Kgs</t>
  </si>
  <si>
    <t xml:space="preserve">(0.50 x 1250 - 120 GSM) </t>
  </si>
  <si>
    <t xml:space="preserve">(1.20 x 1250 - 120 GSM) </t>
  </si>
  <si>
    <t xml:space="preserve">(0.80 x 1220 - 2- 120 GSM) </t>
  </si>
  <si>
    <t>389/25-26</t>
  </si>
  <si>
    <t xml:space="preserve"> 2526MSC3514/12-03-2026</t>
  </si>
  <si>
    <t>HRP/928/25-26/13-03-2026</t>
  </si>
  <si>
    <t>390/25-26</t>
  </si>
  <si>
    <t>ME/25-26/389/13-03-2026</t>
  </si>
  <si>
    <t>391/25-26</t>
  </si>
  <si>
    <t>T92500005874/13-03-2026</t>
  </si>
  <si>
    <t>Insuflex 13mm 1200mm*Class O (GC) 6 Pkg (In Sqm)</t>
  </si>
  <si>
    <t>Insuflex 19mm 1200mm*Class O (GC) 42 Pkg</t>
  </si>
  <si>
    <t>392/25-26</t>
  </si>
  <si>
    <t>25-26/4291/16-03-2026</t>
  </si>
  <si>
    <t>Armaflex with Microban Sheet COM-09MM/E 1.2 (27 Roll) In Sqm</t>
  </si>
  <si>
    <t xml:space="preserve">Armasound super silence sheets ASD-140-15 (3 Box) </t>
  </si>
  <si>
    <t>393/25-26</t>
  </si>
  <si>
    <t>1043/2025-26/17-03-2026</t>
  </si>
  <si>
    <t xml:space="preserve">Beeding machine and Pinching machine Spares </t>
  </si>
  <si>
    <t>394/25-26</t>
  </si>
  <si>
    <t>179/25-26/17-03-2026</t>
  </si>
  <si>
    <t>0196/2025-26-025/25-26</t>
  </si>
  <si>
    <t>RHA Technologies</t>
  </si>
  <si>
    <t>Hydraulic Power pack &amp; Electrical Control pannel and Polyhose 1/2" 4MTR</t>
  </si>
  <si>
    <t>395/25-26</t>
  </si>
  <si>
    <t>50142/18-03-2026</t>
  </si>
  <si>
    <t>0205/2025-26</t>
  </si>
  <si>
    <t xml:space="preserve">GI Coil (1.00 x1220 xC ) In MTS </t>
  </si>
  <si>
    <t>396/25-26</t>
  </si>
  <si>
    <t>HH/25-26/0145/20-03-2026</t>
  </si>
  <si>
    <t>0195/2025-26-HHQ0956-A</t>
  </si>
  <si>
    <t>Hystra Hydropneumatics Pvt Ltd</t>
  </si>
  <si>
    <t>Hydraulic Cylinder, HHP0956, WP/: 100 Bar Size:080x056x1490 Stroke.</t>
  </si>
  <si>
    <t>RSFT/INV/33/2026</t>
  </si>
  <si>
    <t>For the visit of ourt Engineer Mr.Prakash to your factory on 24 Feb and 25th Feb 2026</t>
  </si>
  <si>
    <t>FEB-011/25-26</t>
  </si>
  <si>
    <t>Mr.Prakash Kumar (Check in 24-02-26 and Check out date 25-02-26)</t>
  </si>
  <si>
    <t>FEB-012/25-26</t>
  </si>
  <si>
    <t>1167/2025-26</t>
  </si>
  <si>
    <t>Fees towards Preparation of EPF and ESI Challans During Calendar Month Feb- 2026</t>
  </si>
  <si>
    <t>FEB-013/25-26</t>
  </si>
  <si>
    <t>For the month of February 2026</t>
  </si>
  <si>
    <t>FEB-014/25-26</t>
  </si>
  <si>
    <t>HRD2536679</t>
  </si>
  <si>
    <t>FEB-015/25-26</t>
  </si>
  <si>
    <t xml:space="preserve">Thermal Insulation, Acoustic insulation and Acoustic insulation without beading </t>
  </si>
  <si>
    <t>FEB-016/25-26</t>
  </si>
  <si>
    <t>FEB-017/25-26</t>
  </si>
  <si>
    <t>FEB-018/25-26</t>
  </si>
  <si>
    <t>FEB-019/25-26</t>
  </si>
  <si>
    <t>FEB-020/25-26</t>
  </si>
  <si>
    <t>FEB-021/25-26</t>
  </si>
  <si>
    <t>FEB-022/25-26</t>
  </si>
  <si>
    <t>FEB-023/25-26</t>
  </si>
  <si>
    <t>FEB-024/25-26</t>
  </si>
  <si>
    <t>FEB-025/25-26</t>
  </si>
  <si>
    <t>FEB-026/25-26</t>
  </si>
  <si>
    <t>FEB-027/25-26</t>
  </si>
  <si>
    <t>FEB-028/25-26</t>
  </si>
  <si>
    <t>FEB-029/25-26</t>
  </si>
  <si>
    <t xml:space="preserve">Thermal Insulation and Acoustic Insulation without beading </t>
  </si>
  <si>
    <t>FEB-030/25-26</t>
  </si>
  <si>
    <t>FEB-031/25-26</t>
  </si>
  <si>
    <t>FEB-032/25-26</t>
  </si>
  <si>
    <t xml:space="preserve">Thermal Insulation, Acoustic Insulation and Acoustic insulation without beading </t>
  </si>
  <si>
    <t>FEB-033/25-26</t>
  </si>
  <si>
    <t>MAR-001/25-26</t>
  </si>
  <si>
    <t>SVE/6237/25-26</t>
  </si>
  <si>
    <t>MAR-002/25-26</t>
  </si>
  <si>
    <t>MAR-003/25-26</t>
  </si>
  <si>
    <t>MAR-004/25-26</t>
  </si>
  <si>
    <t>ABSIPL/25-26/304</t>
  </si>
  <si>
    <t>MAR-005/25-26</t>
  </si>
  <si>
    <t>UII/25-26/3083</t>
  </si>
  <si>
    <t>Tchnical testing and Analysis Service of GI Coil 26g,24g and 22g</t>
  </si>
  <si>
    <t>MAR-006/25-26</t>
  </si>
  <si>
    <t>SUI/1391</t>
  </si>
  <si>
    <t>MAR-007/25-26</t>
  </si>
  <si>
    <t>SUI/1392</t>
  </si>
  <si>
    <t>MAR-008/25-26</t>
  </si>
  <si>
    <t xml:space="preserve">HP Laser 88A Toner Cartridge 2 Nos &amp; HP Laser Jet 88A Toner Cartridge 1 Nos </t>
  </si>
  <si>
    <t>Food Expenses (Sunday Overtime Work - 3 Workers) 01-02-2026 and 15-02-2026</t>
  </si>
  <si>
    <t>Porter charges (Electrical Panel from Hystra &amp; San---- Indstries)</t>
  </si>
  <si>
    <t>Weighment charges (20g Coil received from JR &amp; Co)</t>
  </si>
  <si>
    <t>Weekly Pooja expenses (Sweets -50 Nos ) 21-03-2026 Saturday</t>
  </si>
  <si>
    <t>Food expenses (Sunday Overtime Work - 17 Workers morning Breakfast)</t>
  </si>
  <si>
    <t>24 Hrs Timer for Street Light Purchased</t>
  </si>
  <si>
    <t>Food charges (Abhinav and Naveen SM 21-03-2026, 23,24, &amp; 25th )</t>
  </si>
  <si>
    <t>Porter charges (Corner Die sent to Tooling Ocean)</t>
  </si>
  <si>
    <t>Food charges (Overtime work - Night Dinner for 6 Workers)</t>
  </si>
  <si>
    <t>Refreshment charges ((Sandeep Sir &amp; Team Visited Factory on 26-03-2026)</t>
  </si>
  <si>
    <t>Weekly Pooja expenses (Sri Ramanavami Special Pooja ) 27-03-2026</t>
  </si>
  <si>
    <t>V-Guard Stabilizer for SAMSUNG Refrigerator</t>
  </si>
  <si>
    <t>Refreshment charges (Butter Milk - 105 Nos &amp; Curd - 6 Ltr)</t>
  </si>
  <si>
    <t>Food charges (Naveen SM, Deepak and Umesh visited Factory)</t>
  </si>
  <si>
    <t>Food charges (Sunday over time work - 27 Workers) 29-03-2026</t>
  </si>
  <si>
    <t>Petrol expenses for the month of March 2026</t>
  </si>
  <si>
    <t>Food expenses Abhinav, Umesh and KNND Team</t>
  </si>
  <si>
    <t>Car repair charges</t>
  </si>
  <si>
    <t>Porter charges</t>
  </si>
  <si>
    <t>Refreshment charges (Butter Milk - 50 Nos)</t>
  </si>
  <si>
    <t>FEB-034/25-26</t>
  </si>
  <si>
    <t>INV/0431-25</t>
  </si>
  <si>
    <t>Form 24Q3, Form 26Q3 and Form</t>
  </si>
  <si>
    <t>MAR-009/25-26</t>
  </si>
  <si>
    <t>Hiremath Electricals</t>
  </si>
  <si>
    <t xml:space="preserve">Charges for Inspection &amp; Testing of Camduct Machines </t>
  </si>
  <si>
    <t>MAR-010/25-26</t>
  </si>
  <si>
    <t>BLR/2025-26/3706</t>
  </si>
  <si>
    <t>As 15 (R) - Gratuity report (Being consulting  fees for the actuarial valution of Gratuity &amp; Issuance of report</t>
  </si>
  <si>
    <t>MAR-011/25-26</t>
  </si>
  <si>
    <t>AG/25-26/397</t>
  </si>
  <si>
    <t>DTDC Courier charges against Invoice-AG/25-26/396</t>
  </si>
  <si>
    <t>397/25-26</t>
  </si>
  <si>
    <t>555/2025-26/25-03-2026</t>
  </si>
  <si>
    <t>0204-25-26</t>
  </si>
  <si>
    <t>398/25-26</t>
  </si>
  <si>
    <t>HRP/962/25-26/25-03-2026</t>
  </si>
  <si>
    <t>399/25-26</t>
  </si>
  <si>
    <t>HRP/963/25-26/25-03-2026</t>
  </si>
  <si>
    <t>0203/2025-26</t>
  </si>
  <si>
    <t>SAI12894/25-26/25-03-2026</t>
  </si>
  <si>
    <t>0206/2025-26_1</t>
  </si>
  <si>
    <t>Kflex ST Sheet 13mm CL - O + AM (28 Roll) In Sqm</t>
  </si>
  <si>
    <t xml:space="preserve">Kflex 3x50x09.10 Nitrile Rubber SA Tape </t>
  </si>
  <si>
    <t>401/25-26</t>
  </si>
  <si>
    <t>24888/26-03-2026</t>
  </si>
  <si>
    <t>Aluminium Coil/Sheet (Grade 1100) In Kgs (4 Nos Coil)</t>
  </si>
  <si>
    <t>402/25-26</t>
  </si>
  <si>
    <t>1257/24-03-2026</t>
  </si>
  <si>
    <t>0194/2025-26</t>
  </si>
  <si>
    <t>Dynavac India Pvt Ltd</t>
  </si>
  <si>
    <t>Hydra 5.0 SL Industrial Vacuum Cleaner</t>
  </si>
  <si>
    <t>403/25-26</t>
  </si>
  <si>
    <t>SAI13038/25-26/30-03-2026</t>
  </si>
  <si>
    <t>Kflex ST Sheet 13mm CL-O + AM (1 Roll)</t>
  </si>
  <si>
    <t>Kflex ST Sheet 19mm  CL-O IC -Clad Black + AM (63 Roll)</t>
  </si>
  <si>
    <t>Kflex Kfonik 25mm Open Cell Cl-1 +AM (35 Box)</t>
  </si>
  <si>
    <t>404/25-26</t>
  </si>
  <si>
    <t>25-S-8834/30-03-2026</t>
  </si>
  <si>
    <t>0021/2024-25_1</t>
  </si>
  <si>
    <t>Electrical Accessories, Hardware, Panel Testing charges &amp; panel Design &amp; PLC Programming</t>
  </si>
  <si>
    <t>405/25-26</t>
  </si>
  <si>
    <t>0207/2025-26</t>
  </si>
  <si>
    <t>Sian Tek Solutions</t>
  </si>
  <si>
    <t>Metronix Make Rotary Encoder and Polycab Cable</t>
  </si>
  <si>
    <t>25-S-8835/31-03-2026</t>
  </si>
  <si>
    <t>406/25-26</t>
  </si>
  <si>
    <t>25-S-8836/31-03-2026</t>
  </si>
  <si>
    <t>0090/2024-25_1</t>
  </si>
  <si>
    <t>Servo Drive Incremental 400v 3 phase, Cable &amp; Accessories and Rotery Encoder</t>
  </si>
  <si>
    <t>407/25-26</t>
  </si>
  <si>
    <t>1101/2025-2026/31-03-2026</t>
  </si>
  <si>
    <t>MAR-012/25-26</t>
  </si>
  <si>
    <t>SUI/1405</t>
  </si>
  <si>
    <t>Fot the month of March 2026</t>
  </si>
  <si>
    <t>MAR-013/25-26</t>
  </si>
  <si>
    <t>SUI/1406</t>
  </si>
  <si>
    <t>MAR-014/25-26</t>
  </si>
  <si>
    <t>MAR-015/25-26</t>
  </si>
  <si>
    <t>MAR-016/25-26</t>
  </si>
  <si>
    <t>1287/2025-26</t>
  </si>
  <si>
    <t>Fees Towards preparation of EPF &amp; ESI Challans during calendar Month of March 2026</t>
  </si>
  <si>
    <t>MAR-017/25-26</t>
  </si>
  <si>
    <t>For the month of March 2026</t>
  </si>
  <si>
    <t>MAR-018/25-26</t>
  </si>
  <si>
    <t>HRD2539341</t>
  </si>
  <si>
    <t>MAR-019/25-26</t>
  </si>
  <si>
    <t>MAR-020/25-26</t>
  </si>
  <si>
    <t>MAR-021/25-26</t>
  </si>
  <si>
    <t>MAR-022/25-26</t>
  </si>
  <si>
    <t>Thermal Insulation, Acoustic Insulation and Acoustic Insulatin without beading</t>
  </si>
  <si>
    <t>MAR-023/25-26</t>
  </si>
  <si>
    <t>MAR-024/25-26</t>
  </si>
  <si>
    <t>MAR-025/25-26</t>
  </si>
  <si>
    <t>MAR-026/25-26</t>
  </si>
  <si>
    <t>MAR-027/25-26</t>
  </si>
  <si>
    <t>MAR-028/25-26</t>
  </si>
  <si>
    <t>MAR-029/25-26</t>
  </si>
  <si>
    <t xml:space="preserve">Thermal Insulation and Acousic Insulation </t>
  </si>
  <si>
    <t>MAR-030/25-26</t>
  </si>
  <si>
    <t>MAR-031/25-26</t>
  </si>
  <si>
    <t>MAR-032/25-26</t>
  </si>
  <si>
    <t>MAR-033/25-26</t>
  </si>
  <si>
    <t>820/25-26</t>
  </si>
  <si>
    <t>MAR-034/25-26</t>
  </si>
  <si>
    <t>4545 &amp; 4546</t>
  </si>
  <si>
    <t>Mr.Deepak Check in (30-3-26) out (31-3-26)</t>
  </si>
  <si>
    <t>Mr.Deepak (Arwana Veg Restaurant)</t>
  </si>
  <si>
    <t>ABSIPL/25-26/321</t>
  </si>
  <si>
    <t>Consumable Materials (                 Pop Revit, Ear Plug 3mm and Long Nut      )</t>
  </si>
  <si>
    <t>Reliz (mould reliz) In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</si>
</sst>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[$₹-4009]\ * #,##0_ ;_ [$₹-4009]\ * \-#,##0_ ;_ [$₹-4009]\ * &quot;-&quot;??_ ;_ @_ 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Light"/>
      <family val="2"/>
    </font>
    <font>
      <sz val="11"/>
      <color theme="1"/>
      <name val="Calibri Light"/>
      <family val="2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 Light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FF0000"/>
      <name val="Arial Black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ED0000"/>
      <name val="Calibri"/>
      <family val="2"/>
      <scheme val="minor"/>
    </font>
    <font>
      <sz val="11"/>
      <name val="Calibri Light"/>
      <family val="2"/>
    </font>
    <font>
      <b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01000"/>
        <bgColor indexed="64"/>
      </patternFill>
    </fill>
    <fill>
      <patternFill patternType="solid">
        <fgColor rgb="FF009ED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6C6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7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164" fontId="0" fillId="0" borderId="14" xfId="1" applyFont="1" applyBorder="1" applyAlignment="1">
      <alignment horizontal="center"/>
    </xf>
    <xf numFmtId="164" fontId="0" fillId="0" borderId="14" xfId="1" applyFont="1" applyFill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0" fillId="0" borderId="15" xfId="0" applyBorder="1"/>
    <xf numFmtId="14" fontId="0" fillId="0" borderId="14" xfId="0" applyNumberFormat="1" applyBorder="1" applyAlignment="1">
      <alignment horizontal="center"/>
    </xf>
    <xf numFmtId="0" fontId="7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14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4" xfId="1" applyNumberFormat="1" applyFont="1" applyBorder="1" applyAlignment="1">
      <alignment horizontal="center"/>
    </xf>
    <xf numFmtId="37" fontId="4" fillId="0" borderId="14" xfId="1" applyNumberFormat="1" applyFont="1" applyBorder="1" applyAlignment="1">
      <alignment horizontal="center"/>
    </xf>
    <xf numFmtId="0" fontId="0" fillId="0" borderId="14" xfId="1" applyNumberFormat="1" applyFont="1" applyBorder="1" applyAlignment="1">
      <alignment horizontal="left"/>
    </xf>
    <xf numFmtId="164" fontId="0" fillId="0" borderId="14" xfId="1" applyFont="1" applyBorder="1" applyAlignment="1">
      <alignment horizontal="left"/>
    </xf>
    <xf numFmtId="0" fontId="0" fillId="0" borderId="15" xfId="0" applyBorder="1" applyAlignment="1">
      <alignment horizontal="left"/>
    </xf>
    <xf numFmtId="1" fontId="10" fillId="0" borderId="8" xfId="0" applyNumberFormat="1" applyFont="1" applyBorder="1" applyAlignment="1">
      <alignment horizontal="center"/>
    </xf>
    <xf numFmtId="9" fontId="0" fillId="0" borderId="14" xfId="1" applyNumberFormat="1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9" fontId="0" fillId="0" borderId="14" xfId="2" applyFont="1" applyFill="1" applyBorder="1" applyAlignment="1">
      <alignment horizontal="center"/>
    </xf>
    <xf numFmtId="9" fontId="0" fillId="0" borderId="14" xfId="2" applyFont="1" applyBorder="1" applyAlignment="1">
      <alignment horizontal="center"/>
    </xf>
    <xf numFmtId="0" fontId="0" fillId="0" borderId="14" xfId="1" applyNumberFormat="1" applyFont="1" applyFill="1" applyBorder="1" applyAlignment="1">
      <alignment horizontal="left"/>
    </xf>
    <xf numFmtId="14" fontId="0" fillId="0" borderId="14" xfId="0" applyNumberFormat="1" applyBorder="1"/>
    <xf numFmtId="9" fontId="0" fillId="0" borderId="14" xfId="0" applyNumberFormat="1" applyBorder="1" applyAlignment="1">
      <alignment horizontal="center"/>
    </xf>
    <xf numFmtId="0" fontId="0" fillId="0" borderId="14" xfId="1" applyNumberFormat="1" applyFont="1" applyBorder="1" applyAlignment="1">
      <alignment horizontal="center"/>
    </xf>
    <xf numFmtId="0" fontId="0" fillId="0" borderId="14" xfId="1" quotePrefix="1" applyNumberFormat="1" applyFont="1" applyBorder="1" applyAlignment="1">
      <alignment horizontal="center"/>
    </xf>
    <xf numFmtId="0" fontId="0" fillId="0" borderId="14" xfId="0" quotePrefix="1" applyBorder="1" applyAlignment="1">
      <alignment horizontal="center"/>
    </xf>
    <xf numFmtId="164" fontId="3" fillId="0" borderId="14" xfId="1" applyFont="1" applyBorder="1" applyAlignment="1">
      <alignment horizontal="center"/>
    </xf>
    <xf numFmtId="0" fontId="0" fillId="0" borderId="14" xfId="0" quotePrefix="1" applyBorder="1" applyAlignment="1">
      <alignment horizontal="left"/>
    </xf>
    <xf numFmtId="0" fontId="12" fillId="0" borderId="0" xfId="0" applyFont="1"/>
    <xf numFmtId="0" fontId="13" fillId="6" borderId="0" xfId="0" applyFont="1" applyFill="1"/>
    <xf numFmtId="0" fontId="12" fillId="0" borderId="0" xfId="0" applyFont="1" applyAlignment="1">
      <alignment horizontal="left"/>
    </xf>
    <xf numFmtId="165" fontId="12" fillId="0" borderId="0" xfId="0" applyNumberFormat="1" applyFont="1"/>
    <xf numFmtId="0" fontId="13" fillId="6" borderId="0" xfId="0" applyFont="1" applyFill="1" applyAlignment="1">
      <alignment horizontal="left"/>
    </xf>
    <xf numFmtId="165" fontId="13" fillId="6" borderId="0" xfId="0" applyNumberFormat="1" applyFont="1" applyFill="1"/>
    <xf numFmtId="43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left" vertical="top"/>
    </xf>
    <xf numFmtId="164" fontId="0" fillId="0" borderId="14" xfId="1" applyFont="1" applyBorder="1"/>
    <xf numFmtId="164" fontId="0" fillId="0" borderId="14" xfId="1" applyFont="1" applyBorder="1" applyAlignment="1">
      <alignment horizontal="left" vertical="center"/>
    </xf>
    <xf numFmtId="0" fontId="0" fillId="0" borderId="14" xfId="0" applyBorder="1" applyAlignment="1">
      <alignment horizontal="right" vertical="center"/>
    </xf>
    <xf numFmtId="0" fontId="0" fillId="7" borderId="14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166" fontId="0" fillId="0" borderId="6" xfId="1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/>
    <xf numFmtId="0" fontId="0" fillId="0" borderId="25" xfId="0" applyBorder="1"/>
    <xf numFmtId="0" fontId="0" fillId="0" borderId="27" xfId="0" applyBorder="1" applyAlignment="1">
      <alignment horizontal="center" vertical="center"/>
    </xf>
    <xf numFmtId="0" fontId="0" fillId="0" borderId="27" xfId="0" applyBorder="1"/>
    <xf numFmtId="0" fontId="15" fillId="3" borderId="26" xfId="0" applyFont="1" applyFill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 wrapText="1"/>
    </xf>
    <xf numFmtId="166" fontId="16" fillId="2" borderId="21" xfId="1" applyNumberFormat="1" applyFont="1" applyFill="1" applyBorder="1" applyAlignment="1">
      <alignment horizontal="center" vertical="center"/>
    </xf>
    <xf numFmtId="0" fontId="17" fillId="0" borderId="0" xfId="0" applyFont="1"/>
    <xf numFmtId="166" fontId="18" fillId="0" borderId="18" xfId="1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0" fillId="0" borderId="0" xfId="0" applyAlignment="1">
      <alignment horizontal="left" vertical="center"/>
    </xf>
    <xf numFmtId="14" fontId="0" fillId="7" borderId="14" xfId="0" applyNumberFormat="1" applyFill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0" xfId="0" applyFont="1"/>
    <xf numFmtId="0" fontId="23" fillId="8" borderId="0" xfId="0" applyFont="1" applyFill="1"/>
    <xf numFmtId="0" fontId="23" fillId="8" borderId="0" xfId="0" applyFont="1" applyFill="1" applyAlignment="1">
      <alignment horizontal="left"/>
    </xf>
    <xf numFmtId="165" fontId="23" fillId="8" borderId="0" xfId="0" applyNumberFormat="1" applyFont="1" applyFill="1"/>
    <xf numFmtId="165" fontId="21" fillId="0" borderId="0" xfId="0" applyNumberFormat="1" applyFont="1"/>
    <xf numFmtId="164" fontId="10" fillId="0" borderId="8" xfId="1" applyFont="1" applyBorder="1" applyAlignment="1">
      <alignment horizontal="center"/>
    </xf>
    <xf numFmtId="0" fontId="0" fillId="10" borderId="14" xfId="0" applyFill="1" applyBorder="1" applyAlignment="1">
      <alignment horizontal="center"/>
    </xf>
    <xf numFmtId="14" fontId="0" fillId="10" borderId="14" xfId="0" applyNumberForma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5" fillId="3" borderId="11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19" xfId="0" applyFont="1" applyBorder="1" applyAlignment="1">
      <alignment horizontal="center"/>
    </xf>
    <xf numFmtId="0" fontId="7" fillId="2" borderId="29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0" fillId="0" borderId="19" xfId="0" applyBorder="1"/>
    <xf numFmtId="0" fontId="0" fillId="0" borderId="19" xfId="0" quotePrefix="1" applyBorder="1" applyAlignment="1">
      <alignment horizontal="left"/>
    </xf>
    <xf numFmtId="0" fontId="0" fillId="0" borderId="19" xfId="0" applyBorder="1" applyAlignment="1">
      <alignment horizontal="left" vertical="center"/>
    </xf>
    <xf numFmtId="37" fontId="9" fillId="0" borderId="14" xfId="0" applyNumberFormat="1" applyFont="1" applyBorder="1" applyAlignment="1">
      <alignment horizontal="center"/>
    </xf>
    <xf numFmtId="37" fontId="9" fillId="0" borderId="14" xfId="0" applyNumberFormat="1" applyFont="1" applyBorder="1" applyAlignment="1">
      <alignment horizontal="right"/>
    </xf>
    <xf numFmtId="37" fontId="7" fillId="2" borderId="13" xfId="0" applyNumberFormat="1" applyFont="1" applyFill="1" applyBorder="1" applyAlignment="1">
      <alignment horizontal="right" vertical="center" wrapText="1"/>
    </xf>
    <xf numFmtId="37" fontId="0" fillId="0" borderId="14" xfId="1" applyNumberFormat="1" applyFont="1" applyBorder="1" applyAlignment="1">
      <alignment horizontal="right"/>
    </xf>
    <xf numFmtId="37" fontId="0" fillId="0" borderId="14" xfId="0" applyNumberFormat="1" applyBorder="1" applyAlignment="1">
      <alignment horizontal="right"/>
    </xf>
    <xf numFmtId="37" fontId="0" fillId="0" borderId="14" xfId="1" applyNumberFormat="1" applyFont="1" applyFill="1" applyBorder="1" applyAlignment="1">
      <alignment horizontal="right"/>
    </xf>
    <xf numFmtId="164" fontId="0" fillId="0" borderId="14" xfId="1" applyFont="1" applyBorder="1" applyAlignment="1">
      <alignment horizontal="right"/>
    </xf>
    <xf numFmtId="0" fontId="7" fillId="2" borderId="13" xfId="0" applyFont="1" applyFill="1" applyBorder="1" applyAlignment="1">
      <alignment horizontal="right" vertical="center" wrapText="1"/>
    </xf>
    <xf numFmtId="0" fontId="0" fillId="0" borderId="14" xfId="0" applyBorder="1" applyAlignment="1">
      <alignment horizontal="right"/>
    </xf>
    <xf numFmtId="164" fontId="0" fillId="0" borderId="14" xfId="1" applyFont="1" applyFill="1" applyBorder="1" applyAlignment="1">
      <alignment horizontal="right"/>
    </xf>
    <xf numFmtId="43" fontId="0" fillId="0" borderId="14" xfId="0" applyNumberFormat="1" applyBorder="1" applyAlignment="1">
      <alignment horizontal="right"/>
    </xf>
    <xf numFmtId="0" fontId="0" fillId="10" borderId="14" xfId="0" applyFill="1" applyBorder="1" applyAlignment="1">
      <alignment horizontal="left"/>
    </xf>
    <xf numFmtId="0" fontId="0" fillId="13" borderId="23" xfId="0" applyFill="1" applyBorder="1"/>
    <xf numFmtId="0" fontId="0" fillId="13" borderId="8" xfId="0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0" fillId="13" borderId="8" xfId="0" applyFill="1" applyBorder="1"/>
    <xf numFmtId="166" fontId="0" fillId="13" borderId="24" xfId="1" applyNumberFormat="1" applyFont="1" applyFill="1" applyBorder="1" applyAlignment="1">
      <alignment horizontal="center" vertical="center"/>
    </xf>
    <xf numFmtId="164" fontId="0" fillId="10" borderId="14" xfId="1" applyFont="1" applyFill="1" applyBorder="1" applyAlignment="1">
      <alignment horizontal="center"/>
    </xf>
    <xf numFmtId="164" fontId="19" fillId="0" borderId="14" xfId="1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0" fontId="24" fillId="10" borderId="14" xfId="0" applyFont="1" applyFill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14" fontId="19" fillId="0" borderId="14" xfId="0" applyNumberFormat="1" applyFont="1" applyBorder="1"/>
    <xf numFmtId="0" fontId="19" fillId="10" borderId="14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164" fontId="19" fillId="0" borderId="14" xfId="1" applyFont="1" applyBorder="1" applyAlignment="1">
      <alignment horizontal="center"/>
    </xf>
    <xf numFmtId="9" fontId="19" fillId="0" borderId="14" xfId="0" applyNumberFormat="1" applyFont="1" applyBorder="1" applyAlignment="1">
      <alignment horizontal="center"/>
    </xf>
    <xf numFmtId="43" fontId="19" fillId="0" borderId="14" xfId="0" applyNumberFormat="1" applyFont="1" applyBorder="1" applyAlignment="1">
      <alignment horizontal="center"/>
    </xf>
    <xf numFmtId="37" fontId="29" fillId="0" borderId="14" xfId="1" applyNumberFormat="1" applyFont="1" applyBorder="1" applyAlignment="1">
      <alignment horizontal="center"/>
    </xf>
    <xf numFmtId="0" fontId="19" fillId="0" borderId="14" xfId="0" applyFont="1" applyBorder="1"/>
    <xf numFmtId="0" fontId="19" fillId="0" borderId="0" xfId="0" applyFont="1"/>
    <xf numFmtId="16" fontId="0" fillId="0" borderId="14" xfId="0" applyNumberFormat="1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0" fillId="10" borderId="19" xfId="0" applyFill="1" applyBorder="1" applyAlignment="1">
      <alignment horizontal="left"/>
    </xf>
    <xf numFmtId="0" fontId="8" fillId="11" borderId="11" xfId="0" applyFont="1" applyFill="1" applyBorder="1" applyAlignment="1">
      <alignment horizontal="center"/>
    </xf>
    <xf numFmtId="0" fontId="8" fillId="11" borderId="16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22" fillId="9" borderId="0" xfId="0" applyFont="1" applyFill="1" applyAlignment="1">
      <alignment horizontal="center"/>
    </xf>
    <xf numFmtId="0" fontId="8" fillId="12" borderId="11" xfId="0" applyFont="1" applyFill="1" applyBorder="1" applyAlignment="1">
      <alignment horizontal="center"/>
    </xf>
    <xf numFmtId="0" fontId="8" fillId="12" borderId="16" xfId="0" applyFont="1" applyFill="1" applyBorder="1" applyAlignment="1">
      <alignment horizontal="center"/>
    </xf>
    <xf numFmtId="0" fontId="0" fillId="0" borderId="14" xfId="0" applyFill="1" applyBorder="1" applyAlignment="1">
      <alignment horizontal="left"/>
    </xf>
    <xf numFmtId="0" fontId="0" fillId="0" borderId="14" xfId="0" applyFill="1" applyBorder="1"/>
    <xf numFmtId="0" fontId="0" fillId="0" borderId="19" xfId="0" applyFill="1" applyBorder="1"/>
    <xf numFmtId="0" fontId="19" fillId="0" borderId="19" xfId="0" applyFont="1" applyFill="1" applyBorder="1"/>
    <xf numFmtId="0" fontId="0" fillId="0" borderId="19" xfId="0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0" borderId="31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31" xfId="0" applyBorder="1"/>
    <xf numFmtId="0" fontId="0" fillId="0" borderId="31" xfId="0" applyFill="1" applyBorder="1"/>
    <xf numFmtId="0" fontId="0" fillId="0" borderId="30" xfId="0" applyBorder="1"/>
    <xf numFmtId="164" fontId="0" fillId="0" borderId="30" xfId="1" applyFont="1" applyBorder="1" applyAlignment="1">
      <alignment horizontal="center"/>
    </xf>
    <xf numFmtId="37" fontId="0" fillId="0" borderId="30" xfId="1" applyNumberFormat="1" applyFont="1" applyBorder="1" applyAlignment="1">
      <alignment horizontal="right"/>
    </xf>
    <xf numFmtId="9" fontId="0" fillId="0" borderId="30" xfId="1" applyNumberFormat="1" applyFont="1" applyBorder="1" applyAlignment="1">
      <alignment horizontal="center"/>
    </xf>
    <xf numFmtId="43" fontId="0" fillId="0" borderId="30" xfId="0" applyNumberFormat="1" applyBorder="1" applyAlignment="1">
      <alignment horizontal="right"/>
    </xf>
    <xf numFmtId="37" fontId="0" fillId="0" borderId="32" xfId="1" applyNumberFormat="1" applyFont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49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color theme="0"/>
      </font>
    </dxf>
    <dxf>
      <fill>
        <patternFill patternType="solid">
          <bgColor theme="3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5" formatCode="_(* #,##0_);_(* \(#,##0\);_(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numFmt numFmtId="165" formatCode="_(* #,##0_);_(* \(#,##0\);_(* &quot;-&quot;??_);_(@_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 tint="0.14999847407452621"/>
        </patternFill>
      </fill>
    </dxf>
    <dxf>
      <font>
        <sz val="10"/>
      </font>
    </dxf>
    <dxf>
      <numFmt numFmtId="165" formatCode="_(* #,##0_);_(* \(#,##0\);_(* &quot;-&quot;??_);_(@_)"/>
    </dxf>
    <dxf>
      <fill>
        <patternFill patternType="solid">
          <bgColor rgb="FF0070C0"/>
        </patternFill>
      </fill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024-03-23_Production%20Data%20Sheet.xlsx" TargetMode="External"/><Relationship Id="rId1" Type="http://schemas.openxmlformats.org/officeDocument/2006/relationships/externalLinkPath" Target="file:///Z:\2024-03-23_Production%20Data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"/>
      <sheetName val="Purchase"/>
      <sheetName val="Consumption"/>
      <sheetName val="Balance"/>
      <sheetName val="Insulation"/>
      <sheetName val="Scrap"/>
      <sheetName val="Customer Name"/>
      <sheetName val="Raw material"/>
      <sheetName val="Product"/>
      <sheetName val="Supplier"/>
      <sheetName val="Ma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>Final List</v>
          </cell>
        </row>
        <row r="2">
          <cell r="D2" t="str">
            <v>120gsm Slit 22G</v>
          </cell>
        </row>
        <row r="3">
          <cell r="D3" t="str">
            <v/>
          </cell>
        </row>
        <row r="4">
          <cell r="D4" t="str">
            <v/>
          </cell>
        </row>
        <row r="5">
          <cell r="D5" t="str">
            <v/>
          </cell>
        </row>
        <row r="6">
          <cell r="D6" t="str">
            <v/>
          </cell>
        </row>
        <row r="7">
          <cell r="D7" t="str">
            <v/>
          </cell>
        </row>
        <row r="8">
          <cell r="D8" t="str">
            <v/>
          </cell>
        </row>
        <row r="9">
          <cell r="D9" t="str">
            <v/>
          </cell>
        </row>
        <row r="10">
          <cell r="D10" t="str">
            <v/>
          </cell>
        </row>
        <row r="11">
          <cell r="D11" t="str">
            <v/>
          </cell>
        </row>
        <row r="12">
          <cell r="D12" t="str">
            <v/>
          </cell>
        </row>
        <row r="13">
          <cell r="D13" t="str">
            <v/>
          </cell>
        </row>
        <row r="14">
          <cell r="D14" t="str">
            <v/>
          </cell>
        </row>
        <row r="15">
          <cell r="D15" t="str">
            <v/>
          </cell>
        </row>
        <row r="16">
          <cell r="D16" t="str">
            <v/>
          </cell>
        </row>
        <row r="17">
          <cell r="D17" t="str">
            <v/>
          </cell>
        </row>
        <row r="18">
          <cell r="D18" t="str">
            <v/>
          </cell>
        </row>
        <row r="19">
          <cell r="D19" t="str">
            <v/>
          </cell>
        </row>
        <row r="20">
          <cell r="D20" t="str">
            <v/>
          </cell>
        </row>
        <row r="21">
          <cell r="D21" t="str">
            <v/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  <row r="41">
          <cell r="D41" t="str">
            <v/>
          </cell>
        </row>
        <row r="42">
          <cell r="D42" t="str">
            <v/>
          </cell>
        </row>
        <row r="43">
          <cell r="D43" t="str">
            <v/>
          </cell>
        </row>
        <row r="44">
          <cell r="D44" t="str">
            <v/>
          </cell>
        </row>
        <row r="45">
          <cell r="D45" t="str">
            <v/>
          </cell>
        </row>
        <row r="46">
          <cell r="D46" t="str">
            <v/>
          </cell>
        </row>
        <row r="47">
          <cell r="D47" t="str">
            <v/>
          </cell>
        </row>
        <row r="48">
          <cell r="D48" t="str">
            <v/>
          </cell>
        </row>
        <row r="49">
          <cell r="D49" t="str">
            <v/>
          </cell>
        </row>
        <row r="50">
          <cell r="D50" t="str">
            <v/>
          </cell>
        </row>
        <row r="51">
          <cell r="D51" t="str">
            <v/>
          </cell>
        </row>
        <row r="52">
          <cell r="D52" t="str">
            <v/>
          </cell>
        </row>
        <row r="53">
          <cell r="D53" t="str">
            <v/>
          </cell>
        </row>
        <row r="54">
          <cell r="D54" t="str">
            <v/>
          </cell>
        </row>
        <row r="55">
          <cell r="D55" t="str">
            <v/>
          </cell>
        </row>
        <row r="56">
          <cell r="D56" t="str">
            <v/>
          </cell>
        </row>
        <row r="57">
          <cell r="D57" t="str">
            <v/>
          </cell>
        </row>
        <row r="58">
          <cell r="D58" t="str">
            <v/>
          </cell>
        </row>
        <row r="59">
          <cell r="D59" t="str">
            <v/>
          </cell>
        </row>
        <row r="60">
          <cell r="D60" t="str">
            <v/>
          </cell>
        </row>
        <row r="61">
          <cell r="D61" t="str">
            <v/>
          </cell>
        </row>
        <row r="62">
          <cell r="D62" t="str">
            <v/>
          </cell>
        </row>
        <row r="63">
          <cell r="D63" t="str">
            <v/>
          </cell>
        </row>
        <row r="64">
          <cell r="D64" t="str">
            <v/>
          </cell>
        </row>
        <row r="65">
          <cell r="D65" t="str">
            <v/>
          </cell>
        </row>
        <row r="66">
          <cell r="D66" t="str">
            <v/>
          </cell>
        </row>
        <row r="67">
          <cell r="D67" t="str">
            <v/>
          </cell>
        </row>
        <row r="68">
          <cell r="D68" t="str">
            <v/>
          </cell>
        </row>
        <row r="69">
          <cell r="D69" t="str">
            <v/>
          </cell>
        </row>
        <row r="70">
          <cell r="D70" t="str">
            <v/>
          </cell>
        </row>
        <row r="71">
          <cell r="D71" t="str">
            <v/>
          </cell>
        </row>
        <row r="72">
          <cell r="D72" t="str">
            <v/>
          </cell>
        </row>
        <row r="73">
          <cell r="D73" t="str">
            <v/>
          </cell>
        </row>
        <row r="74">
          <cell r="D74" t="str">
            <v/>
          </cell>
        </row>
        <row r="75">
          <cell r="D75" t="str">
            <v/>
          </cell>
        </row>
        <row r="76">
          <cell r="D76" t="str">
            <v/>
          </cell>
        </row>
        <row r="77">
          <cell r="D77" t="str">
            <v/>
          </cell>
        </row>
        <row r="78">
          <cell r="D78" t="str">
            <v/>
          </cell>
        </row>
        <row r="79">
          <cell r="D79" t="str">
            <v/>
          </cell>
        </row>
        <row r="80">
          <cell r="D80" t="str">
            <v/>
          </cell>
        </row>
        <row r="81">
          <cell r="D81" t="str">
            <v/>
          </cell>
        </row>
        <row r="82">
          <cell r="D82" t="str">
            <v/>
          </cell>
        </row>
        <row r="83">
          <cell r="D83" t="str">
            <v/>
          </cell>
        </row>
        <row r="84">
          <cell r="D84" t="str">
            <v/>
          </cell>
        </row>
        <row r="85">
          <cell r="D85" t="str">
            <v/>
          </cell>
        </row>
        <row r="86">
          <cell r="D86" t="str">
            <v/>
          </cell>
        </row>
        <row r="87">
          <cell r="D87" t="str">
            <v/>
          </cell>
        </row>
        <row r="88">
          <cell r="D88" t="str">
            <v/>
          </cell>
        </row>
        <row r="89">
          <cell r="D89" t="str">
            <v/>
          </cell>
        </row>
        <row r="90">
          <cell r="D90" t="str">
            <v/>
          </cell>
        </row>
        <row r="91">
          <cell r="D91" t="str">
            <v/>
          </cell>
        </row>
        <row r="92">
          <cell r="D92" t="str">
            <v/>
          </cell>
        </row>
        <row r="93">
          <cell r="D93" t="str">
            <v/>
          </cell>
        </row>
        <row r="94">
          <cell r="D94" t="str">
            <v/>
          </cell>
        </row>
        <row r="95">
          <cell r="D95" t="str">
            <v/>
          </cell>
        </row>
        <row r="96">
          <cell r="D96" t="str">
            <v/>
          </cell>
        </row>
        <row r="97">
          <cell r="D97" t="str">
            <v/>
          </cell>
        </row>
        <row r="98">
          <cell r="D98" t="str">
            <v/>
          </cell>
        </row>
        <row r="99">
          <cell r="D99" t="str">
            <v/>
          </cell>
        </row>
        <row r="100">
          <cell r="D100" t="str">
            <v/>
          </cell>
        </row>
        <row r="101">
          <cell r="D101" t="str">
            <v/>
          </cell>
        </row>
        <row r="102">
          <cell r="D102" t="str">
            <v/>
          </cell>
        </row>
        <row r="103">
          <cell r="D103" t="str">
            <v/>
          </cell>
        </row>
        <row r="104">
          <cell r="D104" t="str">
            <v/>
          </cell>
        </row>
        <row r="105">
          <cell r="D105" t="str">
            <v/>
          </cell>
        </row>
        <row r="106">
          <cell r="D106" t="str">
            <v/>
          </cell>
        </row>
        <row r="107">
          <cell r="D107" t="str">
            <v/>
          </cell>
        </row>
        <row r="108">
          <cell r="D108" t="str">
            <v/>
          </cell>
        </row>
        <row r="109">
          <cell r="D109" t="str">
            <v/>
          </cell>
        </row>
        <row r="110">
          <cell r="D110" t="str">
            <v/>
          </cell>
        </row>
        <row r="111">
          <cell r="D111" t="str">
            <v/>
          </cell>
        </row>
        <row r="112">
          <cell r="D112" t="str">
            <v/>
          </cell>
        </row>
        <row r="113">
          <cell r="D113" t="str">
            <v/>
          </cell>
        </row>
        <row r="114">
          <cell r="D114" t="str">
            <v/>
          </cell>
        </row>
        <row r="115">
          <cell r="D115" t="str">
            <v/>
          </cell>
        </row>
        <row r="116">
          <cell r="D116" t="str">
            <v/>
          </cell>
        </row>
        <row r="117">
          <cell r="D117" t="str">
            <v/>
          </cell>
        </row>
        <row r="118">
          <cell r="D118" t="str">
            <v/>
          </cell>
        </row>
        <row r="119">
          <cell r="D119" t="str">
            <v/>
          </cell>
        </row>
        <row r="120">
          <cell r="D120" t="str">
            <v/>
          </cell>
        </row>
        <row r="121">
          <cell r="D121" t="str">
            <v/>
          </cell>
        </row>
        <row r="122">
          <cell r="D122" t="str">
            <v/>
          </cell>
        </row>
        <row r="123">
          <cell r="D123" t="str">
            <v/>
          </cell>
        </row>
        <row r="124">
          <cell r="D124" t="str">
            <v/>
          </cell>
        </row>
        <row r="125">
          <cell r="D125" t="str">
            <v/>
          </cell>
        </row>
        <row r="126">
          <cell r="D126" t="str">
            <v/>
          </cell>
        </row>
        <row r="127">
          <cell r="D127" t="str">
            <v/>
          </cell>
        </row>
        <row r="128">
          <cell r="D128" t="str">
            <v/>
          </cell>
        </row>
        <row r="129">
          <cell r="D129" t="str">
            <v/>
          </cell>
        </row>
        <row r="130">
          <cell r="D130" t="str">
            <v/>
          </cell>
        </row>
        <row r="131">
          <cell r="D131" t="str">
            <v/>
          </cell>
        </row>
        <row r="132">
          <cell r="D132" t="str">
            <v/>
          </cell>
        </row>
        <row r="133">
          <cell r="D133" t="str">
            <v/>
          </cell>
        </row>
        <row r="134">
          <cell r="D134" t="str">
            <v/>
          </cell>
        </row>
        <row r="135">
          <cell r="D135" t="str">
            <v/>
          </cell>
        </row>
        <row r="136">
          <cell r="D136" t="str">
            <v/>
          </cell>
        </row>
        <row r="137">
          <cell r="D137" t="str">
            <v/>
          </cell>
        </row>
        <row r="138">
          <cell r="D138" t="str">
            <v/>
          </cell>
        </row>
        <row r="139">
          <cell r="D139" t="str">
            <v/>
          </cell>
        </row>
        <row r="140">
          <cell r="D140" t="str">
            <v/>
          </cell>
        </row>
        <row r="141">
          <cell r="D141" t="str">
            <v/>
          </cell>
        </row>
        <row r="142">
          <cell r="D142" t="str">
            <v/>
          </cell>
        </row>
        <row r="143">
          <cell r="D143" t="str">
            <v/>
          </cell>
        </row>
        <row r="144">
          <cell r="D144" t="str">
            <v/>
          </cell>
        </row>
        <row r="145">
          <cell r="D145" t="str">
            <v/>
          </cell>
        </row>
        <row r="146">
          <cell r="D146" t="str">
            <v/>
          </cell>
        </row>
        <row r="147">
          <cell r="D147" t="str">
            <v/>
          </cell>
        </row>
        <row r="148">
          <cell r="D148" t="str">
            <v/>
          </cell>
        </row>
        <row r="149">
          <cell r="D149" t="str">
            <v/>
          </cell>
        </row>
        <row r="150">
          <cell r="D150" t="str">
            <v/>
          </cell>
        </row>
        <row r="151">
          <cell r="D151" t="str">
            <v/>
          </cell>
        </row>
        <row r="152">
          <cell r="D152" t="str">
            <v/>
          </cell>
        </row>
        <row r="153">
          <cell r="D153" t="str">
            <v/>
          </cell>
        </row>
        <row r="154">
          <cell r="D154" t="str">
            <v/>
          </cell>
        </row>
        <row r="155">
          <cell r="D155" t="str">
            <v/>
          </cell>
        </row>
        <row r="156">
          <cell r="D156" t="str">
            <v/>
          </cell>
        </row>
        <row r="157">
          <cell r="D157" t="str">
            <v/>
          </cell>
        </row>
        <row r="158">
          <cell r="D158" t="str">
            <v/>
          </cell>
        </row>
        <row r="159">
          <cell r="D159" t="str">
            <v/>
          </cell>
        </row>
        <row r="160">
          <cell r="D160" t="str">
            <v/>
          </cell>
        </row>
        <row r="161">
          <cell r="D161" t="str">
            <v/>
          </cell>
        </row>
        <row r="162">
          <cell r="D162" t="str">
            <v/>
          </cell>
        </row>
        <row r="163">
          <cell r="D163" t="str">
            <v/>
          </cell>
        </row>
        <row r="164">
          <cell r="D164" t="str">
            <v/>
          </cell>
        </row>
        <row r="165">
          <cell r="D165" t="str">
            <v/>
          </cell>
        </row>
        <row r="166">
          <cell r="D166" t="str">
            <v/>
          </cell>
        </row>
        <row r="167">
          <cell r="D167" t="str">
            <v/>
          </cell>
        </row>
        <row r="168">
          <cell r="D168" t="str">
            <v/>
          </cell>
        </row>
        <row r="169">
          <cell r="D169" t="str">
            <v/>
          </cell>
        </row>
        <row r="170">
          <cell r="D170" t="str">
            <v/>
          </cell>
        </row>
        <row r="171">
          <cell r="D171" t="str">
            <v/>
          </cell>
        </row>
        <row r="172">
          <cell r="D172" t="str">
            <v/>
          </cell>
        </row>
      </sheetData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51.622199189813" createdVersion="8" refreshedVersion="8" minRefreshableVersion="3" recordCount="730" xr:uid="{A41FDA11-92E4-41C9-859B-C0C8D8582A47}">
  <cacheSource type="worksheet">
    <worksheetSource ref="B3:U1012" sheet="IGR"/>
  </cacheSource>
  <cacheFields count="20">
    <cacheField name="MONTH" numFmtId="0">
      <sharedItems containsBlank="1" count="16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"/>
        <m/>
        <s v="  " u="1"/>
        <s v=" " u="1"/>
      </sharedItems>
    </cacheField>
    <cacheField name="Date" numFmtId="0">
      <sharedItems containsNonDate="0" containsDate="1" containsString="0" containsBlank="1" minDate="2025-04-02T00:00:00" maxDate="2026-04-01T00:00:00"/>
    </cacheField>
    <cacheField name="IGR NO" numFmtId="0">
      <sharedItems containsBlank="1"/>
    </cacheField>
    <cacheField name="Invoice no &amp; date" numFmtId="0">
      <sharedItems containsBlank="1" containsMixedTypes="1" containsNumber="1" containsInteger="1" minValue="0" maxValue="0"/>
    </cacheField>
    <cacheField name="PO number" numFmtId="0">
      <sharedItems containsBlank="1" containsMixedTypes="1" containsNumber="1" containsInteger="1" minValue="67" maxValue="571798206175"/>
    </cacheField>
    <cacheField name="Supplier name" numFmtId="0">
      <sharedItems containsBlank="1"/>
    </cacheField>
    <cacheField name="Description" numFmtId="0">
      <sharedItems containsBlank="1"/>
    </cacheField>
    <cacheField name="Guage" numFmtId="0">
      <sharedItems containsBlank="1"/>
    </cacheField>
    <cacheField name="Quantity" numFmtId="0">
      <sharedItems containsString="0" containsBlank="1" containsNumber="1" minValue="0.14799999999999999" maxValue="50000"/>
    </cacheField>
    <cacheField name="Price" numFmtId="0">
      <sharedItems containsString="0" containsBlank="1" containsNumber="1" minValue="1" maxValue="880500"/>
    </cacheField>
    <cacheField name="Material value" numFmtId="0">
      <sharedItems containsString="0" containsBlank="1" containsNumber="1" minValue="2" maxValue="2013134.6"/>
    </cacheField>
    <cacheField name="Transport" numFmtId="0">
      <sharedItems containsString="0" containsBlank="1" containsNumber="1" minValue="0" maxValue="58000"/>
    </cacheField>
    <cacheField name="Labour Charges" numFmtId="0">
      <sharedItems containsString="0" containsBlank="1" containsNumber="1" minValue="0" maxValue="2107"/>
    </cacheField>
    <cacheField name="Taxable value" numFmtId="37">
      <sharedItems containsString="0" containsBlank="1" containsNumber="1" minValue="2" maxValue="2030174.6"/>
    </cacheField>
    <cacheField name="Taxable Rate" numFmtId="0">
      <sharedItems containsString="0" containsBlank="1" containsNumber="1" minValue="0" maxValue="0.18"/>
    </cacheField>
    <cacheField name="Igst @18%" numFmtId="0">
      <sharedItems containsString="0" containsBlank="1" containsNumber="1" minValue="0" maxValue="316980"/>
    </cacheField>
    <cacheField name="cgst @9%" numFmtId="0">
      <sharedItems containsString="0" containsBlank="1" containsNumber="1" minValue="0" maxValue="182715.71400000004"/>
    </cacheField>
    <cacheField name="Sgst @9%" numFmtId="0">
      <sharedItems containsBlank="1" containsMixedTypes="1" containsNumber="1" minValue="0" maxValue="182715.71400000004"/>
    </cacheField>
    <cacheField name="TCS 0.1%" numFmtId="0">
      <sharedItems containsString="0" containsBlank="1" containsNumber="1" containsInteger="1" minValue="0" maxValue="0"/>
    </cacheField>
    <cacheField name="Invoice Value" numFmtId="37">
      <sharedItems containsString="0" containsBlank="1" containsNumber="1" minValue="2.3600000000000003" maxValue="2395606.028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51.622218287041" createdVersion="8" refreshedVersion="8" minRefreshableVersion="3" recordCount="547" xr:uid="{04CE3189-DC8D-4AC7-9824-298EFCE984C9}">
  <cacheSource type="worksheet">
    <worksheetSource ref="B3:O1128" sheet="BPR"/>
  </cacheSource>
  <cacheFields count="14">
    <cacheField name="MONTH" numFmtId="0">
      <sharedItems containsBlank="1" count="15">
        <s v="April"/>
        <s v="May"/>
        <s v="June"/>
        <s v="July"/>
        <s v="August"/>
        <s v="September"/>
        <s v="October"/>
        <s v="November"/>
        <s v="December"/>
        <s v=""/>
        <s v="January"/>
        <s v="February"/>
        <s v="March"/>
        <m/>
        <s v=" " u="1"/>
      </sharedItems>
    </cacheField>
    <cacheField name="Date" numFmtId="0">
      <sharedItems containsNonDate="0" containsDate="1" containsString="0" containsBlank="1" minDate="2025-04-02T00:00:00" maxDate="2026-04-01T00:00:00"/>
    </cacheField>
    <cacheField name="BPR NO " numFmtId="0">
      <sharedItems containsBlank="1"/>
    </cacheField>
    <cacheField name="Contractor name" numFmtId="0">
      <sharedItems containsBlank="1"/>
    </cacheField>
    <cacheField name="Invoice no &amp; date" numFmtId="0">
      <sharedItems containsBlank="1" containsMixedTypes="1" containsNumber="1" containsInteger="1" minValue="1" maxValue="1243199021954"/>
    </cacheField>
    <cacheField name="Particulars" numFmtId="0">
      <sharedItems containsBlank="1"/>
    </cacheField>
    <cacheField name="Description" numFmtId="0">
      <sharedItems containsBlank="1"/>
    </cacheField>
    <cacheField name="Taxable value" numFmtId="0">
      <sharedItems containsString="0" containsBlank="1" containsNumber="1" minValue="295.89999999999998" maxValue="745535"/>
    </cacheField>
    <cacheField name="Taxable Rate" numFmtId="0">
      <sharedItems containsString="0" containsBlank="1" containsNumber="1" minValue="0" maxValue="0.28000000000000003"/>
    </cacheField>
    <cacheField name="IGST @18%" numFmtId="0">
      <sharedItems containsBlank="1" containsMixedTypes="1" containsNumber="1" minValue="0" maxValue="5424.84"/>
    </cacheField>
    <cacheField name="cgst @9%" numFmtId="0">
      <sharedItems containsString="0" containsBlank="1" containsNumber="1" minValue="0" maxValue="67098.149999999994"/>
    </cacheField>
    <cacheField name="Sgst @9%" numFmtId="0">
      <sharedItems containsString="0" containsBlank="1" containsNumber="1" minValue="0" maxValue="67098.149999999994"/>
    </cacheField>
    <cacheField name="Invoice Value" numFmtId="0">
      <sharedItems containsString="0" containsBlank="1" containsNumber="1" minValue="349.16199999999992" maxValue="879731.3"/>
    </cacheField>
    <cacheField name="Remar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51.62223645833" createdVersion="8" refreshedVersion="8" minRefreshableVersion="3" recordCount="589" xr:uid="{7C2704FB-1FF2-4BF3-A72B-E0836C45C5D3}">
  <cacheSource type="worksheet">
    <worksheetSource ref="A3:G1078" sheet="Petty Cash "/>
  </cacheSource>
  <cacheFields count="7">
    <cacheField name="SI NO" numFmtId="0">
      <sharedItems containsBlank="1" containsMixedTypes="1" containsNumber="1" containsInteger="1" minValue="1" maxValue="457"/>
    </cacheField>
    <cacheField name="MONTH" numFmtId="0">
      <sharedItems containsBlank="1" count="16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 "/>
        <s v=""/>
        <m/>
        <s v="Agust" u="1"/>
      </sharedItems>
    </cacheField>
    <cacheField name="Date" numFmtId="0">
      <sharedItems containsDate="1" containsBlank="1" containsMixedTypes="1" minDate="2025-04-04T00:00:00" maxDate="2026-04-01T00:00:00"/>
    </cacheField>
    <cacheField name="Voucher No" numFmtId="0">
      <sharedItems containsBlank="1" longText="1"/>
    </cacheField>
    <cacheField name="Paid To" numFmtId="0">
      <sharedItems containsBlank="1"/>
    </cacheField>
    <cacheField name="Description" numFmtId="0">
      <sharedItems containsBlank="1"/>
    </cacheField>
    <cacheField name="Voucher Value" numFmtId="166">
      <sharedItems containsString="0" containsBlank="1" containsNumber="1" containsInteger="1" minValue="100" maxValue="89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">
  <r>
    <x v="0"/>
    <d v="2025-04-02T00:00:00"/>
    <s v="001/25-26"/>
    <s v="ID325000318/02-04-2025"/>
    <m/>
    <s v="Misumi India Pvt Ltd"/>
    <s v="Toggle Clamps/-STK "/>
    <m/>
    <n v="1"/>
    <n v="880.52"/>
    <n v="880.52"/>
    <n v="0"/>
    <n v="0"/>
    <n v="880.52"/>
    <n v="0.18"/>
    <n v="0"/>
    <n v="79.246800000000007"/>
    <n v="79.246800000000007"/>
    <n v="0"/>
    <n v="1039.0136"/>
  </r>
  <r>
    <x v="0"/>
    <d v="2025-04-07T00:00:00"/>
    <s v="002/25-26"/>
    <s v="002/05-04-2025"/>
    <m/>
    <s v="Shri Sumukha Industries"/>
    <s v="Spm Machine Spare Parts"/>
    <m/>
    <n v="1"/>
    <n v="42000"/>
    <n v="42000"/>
    <n v="0"/>
    <n v="0"/>
    <n v="42000"/>
    <n v="0.18"/>
    <n v="0"/>
    <n v="3780"/>
    <n v="3780"/>
    <n v="0"/>
    <n v="49560"/>
  </r>
  <r>
    <x v="0"/>
    <d v="2025-04-05T00:00:00"/>
    <s v="003/25-26"/>
    <s v="KM/05521/2025-26/05-04-2025"/>
    <s v="0003/2025-26"/>
    <s v="Kothari Metals"/>
    <s v="Aluminium Coils (0.71x1220) in Mts"/>
    <s v="Alu. 0.8mm"/>
    <n v="2.0339999999999998"/>
    <n v="315123.89"/>
    <n v="640961.99225999997"/>
    <n v="4650"/>
    <n v="638"/>
    <n v="646249.99225999997"/>
    <n v="0.18"/>
    <n v="0"/>
    <n v="58162.499303399993"/>
    <n v="58162.499303399993"/>
    <n v="0"/>
    <n v="762574.99086680007"/>
  </r>
  <r>
    <x v="0"/>
    <d v="2025-04-07T00:00:00"/>
    <s v="004/25-26"/>
    <s v="HA081/7-04-2025"/>
    <s v="0154/2024-25"/>
    <s v="Aloukik Agencies"/>
    <s v="Nitrile 19mmx1200mmx10MTRS ALU FOIL Class o (In Sqm) 10 Roll"/>
    <m/>
    <n v="120"/>
    <n v="297"/>
    <n v="35640"/>
    <n v="1500"/>
    <n v="0"/>
    <n v="37140"/>
    <n v="0.18"/>
    <n v="6685.2"/>
    <n v="0"/>
    <n v="0"/>
    <n v="0"/>
    <n v="43825.2"/>
  </r>
  <r>
    <x v="0"/>
    <d v="2025-04-08T00:00:00"/>
    <s v="005/25-26"/>
    <s v="H22500000291/07-04-2025"/>
    <s v="0155/2024-25"/>
    <s v="The Supreme Industries Ltd"/>
    <s v="Insuflex 09mm x 1200mm Class O (In Sqm) 74 Pkg"/>
    <m/>
    <n v="1776"/>
    <n v="101"/>
    <n v="179376"/>
    <n v="0"/>
    <n v="0"/>
    <n v="179376"/>
    <n v="0.18"/>
    <n v="32287.68"/>
    <n v="0"/>
    <n v="0"/>
    <n v="0"/>
    <n v="211663.68"/>
  </r>
  <r>
    <x v="0"/>
    <d v="2025-04-08T00:00:00"/>
    <s v="006/25-26"/>
    <s v="HA096/08-04-2025"/>
    <n v="571798206175"/>
    <s v="Aloukik Agencies"/>
    <s v="Nitrile 13mmx1200mmx14MTRS ALU FOIL Class o (In Sqm) 15 Roll (In Sqm)"/>
    <m/>
    <n v="252"/>
    <n v="221"/>
    <n v="55692"/>
    <n v="2500"/>
    <n v="0"/>
    <n v="58192"/>
    <n v="0.18"/>
    <n v="10474.56"/>
    <n v="0"/>
    <n v="0"/>
    <n v="0"/>
    <n v="68666.559999999998"/>
  </r>
  <r>
    <x v="0"/>
    <d v="2025-04-08T00:00:00"/>
    <s v="006/25-26"/>
    <s v="HA096/08-04-2025"/>
    <n v="571798206175"/>
    <s v="Aloukik Agencies"/>
    <s v="Insusound 15mmx1000mmx1000m BLK (10 Boxes)"/>
    <m/>
    <n v="80"/>
    <n v="613"/>
    <n v="49040"/>
    <n v="0"/>
    <n v="0"/>
    <n v="49040"/>
    <n v="0.18"/>
    <n v="8827.2000000000007"/>
    <n v="0"/>
    <n v="0"/>
    <n v="0"/>
    <n v="57867.199999999997"/>
  </r>
  <r>
    <x v="0"/>
    <d v="2025-04-10T00:00:00"/>
    <s v="007/25-26"/>
    <s v="M12500000069/05-04-2025"/>
    <s v="Mail "/>
    <s v="The Supreme Industries Ltd"/>
    <s v="Insu Sound BN 15 MMx (1x1)M (188 Pkg) In Sqm"/>
    <m/>
    <n v="1504"/>
    <n v="555"/>
    <n v="834720"/>
    <n v="0"/>
    <n v="0"/>
    <n v="834720"/>
    <n v="0.18"/>
    <n v="150249.60000000001"/>
    <n v="0"/>
    <n v="0"/>
    <n v="0"/>
    <n v="984969.6"/>
  </r>
  <r>
    <x v="0"/>
    <d v="2025-04-10T00:00:00"/>
    <s v="008/25-26"/>
    <s v="8339/07-04-2025"/>
    <s v="0150/2024-25"/>
    <s v="Thoro Buildcare"/>
    <s v="13mm Thermobreak/Foil LS 1200mm x 20m (10 Rolls) In Sqm"/>
    <m/>
    <n v="240"/>
    <n v="385"/>
    <n v="92400"/>
    <n v="12000"/>
    <n v="0"/>
    <n v="104400"/>
    <n v="0.18"/>
    <n v="18792"/>
    <n v="0"/>
    <n v="0"/>
    <n v="0"/>
    <n v="123192"/>
  </r>
  <r>
    <x v="0"/>
    <d v="2025-04-11T00:00:00"/>
    <s v="009/25-26"/>
    <s v="47708/11-04-2025"/>
    <s v="0148/2024-25"/>
    <s v="J.R &amp; Company"/>
    <s v="GP Slit Coil (0.80 x 137 x C) 16 Nos (In MT)"/>
    <s v="120gsm Slit 22G"/>
    <n v="11.175000000000001"/>
    <n v="70500"/>
    <n v="787837.5"/>
    <n v="7200"/>
    <n v="0"/>
    <n v="795037.5"/>
    <n v="0.18"/>
    <n v="0"/>
    <n v="71553.375"/>
    <n v="71553.375"/>
    <n v="0"/>
    <n v="938144.25"/>
  </r>
  <r>
    <x v="0"/>
    <d v="2025-04-11T00:00:00"/>
    <s v="009/25-26"/>
    <s v="47708/11-04-2025"/>
    <s v="0148/2024-25"/>
    <s v="J.R &amp; Company"/>
    <s v="GP Slit Coil (0.80 x 100 x C) 2 Nos (In MT)"/>
    <s v="120gsm Slit 22G"/>
    <n v="1.02"/>
    <n v="70500"/>
    <n v="71910"/>
    <n v="0"/>
    <n v="0"/>
    <n v="71910"/>
    <n v="0.18"/>
    <n v="0"/>
    <n v="6471.9"/>
    <n v="6471.9"/>
    <n v="0"/>
    <n v="84853.799999999988"/>
  </r>
  <r>
    <x v="0"/>
    <d v="2025-04-12T00:00:00"/>
    <s v="010/25-26"/>
    <s v="47718/12-04-2025"/>
    <s v="0142/2024-25"/>
    <s v="J.R &amp; Company"/>
    <s v="GP Slit Coil (0.60 x 137 x C) 12 Nos (In MT)"/>
    <s v="120gsm Slit 24G"/>
    <n v="8.5500000000000007"/>
    <n v="68250"/>
    <n v="583537.5"/>
    <n v="4700"/>
    <n v="0"/>
    <n v="588237.5"/>
    <n v="0.18"/>
    <n v="0"/>
    <n v="52941.375"/>
    <n v="52941.375"/>
    <n v="0"/>
    <n v="694120.25"/>
  </r>
  <r>
    <x v="0"/>
    <d v="2025-04-12T00:00:00"/>
    <s v="010/25-26"/>
    <s v="47718/12-04-2025"/>
    <s v="0142/2024-25"/>
    <s v="J.R &amp; Company"/>
    <s v="GP Slit Coil (0.60 x 100 x C) 2 Nos (In MT)"/>
    <s v="120gsm Slit 24G"/>
    <n v="0.77"/>
    <n v="68250"/>
    <n v="52552.5"/>
    <n v="0"/>
    <n v="0"/>
    <n v="52552.5"/>
    <n v="0.18"/>
    <n v="0"/>
    <n v="4729.7250000000004"/>
    <n v="4729.7250000000004"/>
    <n v="0"/>
    <n v="62011.95"/>
  </r>
  <r>
    <x v="0"/>
    <d v="2025-04-12T00:00:00"/>
    <s v="011/25-26"/>
    <s v="SAI400/25-26"/>
    <s v="0009/2025-26"/>
    <s v="Sri Arihant Industries"/>
    <s v="Kflex St Sheet 13mm CL-O AluFoil (9 Roll) In Sqm"/>
    <m/>
    <n v="151.19999999999999"/>
    <n v="243"/>
    <n v="36741.599999999999"/>
    <n v="4800"/>
    <n v="0"/>
    <n v="41541.599999999999"/>
    <n v="0.18"/>
    <n v="0"/>
    <n v="3738.7439999999997"/>
    <n v="3738.7439999999997"/>
    <n v="0"/>
    <n v="49019.087999999996"/>
  </r>
  <r>
    <x v="0"/>
    <d v="2025-04-12T00:00:00"/>
    <s v="011/25-26"/>
    <s v="SAI400/25-26"/>
    <s v="0009/2025-26"/>
    <s v="Sri Arihant Industries"/>
    <s v="Kflex St Sheet 19mm CL-O AluFoil (5 Roll) In Sqm"/>
    <m/>
    <n v="60"/>
    <n v="320"/>
    <n v="19200"/>
    <n v="0"/>
    <n v="0"/>
    <n v="19200"/>
    <n v="0.18"/>
    <n v="0"/>
    <n v="1728"/>
    <n v="1728"/>
    <n v="0"/>
    <n v="22656"/>
  </r>
  <r>
    <x v="0"/>
    <d v="2025-04-12T00:00:00"/>
    <s v="011/25-26"/>
    <s v="SAI400/25-26"/>
    <s v="0009/2025-26"/>
    <s v="Sri Arihant Industries"/>
    <s v="Kflex St Sheet 13mm CL-O IC Clad (10 Roll) In Sqm"/>
    <m/>
    <n v="168"/>
    <n v="348"/>
    <n v="58464"/>
    <n v="0"/>
    <n v="0"/>
    <n v="58464"/>
    <n v="0.18"/>
    <n v="0"/>
    <n v="5261.76"/>
    <n v="5261.76"/>
    <n v="0"/>
    <n v="68987.520000000004"/>
  </r>
  <r>
    <x v="0"/>
    <d v="2025-04-12T00:00:00"/>
    <s v="011/25-26"/>
    <s v="SAI400/25-26"/>
    <s v="0009/2025-26"/>
    <s v="Sri Arihant Industries"/>
    <s v="Kflex St Sheet 93mm CL-O IC Clad (5 Roll) In Sqm"/>
    <m/>
    <n v="60"/>
    <n v="425"/>
    <n v="25500"/>
    <n v="0"/>
    <n v="0"/>
    <n v="25500"/>
    <n v="0.18"/>
    <n v="0"/>
    <n v="2295"/>
    <n v="2295"/>
    <n v="0"/>
    <n v="30090"/>
  </r>
  <r>
    <x v="0"/>
    <d v="2025-04-16T00:00:00"/>
    <s v="012/25-26"/>
    <s v="2526MSC0176/16-04-2025"/>
    <s v="0008/25-26"/>
    <s v="Meenakshi Steel Corporation"/>
    <s v="GI Coil/Sheet (0.80x200mm-2) In Kgs"/>
    <s v="120gsm Slit 22G"/>
    <n v="1600"/>
    <n v="72.25"/>
    <n v="115600"/>
    <n v="10900"/>
    <n v="0"/>
    <n v="126500"/>
    <n v="0.18"/>
    <n v="0"/>
    <n v="11385"/>
    <n v="11385"/>
    <n v="0"/>
    <n v="149270"/>
  </r>
  <r>
    <x v="0"/>
    <d v="2025-04-16T00:00:00"/>
    <s v="012/25-26"/>
    <s v="2526MSC0176/16-04-2025"/>
    <s v="0008/25-26"/>
    <s v="Meenakshi Steel Corporation"/>
    <s v="0.80 x 240 mm - 3"/>
    <s v="120gsm Slit 22G"/>
    <n v="2910"/>
    <n v="72.25"/>
    <n v="210247.5"/>
    <n v="0"/>
    <n v="0"/>
    <n v="210247.5"/>
    <n v="0.18"/>
    <n v="0"/>
    <n v="18922.275000000001"/>
    <n v="18922.275000000001"/>
    <n v="0"/>
    <n v="248092.05"/>
  </r>
  <r>
    <x v="0"/>
    <d v="2025-04-16T00:00:00"/>
    <s v="012/25-26"/>
    <s v="2526MSC0176/16-04-2025"/>
    <s v="0008/25-26"/>
    <s v="Meenakshi Steel Corporation"/>
    <s v="0.80 x 100 mm - 1"/>
    <s v="120gsm Slit 22G"/>
    <n v="420"/>
    <n v="72.25"/>
    <n v="30345"/>
    <n v="0"/>
    <n v="0"/>
    <n v="30345"/>
    <n v="0.18"/>
    <n v="0"/>
    <n v="2731.05"/>
    <n v="2731.05"/>
    <n v="0"/>
    <n v="35807.100000000006"/>
  </r>
  <r>
    <x v="0"/>
    <d v="2025-04-16T00:00:00"/>
    <s v="012/25-26"/>
    <s v="2526MSC0176/16-04-2025"/>
    <s v="0008/25-26"/>
    <s v="Meenakshi Steel Corporation"/>
    <s v="0.80 x 228 mm - 4"/>
    <s v="120gsm Slit 22G"/>
    <n v="3685"/>
    <n v="72.25"/>
    <n v="266241.25"/>
    <n v="0"/>
    <n v="0"/>
    <n v="266241.25"/>
    <n v="0.18"/>
    <n v="0"/>
    <n v="23961.712500000001"/>
    <n v="23961.712500000001"/>
    <n v="0"/>
    <n v="314164.67500000005"/>
  </r>
  <r>
    <x v="0"/>
    <d v="2025-04-16T00:00:00"/>
    <s v="012/25-26"/>
    <s v="2526MSC0176/16-04-2025"/>
    <s v="0008/25-26"/>
    <s v="Meenakshi Steel Corporation"/>
    <s v="0.80 x 3058 mm -1"/>
    <s v="120gsm Slit 22G"/>
    <n v="1225"/>
    <n v="72.25"/>
    <n v="88506.25"/>
    <n v="0"/>
    <n v="0"/>
    <n v="88506.25"/>
    <n v="0.18"/>
    <n v="0"/>
    <n v="7965.5625"/>
    <n v="7965.5625"/>
    <n v="0"/>
    <n v="104437.375"/>
  </r>
  <r>
    <x v="0"/>
    <d v="2025-04-16T00:00:00"/>
    <s v="012/25-26"/>
    <s v="2526MSC0176/16-04-2025"/>
    <s v="0008/25-26"/>
    <s v="Meenakshi Steel Corporation"/>
    <s v="0.80 x 1250"/>
    <s v="120gsm 22G"/>
    <n v="5730"/>
    <n v="71.25"/>
    <n v="408262.5"/>
    <n v="0"/>
    <n v="0"/>
    <n v="408262.5"/>
    <n v="0.18"/>
    <n v="0"/>
    <n v="36743.625"/>
    <n v="36743.625"/>
    <n v="0"/>
    <n v="481749.75"/>
  </r>
  <r>
    <x v="0"/>
    <d v="2025-04-16T00:00:00"/>
    <s v="013/25-26"/>
    <s v="2526MSC0177/16-04-2025"/>
    <s v="0008/25-26"/>
    <s v="Meenakshi Steel Corporation"/>
    <s v="GI Coil/Sheet (0.60 x 137 mm - 18)  In Kgs"/>
    <s v="120gsm Slit 24G"/>
    <n v="11955"/>
    <n v="73.75"/>
    <n v="881681.25"/>
    <n v="12520"/>
    <n v="0"/>
    <n v="894201.25"/>
    <n v="0.18"/>
    <n v="0"/>
    <n v="80478.112500000003"/>
    <n v="80478.112500000003"/>
    <n v="0"/>
    <n v="1055157.4750000001"/>
  </r>
  <r>
    <x v="0"/>
    <d v="2025-04-16T00:00:00"/>
    <s v="013/25-26"/>
    <s v="2526MSC0177/16-04-2025"/>
    <s v="0008/25-26"/>
    <s v="Meenakshi Steel Corporation"/>
    <s v="0.80 x 1250"/>
    <s v="120gsm 22G"/>
    <n v="5925"/>
    <n v="71.25"/>
    <n v="422156.25"/>
    <n v="0"/>
    <n v="0"/>
    <n v="422156.25"/>
    <n v="0.18"/>
    <n v="0"/>
    <n v="37994.0625"/>
    <n v="37994.0625"/>
    <n v="0"/>
    <n v="498144.375"/>
  </r>
  <r>
    <x v="0"/>
    <d v="2025-04-17T00:00:00"/>
    <s v="014/25-26"/>
    <s v="KA/0162/25-26/17-04-2025"/>
    <s v="0010/2025-26"/>
    <s v="Cresco Industrial Products Pvt Ltd"/>
    <s v="13x1.2x25 Anti Microbia CL-o Sheet-Plain (20 Rolls) In SQm"/>
    <m/>
    <n v="600"/>
    <n v="166"/>
    <n v="99600"/>
    <n v="0"/>
    <n v="0"/>
    <n v="99600"/>
    <n v="0.18"/>
    <n v="0"/>
    <n v="8964"/>
    <n v="8964"/>
    <n v="0"/>
    <n v="117528"/>
  </r>
  <r>
    <x v="0"/>
    <d v="2025-04-17T00:00:00"/>
    <s v="015/25-26"/>
    <s v="KM/05568/2025-26/17-04-2025"/>
    <s v="0011/2025-26"/>
    <s v="Kothari Metals"/>
    <s v="Aluminium Coils (0.71x1220) in Mts"/>
    <s v="Alu. 0.8mm"/>
    <n v="4.1360999999999999"/>
    <n v="315000"/>
    <n v="1302871.5"/>
    <n v="7500"/>
    <n v="2107"/>
    <n v="1312478.5"/>
    <n v="0.18"/>
    <n v="0"/>
    <n v="118123.065"/>
    <n v="118123.065"/>
    <n v="0"/>
    <n v="1548724.63"/>
  </r>
  <r>
    <x v="0"/>
    <d v="2025-04-17T00:00:00"/>
    <s v="016/25-26"/>
    <s v="ITC03/17-04-2025"/>
    <s v="0012/2025-26"/>
    <s v="Ideal Tools Corporation "/>
    <s v="Chain Hoist 2 Ton (1 Phase) In Nos"/>
    <m/>
    <n v="2"/>
    <n v="34875"/>
    <n v="69750"/>
    <n v="0"/>
    <n v="0"/>
    <n v="69750"/>
    <n v="0.18"/>
    <n v="0"/>
    <n v="6277.5"/>
    <n v="6277.5"/>
    <n v="0"/>
    <n v="82305"/>
  </r>
  <r>
    <x v="0"/>
    <d v="2025-04-17T00:00:00"/>
    <s v="017/25-26"/>
    <s v="469/17-04-2025"/>
    <s v="0001/2025-2026"/>
    <s v="A V Power Technologies"/>
    <s v="AV Power Servo Voltage Stablizer with LCD Model"/>
    <m/>
    <n v="1"/>
    <n v="39900"/>
    <n v="39900"/>
    <n v="0"/>
    <n v="0"/>
    <n v="39900"/>
    <n v="0.18"/>
    <n v="0"/>
    <n v="3591"/>
    <n v="3591"/>
    <n v="0"/>
    <n v="47082"/>
  </r>
  <r>
    <x v="0"/>
    <d v="2025-04-17T00:00:00"/>
    <s v="017/25-26"/>
    <s v="469/17-04-2025"/>
    <s v="0001/2025-2026"/>
    <s v="A V Power Technologies"/>
    <s v="3 Phase 25 KVA with Isolation  Transformer"/>
    <m/>
    <n v="1"/>
    <n v="78000"/>
    <n v="78000"/>
    <n v="0"/>
    <n v="0"/>
    <n v="78000"/>
    <n v="0.18"/>
    <n v="0"/>
    <n v="7020"/>
    <n v="7020"/>
    <n v="0"/>
    <n v="92040"/>
  </r>
  <r>
    <x v="0"/>
    <d v="2025-04-21T00:00:00"/>
    <s v="018/25-26"/>
    <s v="M12500000516/16-04-2025"/>
    <s v="0004/2025-26"/>
    <s v="The Supreme Industries Ltd"/>
    <s v="Insuflex 13mm x 1200mmx Class O Alu (158 Pkg) In Sqm"/>
    <m/>
    <n v="2654.4"/>
    <n v="207"/>
    <n v="549460.80000000005"/>
    <n v="0"/>
    <n v="0"/>
    <n v="549460.80000000005"/>
    <n v="0.18"/>
    <n v="98902.944000000003"/>
    <n v="0"/>
    <n v="0"/>
    <n v="0"/>
    <n v="648363.74400000006"/>
  </r>
  <r>
    <x v="0"/>
    <d v="2025-04-21T00:00:00"/>
    <s v="019/25-26"/>
    <s v="M12500000523/16-04-2025"/>
    <s v="Mail "/>
    <s v="The Supreme Industries Ltd"/>
    <s v="Insuflex 09mm x 1200mm Class O (In Sqm) 141 Pkg"/>
    <m/>
    <n v="3384"/>
    <n v="101"/>
    <n v="341784"/>
    <n v="0"/>
    <n v="0"/>
    <n v="341784"/>
    <n v="0.18"/>
    <n v="61521.120000000003"/>
    <n v="0"/>
    <n v="0"/>
    <n v="0"/>
    <n v="403305.12"/>
  </r>
  <r>
    <x v="0"/>
    <d v="2025-04-21T00:00:00"/>
    <s v="020/25-26"/>
    <s v="25-26/0223/19-04-2025"/>
    <s v="0006/2025-26"/>
    <s v="Shree Jashraj Insulation Pvt Ltd"/>
    <s v="Armaflex with Microban Sheet COM-19mm/E 1.2 (166 Roll) In Sqm"/>
    <m/>
    <n v="1992"/>
    <n v="191"/>
    <n v="380472"/>
    <n v="50000"/>
    <n v="0"/>
    <n v="430472"/>
    <n v="0.18"/>
    <n v="0"/>
    <n v="38742.480000000003"/>
    <n v="38742.480000000003"/>
    <n v="0"/>
    <n v="507956.95999999996"/>
  </r>
  <r>
    <x v="0"/>
    <d v="2025-04-21T00:00:00"/>
    <s v="020/25-26"/>
    <s v="25-26/0223/19-04-2025"/>
    <s v="0006/2025-26"/>
    <s v="Shree Jashraj Insulation Pvt Ltd"/>
    <s v="Armasound Super Silence Sheet ASD-140-15 (42 Box)"/>
    <m/>
    <n v="504"/>
    <n v="455"/>
    <n v="229320"/>
    <n v="0"/>
    <n v="0"/>
    <n v="229320"/>
    <n v="0.18"/>
    <n v="0"/>
    <n v="20638.8"/>
    <n v="20638.8"/>
    <n v="0"/>
    <n v="270597.59999999998"/>
  </r>
  <r>
    <x v="0"/>
    <d v="2025-04-19T00:00:00"/>
    <s v="021/25-26"/>
    <s v="25-26/0224/19-04-2025"/>
    <s v="0006/2025-26"/>
    <s v="Shree Jashraj Insulation Pvt Ltd"/>
    <s v="Fevicol AC Duct King (30 Ltr) 17 Tn (In ltr)"/>
    <m/>
    <n v="510"/>
    <n v="235"/>
    <n v="119850"/>
    <n v="2000"/>
    <n v="0"/>
    <n v="121850"/>
    <n v="0.18"/>
    <n v="0"/>
    <n v="10966.5"/>
    <n v="10966.5"/>
    <n v="0"/>
    <n v="143783"/>
  </r>
  <r>
    <x v="0"/>
    <d v="2025-04-21T00:00:00"/>
    <s v="022/25-26"/>
    <s v="HA287/21-04-2025"/>
    <s v="0018/2025-26"/>
    <s v="Aloukik Agencies"/>
    <s v="Insusheild 13mmx1250mmx25MTRS Alu Foil (15 Rolls) In Sqm"/>
    <m/>
    <n v="468.75"/>
    <n v="198"/>
    <n v="92812.5"/>
    <n v="3000"/>
    <n v="0"/>
    <n v="95812.5"/>
    <n v="0.18"/>
    <n v="17246.25"/>
    <n v="0"/>
    <n v="0"/>
    <n v="0"/>
    <n v="113058.75"/>
  </r>
  <r>
    <x v="0"/>
    <d v="2025-04-21T00:00:00"/>
    <s v="023/25-26"/>
    <s v="042-2025-2026/21-04-2025"/>
    <s v="0156/2024-25"/>
    <s v="Sri Raghavendra Industries"/>
    <s v="Consumable Materials"/>
    <m/>
    <m/>
    <m/>
    <n v="70340"/>
    <n v="0"/>
    <n v="0"/>
    <n v="70340"/>
    <n v="0.18"/>
    <n v="0"/>
    <n v="6330.6"/>
    <n v="6330.6"/>
    <n v="0"/>
    <n v="83001.200000000012"/>
  </r>
  <r>
    <x v="0"/>
    <d v="2025-04-21T00:00:00"/>
    <s v="024/25-26"/>
    <s v="25-26/0239/21-04-2025"/>
    <s v="0016/2025-26"/>
    <s v="Shree Jashraj Insulation Pvt Ltd"/>
    <s v="Armasound Super Silence Sheet ASD-140-15 (17 Box) In Sqm"/>
    <m/>
    <n v="204"/>
    <n v="645"/>
    <n v="131580"/>
    <n v="2500"/>
    <n v="0"/>
    <n v="134080"/>
    <n v="0.18"/>
    <n v="0"/>
    <n v="12067.2"/>
    <n v="12067.2"/>
    <n v="0"/>
    <n v="158214.40000000002"/>
  </r>
  <r>
    <x v="0"/>
    <d v="2025-04-21T00:00:00"/>
    <s v="024/25-26"/>
    <s v="25-26/0239/21-04-2025"/>
    <s v="0016/2025-26"/>
    <s v="Shree Jashraj Insulation Pvt Ltd"/>
    <s v="Armasound Super Silence Sheet ASD-140-25 (4 Box) "/>
    <m/>
    <n v="28"/>
    <n v="1025"/>
    <n v="28700"/>
    <n v="0"/>
    <n v="0"/>
    <n v="28700"/>
    <n v="0.18"/>
    <n v="0"/>
    <n v="2583"/>
    <n v="2583"/>
    <n v="0"/>
    <n v="33866"/>
  </r>
  <r>
    <x v="0"/>
    <d v="2025-04-23T00:00:00"/>
    <s v="025/25-26"/>
    <s v="M12500000594/18-04-2025"/>
    <s v="0004/2025-26"/>
    <s v="The Supreme Industries Ltd"/>
    <s v="Insufex 19mmx1200mmxClass O Alu(100 PKG) In Sqm"/>
    <m/>
    <n v="1200"/>
    <n v="279"/>
    <n v="334800"/>
    <n v="0"/>
    <n v="0"/>
    <n v="334800"/>
    <n v="0.18"/>
    <n v="60264"/>
    <n v="0"/>
    <n v="0"/>
    <n v="0"/>
    <n v="395064"/>
  </r>
  <r>
    <x v="0"/>
    <d v="2025-04-23T00:00:00"/>
    <s v="025/25-26"/>
    <s v="M12500000594/18-04-2025"/>
    <s v="0004/2025-26"/>
    <s v="The Supreme Industries Ltd"/>
    <s v="Insufex 13mmx1200mmxClass O GC (40 PKG) In Sqm"/>
    <m/>
    <n v="672"/>
    <n v="304"/>
    <n v="204288"/>
    <n v="0"/>
    <n v="0"/>
    <n v="204288"/>
    <n v="0.18"/>
    <n v="36771.839999999997"/>
    <n v="0"/>
    <n v="0"/>
    <n v="0"/>
    <n v="241059.84"/>
  </r>
  <r>
    <x v="0"/>
    <d v="2025-04-23T00:00:00"/>
    <s v="025/25-26"/>
    <s v="M12500000594/18-04-2025"/>
    <s v="0004/2025-26"/>
    <s v="The Supreme Industries Ltd"/>
    <s v="Insufex 19mmx1200mmxClass O GC (114  PKG) In Sqm"/>
    <m/>
    <n v="1368"/>
    <n v="375"/>
    <n v="513000"/>
    <n v="0"/>
    <n v="0"/>
    <n v="513000"/>
    <n v="0.18"/>
    <n v="92340"/>
    <n v="0"/>
    <n v="0"/>
    <n v="0"/>
    <n v="605340"/>
  </r>
  <r>
    <x v="0"/>
    <d v="2025-04-23T00:00:00"/>
    <s v="026/25-26"/>
    <s v="8355/21-04-2025"/>
    <s v="0017/2025-26"/>
    <s v="Thoro Buildcare"/>
    <s v="13mm Thermobreak/Foil LS 1200mm x 20m (6 Rolls) In Sqm"/>
    <m/>
    <n v="144"/>
    <n v="385"/>
    <n v="55440"/>
    <n v="7500"/>
    <n v="0"/>
    <n v="62940"/>
    <n v="0.18"/>
    <n v="11329.2"/>
    <n v="0"/>
    <n v="0"/>
    <n v="0"/>
    <n v="74269.2"/>
  </r>
  <r>
    <x v="0"/>
    <d v="2025-04-23T00:00:00"/>
    <s v="026/25-26"/>
    <s v="8355/21-04-2025"/>
    <s v="0017/2025-26"/>
    <s v="Thoro Buildcare"/>
    <s v="50mm Aluminium Foil Tape LS-C (50mm * 50 m) 600 Rmtr ( 12 Tape)"/>
    <m/>
    <n v="12"/>
    <n v="540"/>
    <n v="6480"/>
    <n v="0"/>
    <n v="0"/>
    <n v="6480"/>
    <n v="0.18"/>
    <n v="1166.4000000000001"/>
    <n v="0"/>
    <n v="0"/>
    <n v="0"/>
    <n v="7646.4"/>
  </r>
  <r>
    <x v="0"/>
    <d v="2025-04-23T00:00:00"/>
    <s v="027/25-26"/>
    <s v="180/23-04-2025"/>
    <m/>
    <s v="Manoj Enterprises "/>
    <s v="Cotton Knitted Hand Gloves 80G Blue (300 Pairs ) "/>
    <m/>
    <n v="300"/>
    <n v="11"/>
    <n v="3300"/>
    <n v="0"/>
    <n v="0"/>
    <n v="3300"/>
    <n v="0.18"/>
    <n v="0"/>
    <n v="82.5"/>
    <n v="82.5"/>
    <n v="0"/>
    <n v="3465"/>
  </r>
  <r>
    <x v="0"/>
    <d v="2025-04-23T00:00:00"/>
    <s v="027/25-26"/>
    <s v="180/23-04-2025"/>
    <m/>
    <s v="Manoj Enterprises "/>
    <s v="Cotton Knitted Hand Gloves 90G Blue (200 Pairs ) "/>
    <m/>
    <n v="200"/>
    <n v="13"/>
    <n v="2600"/>
    <n v="0"/>
    <n v="0"/>
    <n v="2600"/>
    <n v="0.18"/>
    <n v="0"/>
    <n v="65"/>
    <n v="65"/>
    <n v="0"/>
    <n v="2730"/>
  </r>
  <r>
    <x v="0"/>
    <d v="2025-04-23T00:00:00"/>
    <s v="028/25-26"/>
    <s v="HRP/050/25-26/23-04-2025"/>
    <s v="0138/2024-25_1"/>
    <s v="HR Precisions"/>
    <s v="Damper Operating lever Squar ( Guage 1.00mm, Hole -10mm (In Nos )"/>
    <m/>
    <n v="4200"/>
    <n v="34"/>
    <n v="142800"/>
    <n v="0"/>
    <n v="0"/>
    <n v="142800"/>
    <n v="0.18"/>
    <n v="0"/>
    <n v="12852"/>
    <n v="12852"/>
    <n v="0"/>
    <n v="168504"/>
  </r>
  <r>
    <x v="0"/>
    <d v="2025-04-23T00:00:00"/>
    <s v="028/25-26"/>
    <s v="HRP/050/25-26/23-04-2025"/>
    <s v="0138/2024-25_1"/>
    <s v="HR Precisions"/>
    <s v="Supply of 20 G GSS Duct Corner Pieces "/>
    <m/>
    <n v="25250"/>
    <n v="6.5"/>
    <n v="164125"/>
    <n v="0"/>
    <n v="0"/>
    <n v="164125"/>
    <n v="0.18"/>
    <n v="0"/>
    <n v="14771.25"/>
    <n v="14771.25"/>
    <n v="0"/>
    <n v="193667.5"/>
  </r>
  <r>
    <x v="0"/>
    <d v="2025-04-23T00:00:00"/>
    <s v="029/25-26"/>
    <s v="MVDF/25-26/1754/23-04-2025`"/>
    <s v="0086/24-25"/>
    <s v="MVD Fasteners Pvt Ltd "/>
    <s v="Slotted Truss HD Screw 4.6 G M8x25 (In Nos)"/>
    <m/>
    <n v="12816"/>
    <n v="3.1"/>
    <n v="39729.599999999999"/>
    <n v="0"/>
    <n v="0"/>
    <n v="39729.599999999999"/>
    <n v="0.18"/>
    <n v="0"/>
    <n v="3575.6639999999998"/>
    <n v="3575.6639999999998"/>
    <n v="0"/>
    <n v="46880.927999999993"/>
  </r>
  <r>
    <x v="0"/>
    <d v="2025-04-23T00:00:00"/>
    <s v="029/25-26"/>
    <s v="MVDF/25-26/1754/23-04-2025`"/>
    <s v="0086/24-25"/>
    <s v="MVD Fasteners Pvt Ltd "/>
    <s v="Slotted Truss HD Screw 4.6 G M8x32 (In Nos)"/>
    <m/>
    <n v="7723"/>
    <n v="3.33"/>
    <n v="25717.59"/>
    <n v="0"/>
    <n v="0"/>
    <n v="25717.59"/>
    <n v="0.18"/>
    <n v="0"/>
    <n v="2314.5830999999998"/>
    <n v="2314.5830999999998"/>
    <n v="0"/>
    <n v="30346.7562"/>
  </r>
  <r>
    <x v="0"/>
    <d v="2025-04-23T00:00:00"/>
    <s v="030/25-26"/>
    <s v="2526MSC0263/23-04-2025"/>
    <s v="0008/25-26"/>
    <s v="Meenakshi Steel Corporation"/>
    <s v="Gi Coil/Sheet (0.60  x 1220 - 3-120 GSM) In Kgs "/>
    <s v="120gsm 24G"/>
    <n v="15840"/>
    <n v="72.75"/>
    <n v="1152360"/>
    <n v="11090"/>
    <n v="0"/>
    <n v="1163450"/>
    <n v="0.18"/>
    <n v="0"/>
    <n v="104710.5"/>
    <n v="104710.5"/>
    <n v="0"/>
    <n v="1372871"/>
  </r>
  <r>
    <x v="0"/>
    <d v="2025-04-24T00:00:00"/>
    <s v="031/25-26"/>
    <s v="ID325004016/21-04-2025"/>
    <m/>
    <s v="Misumi India Pvt Ltd"/>
    <s v="Toggle Clamps/-STK 3"/>
    <m/>
    <n v="2"/>
    <n v="880.52"/>
    <n v="1761.04"/>
    <n v="0"/>
    <n v="0"/>
    <n v="1761.04"/>
    <n v="0.18"/>
    <n v="0"/>
    <n v="158.49360000000001"/>
    <n v="158.49360000000001"/>
    <n v="0"/>
    <n v="2078.0272"/>
  </r>
  <r>
    <x v="0"/>
    <d v="2025-04-24T00:00:00"/>
    <s v="032/25-26"/>
    <s v="2526MSC0266/23-04-2025"/>
    <s v="0008/25-26"/>
    <s v="Meenakshi Steel Corporation"/>
    <s v="GI Coil / Sheet (0.60 x1220-2-120 GSM) In Kgs "/>
    <s v="120gsm 24G"/>
    <n v="11670"/>
    <n v="72.75"/>
    <n v="848992.5"/>
    <n v="19450"/>
    <n v="0"/>
    <n v="868442.5"/>
    <n v="0.18"/>
    <n v="0"/>
    <n v="78159.824999999997"/>
    <n v="78159.824999999997"/>
    <n v="0"/>
    <n v="1024762.1499999999"/>
  </r>
  <r>
    <x v="0"/>
    <d v="2025-04-24T00:00:00"/>
    <s v="032/25-26"/>
    <s v="2526MSC0266/23-04-2025"/>
    <s v="0008/25-26"/>
    <s v="Meenakshi Steel Corporation"/>
    <s v="GI Coil / Sheet (1.20 x1250-1-120 SPM) In Kgs "/>
    <s v="120spm 18G"/>
    <n v="5120"/>
    <n v="71.25"/>
    <n v="364800"/>
    <n v="0"/>
    <n v="0"/>
    <n v="364800"/>
    <n v="0.18"/>
    <n v="0"/>
    <n v="32832"/>
    <n v="32832"/>
    <n v="0"/>
    <n v="430464"/>
  </r>
  <r>
    <x v="0"/>
    <d v="2025-04-24T00:00:00"/>
    <s v="032/25-26"/>
    <s v="2526MSC0266/23-04-2025"/>
    <s v="0008/25-26"/>
    <s v="Meenakshi Steel Corporation"/>
    <s v="GI Coil / Sheet (1.00 x1220-1-120 GSM) In Kgs "/>
    <s v="120gsm 20G"/>
    <n v="5695"/>
    <n v="71.25"/>
    <n v="405768.75"/>
    <n v="0"/>
    <n v="0"/>
    <n v="405768.75"/>
    <n v="0.18"/>
    <n v="0"/>
    <n v="36519.1875"/>
    <n v="36519.1875"/>
    <n v="0"/>
    <n v="478807.125"/>
  </r>
  <r>
    <x v="0"/>
    <d v="2025-04-24T00:00:00"/>
    <s v="032/25-26"/>
    <s v="2526MSC0266/23-04-2025"/>
    <s v="0008/25-26"/>
    <s v="Meenakshi Steel Corporation"/>
    <s v="GI Coil/Sheet (1.00x137mm-8 &amp; 1.00x100mm-1)"/>
    <s v="120gsm Slit 20G"/>
    <n v="5295"/>
    <n v="72.25"/>
    <n v="382563.75"/>
    <n v="0"/>
    <n v="0"/>
    <n v="382563.75"/>
    <n v="0.18"/>
    <n v="0"/>
    <n v="34430.737500000003"/>
    <n v="34430.737500000003"/>
    <n v="0"/>
    <n v="451425.22499999998"/>
  </r>
  <r>
    <x v="0"/>
    <d v="2025-04-29T00:00:00"/>
    <s v="033/25-26"/>
    <s v="M12500000869/24-04-2025"/>
    <s v="0004/2025-26"/>
    <s v="The Supreme Industries Ltd"/>
    <s v="Insuflex 19mm x 1200mm x Class O Alu (56 Pkg) In Sqm"/>
    <m/>
    <n v="672"/>
    <n v="279"/>
    <n v="187488"/>
    <n v="0"/>
    <n v="0"/>
    <n v="187488"/>
    <n v="0.18"/>
    <n v="33747.839999999997"/>
    <n v="0"/>
    <n v="0"/>
    <n v="0"/>
    <n v="221235.84"/>
  </r>
  <r>
    <x v="0"/>
    <d v="2025-04-29T00:00:00"/>
    <s v="033/25-26"/>
    <s v="M12500000869/24-04-2025"/>
    <s v="0004/2025-26"/>
    <s v="The Supreme Industries Ltd"/>
    <s v="Insuflex 13mm x 1200mm x Class O (GC)  127 Pkg (In Sqm )"/>
    <m/>
    <n v="2133.6"/>
    <n v="304"/>
    <n v="648614.40000000002"/>
    <n v="0"/>
    <n v="0"/>
    <n v="648614.40000000002"/>
    <n v="0.18"/>
    <n v="116750.592"/>
    <n v="0"/>
    <n v="0"/>
    <n v="0"/>
    <n v="765364.99200000009"/>
  </r>
  <r>
    <x v="0"/>
    <d v="2025-04-29T00:00:00"/>
    <s v="033/25-26"/>
    <s v="M12500000869/24-04-2025"/>
    <s v="0004/2025-26"/>
    <s v="The Supreme Industries Ltd"/>
    <s v="Insuflex 19mm x 1200mm x Class O (GC) 78 Pkg "/>
    <m/>
    <n v="936"/>
    <n v="375"/>
    <n v="351000"/>
    <n v="0"/>
    <n v="0"/>
    <n v="351000"/>
    <n v="0.18"/>
    <n v="63180"/>
    <n v="0"/>
    <n v="0"/>
    <n v="0"/>
    <n v="414180"/>
  </r>
  <r>
    <x v="0"/>
    <d v="2025-04-30T00:00:00"/>
    <s v="034/25-26"/>
    <s v="MVDF/25-26/2166/27-04-2025"/>
    <s v="0086/2024-25"/>
    <s v="MVD Fasteners Pvt Ltd "/>
    <s v="Slotted Truss HD Screw 4.6 G M8x25 (In Nos)"/>
    <m/>
    <n v="4285"/>
    <n v="3.1"/>
    <n v="13283.5"/>
    <n v="0"/>
    <n v="0"/>
    <n v="13283.5"/>
    <n v="0.18"/>
    <n v="0"/>
    <n v="1195.5150000000001"/>
    <n v="1195.5150000000001"/>
    <n v="0"/>
    <n v="15674.529999999999"/>
  </r>
  <r>
    <x v="0"/>
    <d v="2025-04-30T00:00:00"/>
    <s v="034/25-26"/>
    <s v="MVDF/25-26/2166/27-04-2025"/>
    <s v="0086/2024-25"/>
    <s v="MVD Fasteners Pvt Ltd "/>
    <s v="Slotted Truss HD Screw 4.6 G M8x32 (In Nos)"/>
    <m/>
    <n v="4340"/>
    <n v="3.33"/>
    <n v="14452.2"/>
    <n v="0"/>
    <n v="0"/>
    <n v="14452.2"/>
    <n v="0.18"/>
    <n v="0"/>
    <n v="1300.6980000000001"/>
    <n v="1300.6980000000001"/>
    <n v="0"/>
    <n v="17053.596000000001"/>
  </r>
  <r>
    <x v="0"/>
    <d v="2025-04-28T00:00:00"/>
    <s v="035/25-26"/>
    <s v="51/2025-26/28-04-2025"/>
    <s v="Verbal"/>
    <s v="Emmanuels Electricals "/>
    <s v="11 KV Voltage Transformer (In Nos)"/>
    <m/>
    <n v="3"/>
    <n v="12500"/>
    <n v="37500"/>
    <n v="0"/>
    <n v="0"/>
    <n v="37500"/>
    <n v="0.18"/>
    <n v="0"/>
    <n v="3375"/>
    <n v="3375"/>
    <n v="0"/>
    <n v="44250"/>
  </r>
  <r>
    <x v="0"/>
    <d v="2025-04-29T00:00:00"/>
    <s v="036/25-26"/>
    <s v="HA419/29-04-2025"/>
    <s v="0154/2024-25"/>
    <s v="Aloukik Agencies"/>
    <s v="13mm x 1200mm x 14MTRS Class O (GC) 10 Rolls (In Sqm)"/>
    <m/>
    <n v="168"/>
    <n v="322"/>
    <n v="54096"/>
    <n v="0"/>
    <n v="0"/>
    <n v="54096"/>
    <n v="0.18"/>
    <n v="9737.2800000000007"/>
    <n v="0"/>
    <n v="0"/>
    <n v="0"/>
    <n v="63833.279999999999"/>
  </r>
  <r>
    <x v="0"/>
    <d v="2025-04-29T00:00:00"/>
    <s v="036/25-26"/>
    <s v="HA419/29-04-2025"/>
    <s v="0154/2024-25"/>
    <s v="Aloukik Agencies"/>
    <s v="19mm x 1200mm x 10MTRS Class O (GC) 2 Rolls "/>
    <m/>
    <n v="24"/>
    <n v="398"/>
    <n v="9552"/>
    <n v="0"/>
    <n v="0"/>
    <n v="9552"/>
    <n v="0.18"/>
    <n v="1719.36"/>
    <n v="0"/>
    <n v="0"/>
    <n v="0"/>
    <n v="11271.36"/>
  </r>
  <r>
    <x v="0"/>
    <d v="2025-04-29T00:00:00"/>
    <s v="037/25-26"/>
    <s v="25-26/0327/29-04-2025"/>
    <s v="0020/2025-26"/>
    <s v="Shree Jashraj Insulation Pvt Ltd"/>
    <s v="Arma Comp Uniskin 3/50 mm Tape-12 Nos Per Box ( 46.33 Box ) In nos"/>
    <m/>
    <n v="556"/>
    <n v="150"/>
    <n v="83400"/>
    <n v="2000"/>
    <n v="0"/>
    <n v="85400"/>
    <n v="0.18"/>
    <n v="0"/>
    <n v="7686"/>
    <n v="7686"/>
    <n v="0"/>
    <n v="100772"/>
  </r>
  <r>
    <x v="0"/>
    <d v="2025-04-29T00:00:00"/>
    <s v="038/25-26"/>
    <s v="SF/346/25-26/29-04-2025"/>
    <s v="0014/2025-26"/>
    <s v="Sanghvi Fasteners"/>
    <s v="00824 MS Long Nut ( Size M8x24 ) In Nos"/>
    <m/>
    <n v="7000"/>
    <n v="5"/>
    <n v="35000"/>
    <n v="0"/>
    <n v="0"/>
    <n v="35000"/>
    <n v="0.18"/>
    <n v="0"/>
    <n v="3150"/>
    <n v="3150"/>
    <n v="0"/>
    <n v="41300"/>
  </r>
  <r>
    <x v="0"/>
    <d v="2025-04-29T00:00:00"/>
    <s v="039/25-26"/>
    <s v="12/29-04-2025"/>
    <s v="0007/2025-26"/>
    <s v="Toolings Ocean "/>
    <s v="Outer Bush "/>
    <m/>
    <n v="3150"/>
    <n v="1.5"/>
    <n v="4725"/>
    <n v="0"/>
    <n v="0"/>
    <n v="4725"/>
    <n v="0.18"/>
    <n v="0"/>
    <n v="425.25"/>
    <n v="425.25"/>
    <n v="0"/>
    <n v="5575.5"/>
  </r>
  <r>
    <x v="0"/>
    <d v="2025-04-29T00:00:00"/>
    <s v="039/25-26"/>
    <s v="12/29-04-2025"/>
    <s v="0007/2025-26"/>
    <s v="Toolings Ocean "/>
    <s v="Inner Bush "/>
    <m/>
    <n v="3080"/>
    <n v="1.5"/>
    <n v="4620"/>
    <n v="0"/>
    <n v="0"/>
    <n v="4620"/>
    <n v="0.18"/>
    <n v="0"/>
    <n v="415.8"/>
    <n v="415.8"/>
    <n v="0"/>
    <n v="5451.6"/>
  </r>
  <r>
    <x v="0"/>
    <d v="2025-04-29T00:00:00"/>
    <s v="039/25-26"/>
    <s v="12/29-04-2025"/>
    <s v="0007/2025-26"/>
    <s v="Toolings Ocean "/>
    <s v="Gear 150 Dia "/>
    <m/>
    <n v="1000"/>
    <n v="22"/>
    <n v="22000"/>
    <n v="0"/>
    <n v="0"/>
    <n v="22000"/>
    <n v="0.18"/>
    <n v="0"/>
    <n v="1980"/>
    <n v="1980"/>
    <n v="0"/>
    <n v="25960"/>
  </r>
  <r>
    <x v="1"/>
    <d v="2025-05-02T00:00:00"/>
    <s v="040/25-26"/>
    <s v="MVDF/25-26/2321/29-04-2025"/>
    <s v="0086/24-25"/>
    <s v="MVD Fasteners Pvt Ltd "/>
    <s v="Slotted Truss HD Screw 4.6 G M8x25 (In Nos)"/>
    <m/>
    <n v="4774"/>
    <n v="3.1"/>
    <n v="14799.4"/>
    <n v="0"/>
    <n v="0"/>
    <n v="14799.4"/>
    <n v="0.18"/>
    <n v="0"/>
    <n v="1331.9460000000001"/>
    <n v="1331.9460000000001"/>
    <n v="0"/>
    <n v="17463.292000000001"/>
  </r>
  <r>
    <x v="1"/>
    <d v="2025-05-02T00:00:00"/>
    <s v="040/25-26"/>
    <s v="MVDF/25-26/2321/29-04-2025"/>
    <s v="0086/24-25"/>
    <s v="MVD Fasteners Pvt Ltd "/>
    <s v="Slotted Truss HD Screw 4.6 G M8x32 (In Nos)"/>
    <m/>
    <n v="2937"/>
    <n v="3.33"/>
    <n v="9780.2100000000009"/>
    <n v="0"/>
    <n v="0"/>
    <n v="9780.2100000000009"/>
    <n v="0.18"/>
    <n v="0"/>
    <n v="880.21890000000019"/>
    <n v="880.21890000000019"/>
    <n v="0"/>
    <n v="11540.647800000001"/>
  </r>
  <r>
    <x v="0"/>
    <d v="2025-04-30T00:00:00"/>
    <s v="041/25-26"/>
    <s v="14041/25-04-2025"/>
    <m/>
    <s v="Hardwares Junction"/>
    <s v="Consumable Materials"/>
    <m/>
    <m/>
    <m/>
    <n v="8259"/>
    <n v="0"/>
    <n v="0"/>
    <n v="8259"/>
    <n v="0.18"/>
    <n v="0"/>
    <n v="743.31"/>
    <n v="743.31"/>
    <n v="0"/>
    <n v="9745.619999999999"/>
  </r>
  <r>
    <x v="0"/>
    <d v="2025-04-30T00:00:00"/>
    <s v="042/25-26"/>
    <s v="14062/26-04-2025"/>
    <m/>
    <s v="Hardwares Junction"/>
    <s v="Consumable Materials"/>
    <m/>
    <m/>
    <m/>
    <n v="4736.8999999999996"/>
    <n v="0"/>
    <n v="0"/>
    <n v="4736.8999999999996"/>
    <n v="0.18"/>
    <n v="0"/>
    <n v="426.32099999999997"/>
    <n v="426.32099999999997"/>
    <n v="0"/>
    <n v="5589.5419999999995"/>
  </r>
  <r>
    <x v="0"/>
    <d v="2025-04-30T00:00:00"/>
    <s v="043/25-26"/>
    <s v="14098/30-04-2025"/>
    <m/>
    <s v="Hardwares Junction"/>
    <s v="Consumable Materials"/>
    <m/>
    <m/>
    <m/>
    <n v="3036"/>
    <n v="0"/>
    <n v="0"/>
    <n v="3036"/>
    <n v="0.18"/>
    <n v="0"/>
    <n v="273.24"/>
    <n v="273.24"/>
    <n v="0"/>
    <n v="3582.4799999999996"/>
  </r>
  <r>
    <x v="1"/>
    <d v="2025-05-02T00:00:00"/>
    <s v="044/25-26"/>
    <s v="LRM/0059/25-26/02-05-2025"/>
    <s v="0022/25-26"/>
    <s v="LR Multi Speciality Products"/>
    <s v="Stretch Film ( Manual Grade ) 500mm (In Kgs )"/>
    <m/>
    <n v="508.68"/>
    <n v="127"/>
    <n v="64602.36"/>
    <n v="0"/>
    <n v="0"/>
    <n v="64602.36"/>
    <n v="0.18"/>
    <n v="0"/>
    <n v="5814.2124000000003"/>
    <n v="5814.2124000000003"/>
    <n v="0"/>
    <n v="76230.784800000009"/>
  </r>
  <r>
    <x v="1"/>
    <d v="2025-05-06T00:00:00"/>
    <s v="045/25-26"/>
    <s v="KM/05630/2025-26/06-05-2025"/>
    <s v="0027/2025-26"/>
    <s v="Kothari Metals"/>
    <s v="Aluminium Coils (0.71x1220) in Mts"/>
    <s v="Alu. 0.8mm"/>
    <n v="5.0380000000000003"/>
    <n v="315000"/>
    <n v="1586970"/>
    <n v="8515"/>
    <n v="0"/>
    <n v="1595485"/>
    <n v="0.18"/>
    <n v="0"/>
    <n v="143593.65"/>
    <n v="143593.65"/>
    <n v="0"/>
    <n v="1882672.2999999998"/>
  </r>
  <r>
    <x v="1"/>
    <d v="2025-05-06T00:00:00"/>
    <s v="045/25-26"/>
    <s v="KM/05630/2025-26/06-05-2025"/>
    <s v="0027/2025-26"/>
    <s v="Kothari Metals"/>
    <s v="Aluminium Coils (0.91x1220) in Mts"/>
    <s v="Alu. 1.0mm"/>
    <n v="1.2869999999999999"/>
    <n v="315000"/>
    <n v="405405"/>
    <n v="0"/>
    <n v="0"/>
    <n v="405405"/>
    <n v="0.18"/>
    <n v="0"/>
    <n v="36486.449999999997"/>
    <n v="36486.449999999997"/>
    <n v="0"/>
    <n v="478377.9"/>
  </r>
  <r>
    <x v="1"/>
    <d v="2025-05-06T00:00:00"/>
    <s v="046/25-26"/>
    <s v="2526MSC0385/06-05-2025"/>
    <s v="0008/2025-26"/>
    <s v="Meenakshi Steel Corporation"/>
    <s v="GI Coil / Sheet (0.80 x137 mm -16 Nos) In Kgs"/>
    <s v="120gsm Slit 22G"/>
    <n v="10260"/>
    <n v="72.25"/>
    <n v="741285"/>
    <n v="7840"/>
    <n v="0"/>
    <n v="749125"/>
    <n v="0.18"/>
    <n v="0"/>
    <n v="67421.25"/>
    <n v="67421.25"/>
    <n v="0"/>
    <n v="883967.5"/>
  </r>
  <r>
    <x v="1"/>
    <d v="2025-05-06T00:00:00"/>
    <s v="046/25-26"/>
    <s v="2526MSC0385/06-05-2025"/>
    <s v="0008/2025-26"/>
    <s v="Meenakshi Steel Corporation"/>
    <s v="GI Coil / Sheet (0.80 x100 mm -2 Nos) In Kgs"/>
    <s v="120gsm Slit 22G"/>
    <n v="940"/>
    <n v="72.25"/>
    <n v="67915"/>
    <n v="0"/>
    <n v="0"/>
    <n v="67915"/>
    <n v="0.18"/>
    <n v="0"/>
    <n v="6112.35"/>
    <n v="6112.35"/>
    <n v="0"/>
    <n v="80139.700000000012"/>
  </r>
  <r>
    <x v="1"/>
    <d v="2025-05-06T00:00:00"/>
    <s v="047/25-26"/>
    <s v="329/25-26/06-05-2025"/>
    <s v="0025/2025-26_1-No.2"/>
    <s v="Izzy Agencies "/>
    <s v="Flexible Hose Re Infoced (1/2&quot; x 30 Mtrs ) In Nos"/>
    <m/>
    <n v="1"/>
    <n v="1050"/>
    <n v="1050"/>
    <n v="0"/>
    <n v="0"/>
    <n v="1050"/>
    <n v="0.18"/>
    <n v="0"/>
    <n v="94.5"/>
    <n v="94.5"/>
    <n v="0"/>
    <n v="1239"/>
  </r>
  <r>
    <x v="1"/>
    <d v="2025-05-06T00:00:00"/>
    <s v="047/25-26"/>
    <s v="329/25-26/06-05-2025"/>
    <s v="0025/2025-26_1-No.2"/>
    <s v="Izzy Agencies "/>
    <s v="Flexible Hose Re Infoced (3/4&quot; x 30 Mtrs ) In Nos"/>
    <m/>
    <n v="1"/>
    <n v="1350"/>
    <n v="1350"/>
    <n v="0"/>
    <n v="0"/>
    <n v="1350"/>
    <n v="0.18"/>
    <n v="0"/>
    <n v="121.5"/>
    <n v="121.5"/>
    <n v="0"/>
    <n v="1593"/>
  </r>
  <r>
    <x v="1"/>
    <d v="2025-05-06T00:00:00"/>
    <s v="047/25-26"/>
    <s v="329/25-26/06-05-2025"/>
    <s v="0025/2025-26_1-No.2"/>
    <s v="Izzy Agencies "/>
    <s v="Flexible Hose Re Infoced (1&quot; x 30 Mtrs ) In Nos"/>
    <m/>
    <n v="1"/>
    <n v="1680"/>
    <n v="1680"/>
    <n v="0"/>
    <n v="0"/>
    <n v="1680"/>
    <n v="0.18"/>
    <n v="0"/>
    <n v="151.19999999999999"/>
    <n v="151.19999999999999"/>
    <n v="0"/>
    <n v="1982.4"/>
  </r>
  <r>
    <x v="1"/>
    <d v="2025-05-06T00:00:00"/>
    <s v="047/25-26"/>
    <s v="329/25-26/06-05-2025"/>
    <s v="0025/2025-26_1-No.2"/>
    <s v="Izzy Agencies "/>
    <s v="Flexible Hose Re Infoced (2&quot; x 30 Mtrs ) In Nos"/>
    <m/>
    <n v="1"/>
    <n v="2940"/>
    <n v="2940"/>
    <n v="0"/>
    <n v="0"/>
    <n v="2940"/>
    <n v="0.18"/>
    <n v="0"/>
    <n v="264.60000000000002"/>
    <n v="264.60000000000002"/>
    <n v="0"/>
    <n v="3469.2"/>
  </r>
  <r>
    <x v="1"/>
    <d v="2025-05-06T00:00:00"/>
    <s v="048/25-26"/>
    <s v="330/25-26/06-05-2025"/>
    <s v="0013/2025-26"/>
    <s v="Izzy Agencies "/>
    <s v="Galvanised Flexible Hose ( 1/2&quot; x 15 Mtrs ) In Nos"/>
    <m/>
    <n v="1"/>
    <n v="415"/>
    <n v="415"/>
    <n v="0"/>
    <n v="0"/>
    <n v="415"/>
    <n v="0.18"/>
    <n v="0"/>
    <n v="37.35"/>
    <n v="37.35"/>
    <n v="0"/>
    <n v="489.70000000000005"/>
  </r>
  <r>
    <x v="1"/>
    <d v="2025-05-06T00:00:00"/>
    <s v="048/25-26"/>
    <s v="330/25-26/06-05-2025"/>
    <s v="0013/2025-26"/>
    <s v="Izzy Agencies "/>
    <s v="Galvanised Flexible Hose ( 3/4&quot; x 15 Mtrs ) In Nos"/>
    <m/>
    <n v="1"/>
    <n v="435"/>
    <n v="435"/>
    <n v="0"/>
    <n v="0"/>
    <n v="435"/>
    <n v="0.18"/>
    <n v="0"/>
    <n v="39.15"/>
    <n v="39.15"/>
    <n v="0"/>
    <n v="513.29999999999995"/>
  </r>
  <r>
    <x v="1"/>
    <d v="2025-05-06T00:00:00"/>
    <s v="048/25-26"/>
    <s v="330/25-26/06-05-2025"/>
    <s v="0013/2025-26"/>
    <s v="Izzy Agencies "/>
    <s v="Galvanised Flexible Hose ( 1&quot; x 15 Mtrs ) In Nos"/>
    <m/>
    <n v="1"/>
    <n v="575"/>
    <n v="575"/>
    <n v="0"/>
    <n v="0"/>
    <n v="575"/>
    <n v="0.18"/>
    <n v="0"/>
    <n v="51.75"/>
    <n v="51.75"/>
    <n v="0"/>
    <n v="678.5"/>
  </r>
  <r>
    <x v="1"/>
    <d v="2025-05-06T00:00:00"/>
    <s v="048/25-26"/>
    <s v="330/25-26/06-05-2025"/>
    <s v="0013/2025-26"/>
    <s v="Izzy Agencies "/>
    <s v="Galvanised Flexible Hose ( 2&quot; x 10 Mtrs ) In Nos"/>
    <m/>
    <n v="1"/>
    <n v="975"/>
    <n v="975"/>
    <n v="0"/>
    <n v="0"/>
    <n v="975"/>
    <n v="0.18"/>
    <n v="0"/>
    <n v="87.75"/>
    <n v="87.75"/>
    <n v="0"/>
    <n v="1150.5"/>
  </r>
  <r>
    <x v="1"/>
    <d v="2025-05-07T00:00:00"/>
    <s v="049/25-26"/>
    <s v="KM/05637/2025-26/07-05-2025"/>
    <s v="0029/2025-26"/>
    <s v="Kothari Metals"/>
    <s v="CR Coil Cut (3.00mm x 1250 x 2500) 2 Nos (In Mts )"/>
    <m/>
    <n v="0.14799999999999999"/>
    <n v="74500"/>
    <n v="11026"/>
    <n v="2800"/>
    <n v="93.5"/>
    <n v="13919.5"/>
    <n v="0.18"/>
    <n v="0"/>
    <n v="1252.7550000000001"/>
    <n v="1252.7550000000001"/>
    <n v="0"/>
    <n v="16425.010000000002"/>
  </r>
  <r>
    <x v="1"/>
    <d v="2025-05-08T00:00:00"/>
    <s v="050/25-26"/>
    <s v="355/25-26/08-05-2025"/>
    <s v="0028/2025-26-No:3"/>
    <s v="Izzy Agencies "/>
    <s v="Wall Fan (24&quot; Wall Mounted Fan) 2% Disc (In Nos)"/>
    <m/>
    <n v="10"/>
    <n v="12301.94"/>
    <n v="123019.40000000001"/>
    <n v="0"/>
    <n v="0"/>
    <n v="123019.40000000001"/>
    <n v="0.18"/>
    <n v="0"/>
    <n v="11071.746000000001"/>
    <n v="11071.746000000001"/>
    <n v="0"/>
    <n v="145162.89200000002"/>
  </r>
  <r>
    <x v="1"/>
    <d v="2025-05-08T00:00:00"/>
    <s v="050/25-26"/>
    <s v="355/25-26/08-05-2025"/>
    <s v="0028/2025-26-No:3"/>
    <s v="Izzy Agencies "/>
    <s v="Plastic Crate ( 600 x 400 x 325mm Aristo) 2% Disc"/>
    <m/>
    <n v="12"/>
    <n v="779.1"/>
    <n v="9349.2000000000007"/>
    <n v="0"/>
    <n v="0"/>
    <n v="9349.2000000000007"/>
    <n v="0.18"/>
    <n v="0"/>
    <n v="841.428"/>
    <n v="841.428"/>
    <n v="0"/>
    <n v="11032.056"/>
  </r>
  <r>
    <x v="1"/>
    <d v="2025-05-10T00:00:00"/>
    <s v="051/25-26"/>
    <s v="M12500001220/05-05-2025"/>
    <s v="0026/2025-26"/>
    <s v="The Supreme Industries Ltd"/>
    <s v="Insu Sound BN 15 MMx (1x1)M (65 Pkg) In Sqm"/>
    <m/>
    <n v="520"/>
    <n v="555"/>
    <n v="288600"/>
    <n v="0"/>
    <n v="0"/>
    <n v="288600"/>
    <n v="0.18"/>
    <n v="51948"/>
    <n v="0"/>
    <n v="0"/>
    <n v="0"/>
    <n v="340548"/>
  </r>
  <r>
    <x v="1"/>
    <d v="2025-05-10T00:00:00"/>
    <s v="052/25-26"/>
    <s v="M12500001221/05-05-2025"/>
    <s v="0004/2025-26"/>
    <s v="The Supreme Industries Ltd"/>
    <s v="Insuflex 19mm x 1200mmxClass O AL Foil FM (44 Pkg) In Sqm"/>
    <m/>
    <n v="528"/>
    <n v="279"/>
    <n v="147312"/>
    <n v="0"/>
    <n v="0"/>
    <n v="147312"/>
    <n v="0.18"/>
    <n v="26516.16"/>
    <n v="0"/>
    <n v="0"/>
    <n v="0"/>
    <n v="173828.16"/>
  </r>
  <r>
    <x v="1"/>
    <d v="2025-05-09T00:00:00"/>
    <s v="053/25-26"/>
    <s v="SAI1294/25-26/09-05-2025"/>
    <s v="0031/2025-26"/>
    <s v="Sri Arihant Industries"/>
    <s v="Kflex Kfonik 15mm Open Cell CL-1 Plain (42 Box) In Sqm"/>
    <m/>
    <n v="504"/>
    <n v="635"/>
    <n v="320040"/>
    <n v="7000"/>
    <n v="0"/>
    <n v="327040"/>
    <n v="0.18"/>
    <n v="0"/>
    <n v="29433.599999999999"/>
    <n v="29433.599999999999"/>
    <n v="0"/>
    <n v="385907.19999999995"/>
  </r>
  <r>
    <x v="1"/>
    <d v="2025-05-16T00:00:00"/>
    <s v="054/25-26"/>
    <s v="MS25-26/IN/23158/15-05-2025"/>
    <s v="0032/2025-26"/>
    <s v="Mandot Steel"/>
    <s v="GP/GI Coil 120 STL (0.80 x 1220) In Kgs"/>
    <s v="120gsm 22G"/>
    <n v="5530"/>
    <n v="71.25"/>
    <n v="394012.5"/>
    <n v="6700"/>
    <n v="150"/>
    <n v="400862.5"/>
    <n v="0.18"/>
    <n v="0"/>
    <n v="36077.625"/>
    <n v="36077.625"/>
    <n v="0"/>
    <n v="473017.75"/>
  </r>
  <r>
    <x v="1"/>
    <d v="2025-05-16T00:00:00"/>
    <s v="054/25-26"/>
    <s v="MS25-26/IN/23158/15-05-2025"/>
    <s v="0032/2025-26"/>
    <s v="Mandot Steel"/>
    <s v="GP/GI Coil 120 STL (0.80 x 1220) In Kgs"/>
    <s v="120gsm 22G"/>
    <n v="5540"/>
    <n v="71.25"/>
    <n v="394725"/>
    <n v="0"/>
    <n v="0"/>
    <n v="394725"/>
    <n v="0.18"/>
    <n v="0"/>
    <n v="35525.25"/>
    <n v="35525.25"/>
    <n v="0"/>
    <n v="465775.5"/>
  </r>
  <r>
    <x v="1"/>
    <d v="2025-05-16T00:00:00"/>
    <s v="055/25-26"/>
    <s v="MS25-26/IN/23159/15-05-2025"/>
    <s v="0032/2025-26"/>
    <s v="Mandot Steel"/>
    <s v="GP/GI Coil 120 STL (0.60 x 1220) In Kgs"/>
    <s v="120gsm 24G"/>
    <n v="5090"/>
    <n v="73"/>
    <n v="371570"/>
    <n v="12300"/>
    <n v="0"/>
    <n v="383870"/>
    <n v="0.18"/>
    <n v="0"/>
    <n v="34548.300000000003"/>
    <n v="34548.300000000003"/>
    <n v="0"/>
    <n v="452966.6"/>
  </r>
  <r>
    <x v="1"/>
    <d v="2025-05-16T00:00:00"/>
    <s v="055/25-26"/>
    <s v="MS25-26/IN/23159/15-05-2025"/>
    <s v="0032/2025-26"/>
    <s v="Mandot Steel"/>
    <s v="GP/GI Coil 120 STL (0.60 x 1220) In Kgs"/>
    <s v="120gsm 24G"/>
    <n v="5290"/>
    <n v="73"/>
    <n v="386170"/>
    <n v="0"/>
    <n v="0"/>
    <n v="386170"/>
    <n v="0.18"/>
    <n v="0"/>
    <n v="34755.300000000003"/>
    <n v="34755.300000000003"/>
    <n v="0"/>
    <n v="455680.6"/>
  </r>
  <r>
    <x v="1"/>
    <d v="2025-05-16T00:00:00"/>
    <s v="055/25-26"/>
    <s v="MS25-26/IN/23159/15-05-2025"/>
    <s v="0032/2025-26"/>
    <s v="Mandot Steel"/>
    <s v="GP/GI Coil 120 STL (0.60 x 1220) In Kgs"/>
    <s v="120gsm 24G"/>
    <n v="5195"/>
    <n v="73"/>
    <n v="379235"/>
    <n v="0"/>
    <n v="0"/>
    <n v="379235"/>
    <n v="0.18"/>
    <n v="0"/>
    <n v="34131.15"/>
    <n v="34131.15"/>
    <n v="0"/>
    <n v="447497.30000000005"/>
  </r>
  <r>
    <x v="1"/>
    <d v="2025-05-16T00:00:00"/>
    <s v="055/25-26"/>
    <s v="MS25-26/IN/23159/15-05-2025"/>
    <s v="0032/2025-26"/>
    <s v="Mandot Steel"/>
    <s v="GP/GI Coil 120 STL (0.60 x 1220) In Kgs"/>
    <s v="120gsm 24G"/>
    <n v="5070"/>
    <n v="73"/>
    <n v="370110"/>
    <n v="0"/>
    <n v="0"/>
    <n v="370110"/>
    <n v="0.18"/>
    <n v="0"/>
    <n v="33309.9"/>
    <n v="33309.9"/>
    <n v="0"/>
    <n v="436729.80000000005"/>
  </r>
  <r>
    <x v="1"/>
    <d v="2025-05-16T00:00:00"/>
    <s v="056/25-26"/>
    <s v="25-26/0556/16-05-2025"/>
    <s v="0033/2025-26"/>
    <s v="Shree Jashraj Insulation Pvt Ltd"/>
    <s v="Fevicol AC Duct King (30 Ltr) 17 Tn (In ltr)"/>
    <m/>
    <n v="510"/>
    <n v="235"/>
    <n v="119850"/>
    <n v="0"/>
    <n v="0"/>
    <n v="119850"/>
    <n v="0.18"/>
    <n v="0"/>
    <n v="10786.5"/>
    <n v="10786.5"/>
    <n v="0"/>
    <n v="141423"/>
  </r>
  <r>
    <x v="1"/>
    <d v="2025-05-16T00:00:00"/>
    <s v="057/25-26"/>
    <s v="25-26/0557/16-05-2025"/>
    <s v="0006/2025-26"/>
    <s v="Shree Jashraj Insulation Pvt Ltd"/>
    <s v="Armaflex with Microban Sheet COM-19MM/E 1.2 (113 Roll) In Sqm"/>
    <m/>
    <n v="1356"/>
    <n v="191"/>
    <n v="258996"/>
    <n v="25000"/>
    <n v="0"/>
    <n v="283996"/>
    <n v="0.18"/>
    <n v="0"/>
    <n v="25559.64"/>
    <n v="25559.64"/>
    <n v="0"/>
    <n v="335115.28000000003"/>
  </r>
  <r>
    <x v="1"/>
    <d v="2025-05-17T00:00:00"/>
    <s v="058/25-26"/>
    <s v="25-26/0558/16-05-2025"/>
    <s v="0006/2025-26"/>
    <s v="Shree Jashraj Insulation Pvt Ltd"/>
    <s v="Armaflex with Microban Sheet COM-19MM/E 1.2 (107 Roll) In Sqm"/>
    <m/>
    <n v="1284"/>
    <n v="191"/>
    <n v="245244"/>
    <n v="25000"/>
    <n v="0"/>
    <n v="270244"/>
    <n v="0.18"/>
    <n v="0"/>
    <n v="24321.96"/>
    <n v="24321.96"/>
    <n v="0"/>
    <n v="318887.92000000004"/>
  </r>
  <r>
    <x v="1"/>
    <d v="2025-05-17T00:00:00"/>
    <s v="059/25-26"/>
    <s v="MVDF/25-26/3847/16-05-2025"/>
    <s v="0086/2024-25"/>
    <s v="MVD Fasteners Pvt Ltd "/>
    <s v="Slotted Truss HD Screw 4.6G M8x25 ( In Nos )"/>
    <m/>
    <n v="18125"/>
    <n v="3.1"/>
    <n v="56187.5"/>
    <n v="0"/>
    <n v="0"/>
    <n v="56187.5"/>
    <n v="0.18"/>
    <n v="0"/>
    <n v="5056.875"/>
    <n v="5056.875"/>
    <n v="0"/>
    <n v="66301.25"/>
  </r>
  <r>
    <x v="1"/>
    <d v="2025-05-20T00:00:00"/>
    <s v="060/25-26"/>
    <s v="8395/17-05-2025"/>
    <s v="0034/2025-26"/>
    <s v="Thoro Buildcare"/>
    <s v="13mm Thermobreak/Foil LS 1200mm x 20M (10 Rolls) In Sqm "/>
    <m/>
    <n v="240"/>
    <n v="385"/>
    <n v="92400"/>
    <n v="13000"/>
    <n v="0"/>
    <n v="105400"/>
    <n v="0.18"/>
    <n v="18972"/>
    <n v="0"/>
    <n v="0"/>
    <n v="0"/>
    <n v="124372"/>
  </r>
  <r>
    <x v="1"/>
    <d v="2025-05-20T00:00:00"/>
    <s v="061/25-26"/>
    <s v="GTR-I/25-26/613/20-05-2025"/>
    <s v="0002/2025-26_1"/>
    <s v="GTR Aluminium Pvt Ltd"/>
    <s v="Aluminium Ext Profile ( In Kgs )"/>
    <m/>
    <n v="266.39999999999998"/>
    <n v="312.35000000000002"/>
    <n v="83210.039999999994"/>
    <n v="0"/>
    <n v="0"/>
    <n v="83210.039999999994"/>
    <n v="0.18"/>
    <n v="0"/>
    <n v="7488.9035999999996"/>
    <n v="7488.9035999999996"/>
    <n v="0"/>
    <n v="98187.847200000004"/>
  </r>
  <r>
    <x v="1"/>
    <d v="2025-05-21T00:00:00"/>
    <s v="062/25-26"/>
    <s v="ST/25-26/1325/20-05-2025"/>
    <m/>
    <s v="Silcon Steels Pvt Ltd"/>
    <s v="G P Formed Sections ( Gi Angle Thk 2.5mm) In Mts "/>
    <m/>
    <n v="2.19"/>
    <n v="72000"/>
    <n v="157680"/>
    <n v="4000"/>
    <n v="330"/>
    <n v="162010"/>
    <n v="0.18"/>
    <n v="0"/>
    <n v="14580.9"/>
    <n v="14580.9"/>
    <n v="0"/>
    <n v="191171.8"/>
  </r>
  <r>
    <x v="1"/>
    <d v="2025-05-22T00:00:00"/>
    <s v="063/25-26"/>
    <s v="497/25-26/22-05-2025"/>
    <s v="0035/2025-26"/>
    <s v="Izzy Agencies "/>
    <s v="GI Mesh (5'x1/2&quot;x1/2&quot;x1mm) In Sq ft"/>
    <m/>
    <n v="280"/>
    <n v="15.7"/>
    <n v="4396"/>
    <n v="0"/>
    <n v="0"/>
    <n v="4396"/>
    <n v="0.18"/>
    <n v="0"/>
    <n v="395.64"/>
    <n v="395.64"/>
    <n v="0"/>
    <n v="5187.2800000000007"/>
  </r>
  <r>
    <x v="1"/>
    <d v="2025-05-22T00:00:00"/>
    <s v="063/25-26"/>
    <s v="497/25-26/22-05-2025"/>
    <s v="0035/2025-26"/>
    <s v="Izzy Agencies "/>
    <s v="Chain (MS 10mm) In MTR"/>
    <m/>
    <n v="5"/>
    <n v="350"/>
    <n v="1750"/>
    <n v="0"/>
    <n v="0"/>
    <n v="1750"/>
    <n v="0.18"/>
    <n v="0"/>
    <n v="157.5"/>
    <n v="157.5"/>
    <n v="0"/>
    <n v="2065"/>
  </r>
  <r>
    <x v="1"/>
    <d v="2025-05-26T00:00:00"/>
    <s v="064/25-26"/>
    <s v="M12500001774/21-05-2025"/>
    <s v="0026/2025-26"/>
    <s v="The Supreme Industries Ltd"/>
    <s v="Insu sound BN 15mm x (1*1) M (60 Pkg ) In Sqm"/>
    <m/>
    <n v="480"/>
    <n v="555"/>
    <n v="266400"/>
    <n v="0"/>
    <n v="0"/>
    <n v="266400"/>
    <n v="0.18"/>
    <n v="47952"/>
    <n v="0"/>
    <n v="0"/>
    <n v="0"/>
    <n v="314352"/>
  </r>
  <r>
    <x v="1"/>
    <d v="2025-05-24T00:00:00"/>
    <s v="065/25-26"/>
    <s v="MS25-26/IN/23322/23-05-2025"/>
    <s v="0032/2025-26"/>
    <s v="Mandot Steel"/>
    <s v="GP/GI Coil 120 STL (0.80 x 1220) In Kgs "/>
    <s v="120gsm 22G"/>
    <n v="5575"/>
    <n v="71.25"/>
    <n v="397218.75"/>
    <n v="11750"/>
    <m/>
    <n v="408968.75"/>
    <n v="0.18"/>
    <n v="0"/>
    <n v="36807.1875"/>
    <n v="36807.1875"/>
    <n v="0"/>
    <n v="482583.125"/>
  </r>
  <r>
    <x v="1"/>
    <d v="2025-05-24T00:00:00"/>
    <s v="065/25-26"/>
    <s v="MS25-26/IN/23322/23-05-2025"/>
    <s v="0032/2025-26"/>
    <s v="Mandot Steel"/>
    <s v="GP/GI Coil 120 STL (0.80 x 1220) In Kgs "/>
    <s v="120gsm 22G"/>
    <n v="5665"/>
    <n v="71.25"/>
    <n v="403631.25"/>
    <n v="0"/>
    <n v="0"/>
    <n v="403631.25"/>
    <n v="0.18"/>
    <n v="0"/>
    <n v="36326.8125"/>
    <n v="36326.8125"/>
    <n v="0"/>
    <n v="476284.875"/>
  </r>
  <r>
    <x v="1"/>
    <d v="2025-05-24T00:00:00"/>
    <s v="065/25-26"/>
    <s v="MS25-26/IN/23322/23-05-2025"/>
    <s v="0032/2025-26"/>
    <s v="Mandot Steel"/>
    <s v="GP/GI Slitting Coil (137x18=12010KG) 0.60 x 1250"/>
    <s v="120gsm Slit 24G"/>
    <n v="12200"/>
    <n v="74"/>
    <n v="902800"/>
    <n v="0"/>
    <n v="0"/>
    <n v="902800"/>
    <n v="0.18"/>
    <n v="0"/>
    <n v="81252"/>
    <n v="81252"/>
    <n v="0"/>
    <n v="1065304"/>
  </r>
  <r>
    <x v="1"/>
    <d v="2025-05-24T00:00:00"/>
    <s v="066/25-26"/>
    <s v="MS25-26/IN/23323/23-05-2025"/>
    <s v="0032/2025-26"/>
    <s v="Mandot Steel"/>
    <s v="GP/GI Coil 120 STL (1.00 x 1250)"/>
    <s v="120gsm 20G"/>
    <n v="5050"/>
    <n v="71.25"/>
    <n v="359812.5"/>
    <n v="2500"/>
    <n v="150"/>
    <n v="362462.5"/>
    <n v="0.18"/>
    <n v="0"/>
    <n v="32621.625"/>
    <n v="32621.625"/>
    <n v="0"/>
    <n v="427705.75"/>
  </r>
  <r>
    <x v="1"/>
    <d v="2025-05-29T00:00:00"/>
    <s v="067/25-26"/>
    <s v="MVDF/25-26/5012/27-05-2025"/>
    <s v="0015/2025-26"/>
    <s v="MVD Fasteners Pvt Ltd "/>
    <s v="Threaded Rod Steel 4.6 M8x245 (In Nos )"/>
    <m/>
    <n v="1901"/>
    <n v="11"/>
    <n v="20911"/>
    <n v="0"/>
    <n v="0"/>
    <n v="20911"/>
    <n v="0.18"/>
    <n v="0"/>
    <n v="1881.99"/>
    <n v="1881.99"/>
    <n v="0"/>
    <n v="24674.980000000003"/>
  </r>
  <r>
    <x v="1"/>
    <d v="2025-05-29T00:00:00"/>
    <s v="068/25-26"/>
    <s v="MVDF/25-26/5015/27-05-2025"/>
    <s v="0015/2025-26"/>
    <s v="MVD Fasteners Pvt Ltd "/>
    <s v="Threaded Rod Steel 4.6 M8x295"/>
    <m/>
    <n v="3327"/>
    <n v="13"/>
    <n v="43251"/>
    <n v="0"/>
    <n v="0"/>
    <n v="43251"/>
    <n v="0.18"/>
    <n v="0"/>
    <n v="3892.59"/>
    <n v="3892.59"/>
    <n v="0"/>
    <n v="51036.179999999993"/>
  </r>
  <r>
    <x v="1"/>
    <d v="2025-05-29T00:00:00"/>
    <s v="068/25-26"/>
    <s v="MVDF/25-26/5015/27-05-2025"/>
    <s v="0015/2025-26"/>
    <s v="MVD Fasteners Pvt Ltd "/>
    <s v="Threaded Rod Steel 4.6 M8x345"/>
    <m/>
    <n v="920"/>
    <n v="14.5"/>
    <n v="13340"/>
    <n v="0"/>
    <n v="0"/>
    <n v="13340"/>
    <n v="0.18"/>
    <n v="0"/>
    <n v="1200.5999999999999"/>
    <n v="1200.5999999999999"/>
    <n v="0"/>
    <n v="15741.2"/>
  </r>
  <r>
    <x v="1"/>
    <d v="2025-05-29T00:00:00"/>
    <s v="068/25-26"/>
    <s v="MVDF/25-26/5015/27-05-2025"/>
    <s v="0015/2025-26"/>
    <s v="MVD Fasteners Pvt Ltd "/>
    <s v="Threaded Rod Steel 4.6 M8x395"/>
    <m/>
    <n v="10"/>
    <n v="16.600000000000001"/>
    <n v="166"/>
    <n v="0"/>
    <n v="0"/>
    <n v="166"/>
    <n v="0.18"/>
    <n v="0"/>
    <n v="14.94"/>
    <n v="14.94"/>
    <n v="0"/>
    <n v="195.88"/>
  </r>
  <r>
    <x v="1"/>
    <d v="2025-05-29T00:00:00"/>
    <s v="068/25-26"/>
    <s v="MVDF/25-26/5015/27-05-2025"/>
    <s v="0015/2025-26"/>
    <s v="MVD Fasteners Pvt Ltd "/>
    <s v="Threaded Rod Steel 4.6 M8x445"/>
    <m/>
    <n v="97"/>
    <n v="18.329999999999998"/>
    <n v="1778.0099999999998"/>
    <n v="0"/>
    <n v="0"/>
    <n v="1778.0099999999998"/>
    <n v="0.18"/>
    <n v="0"/>
    <n v="160.02089999999998"/>
    <n v="160.02089999999998"/>
    <n v="0"/>
    <n v="2098.0517999999997"/>
  </r>
  <r>
    <x v="1"/>
    <d v="2025-05-29T00:00:00"/>
    <s v="068/25-26"/>
    <s v="MVDF/25-26/5015/27-05-2025"/>
    <s v="0015/2025-26"/>
    <s v="MVD Fasteners Pvt Ltd "/>
    <s v="Threaded Rod Steel 4.6 M8x495"/>
    <m/>
    <n v="336"/>
    <n v="20.059999999999999"/>
    <n v="6740.16"/>
    <n v="0"/>
    <n v="0"/>
    <n v="6740.16"/>
    <n v="0.18"/>
    <n v="0"/>
    <n v="606.61440000000005"/>
    <n v="606.61440000000005"/>
    <n v="0"/>
    <n v="7953.3888000000006"/>
  </r>
  <r>
    <x v="1"/>
    <d v="2025-05-30T00:00:00"/>
    <s v="069/25-26"/>
    <s v="SAI1916/25-26/26-05-2025"/>
    <s v="0139/2024-25"/>
    <s v="Sri Arihant Industries"/>
    <s v="Kflex ST Sheet 9mm CL-O AM (200 Roll) In Sqm"/>
    <m/>
    <n v="4800"/>
    <n v="101.5"/>
    <n v="487200"/>
    <n v="56000"/>
    <n v="0"/>
    <n v="543200"/>
    <n v="0.18"/>
    <n v="97776"/>
    <n v="0"/>
    <n v="0"/>
    <n v="0"/>
    <n v="640976"/>
  </r>
  <r>
    <x v="1"/>
    <d v="2025-05-30T00:00:00"/>
    <s v="069/25-26"/>
    <s v="SAI1916/25-26/26-05-2025"/>
    <s v="0139/2024-25"/>
    <s v="Sri Arihant Industries"/>
    <s v="Kflex kfonik 10mm Open Cell CL-1 AM (30 Box) "/>
    <m/>
    <n v="600"/>
    <n v="360"/>
    <n v="216000"/>
    <n v="0"/>
    <n v="0"/>
    <n v="216000"/>
    <n v="0.18"/>
    <n v="38880"/>
    <n v="0"/>
    <n v="0"/>
    <n v="0"/>
    <n v="254880"/>
  </r>
  <r>
    <x v="1"/>
    <d v="2025-05-30T00:00:00"/>
    <s v="070/25-26"/>
    <s v="208/30-05-2025"/>
    <m/>
    <s v="Manoj Enterprises "/>
    <s v="80G Blue Cotton Knitted Gloves (in Pairs)"/>
    <m/>
    <n v="200"/>
    <n v="11"/>
    <n v="2200"/>
    <n v="0"/>
    <n v="0"/>
    <n v="2200"/>
    <n v="0.05"/>
    <n v="0"/>
    <n v="55"/>
    <n v="55"/>
    <n v="0"/>
    <n v="2310"/>
  </r>
  <r>
    <x v="1"/>
    <d v="2025-05-30T00:00:00"/>
    <s v="070/25-26"/>
    <s v="208/30-05-2025"/>
    <m/>
    <s v="Manoj Enterprises "/>
    <s v="90G Cotton Knitted Gloves "/>
    <m/>
    <n v="300"/>
    <n v="13"/>
    <n v="3900"/>
    <n v="0"/>
    <n v="0"/>
    <n v="3900"/>
    <n v="0.05"/>
    <n v="0"/>
    <n v="97.5"/>
    <n v="97.5"/>
    <n v="0"/>
    <n v="4095"/>
  </r>
  <r>
    <x v="1"/>
    <d v="2025-05-30T00:00:00"/>
    <s v="071/25-26"/>
    <s v="14263/30-05-2025"/>
    <m/>
    <s v="Hardwares Junction"/>
    <s v="Consumable Materials"/>
    <m/>
    <m/>
    <m/>
    <n v="5808"/>
    <n v="0"/>
    <n v="0"/>
    <n v="5808"/>
    <n v="0.18"/>
    <n v="0"/>
    <n v="522.72"/>
    <n v="522.72"/>
    <n v="0"/>
    <n v="6853.4400000000005"/>
  </r>
  <r>
    <x v="1"/>
    <d v="2025-05-31T00:00:00"/>
    <s v="072/25-26"/>
    <s v="14269/31-05-2025"/>
    <m/>
    <s v="Hardwares Junction"/>
    <s v="Consumable Materials"/>
    <m/>
    <m/>
    <m/>
    <n v="4579"/>
    <n v="0"/>
    <n v="0"/>
    <n v="4579"/>
    <n v="0.18"/>
    <n v="0"/>
    <n v="412.11"/>
    <n v="412.11"/>
    <n v="0"/>
    <n v="5403.2199999999993"/>
  </r>
  <r>
    <x v="2"/>
    <d v="2025-06-09T00:00:00"/>
    <s v="073/25-26"/>
    <s v="MVDF/25-26/3874/16-05-2025"/>
    <s v="0015/2025-26"/>
    <s v="MVD Fasteners Pvt Ltd "/>
    <s v="Threaded Rod Steel 4.6 M8x295 (In Nos)"/>
    <m/>
    <n v="1673"/>
    <n v="13"/>
    <n v="21749"/>
    <n v="0"/>
    <n v="0"/>
    <n v="21749"/>
    <n v="0.18"/>
    <n v="0"/>
    <n v="1957.41"/>
    <n v="1957.41"/>
    <n v="0"/>
    <n v="25663.82"/>
  </r>
  <r>
    <x v="2"/>
    <d v="2025-06-09T00:00:00"/>
    <s v="073/25-26"/>
    <s v="MVDF/25-26/3874/16-05-2025"/>
    <s v="0015/2025-26"/>
    <s v="MVD Fasteners Pvt Ltd "/>
    <s v="Threaded Rod Steel 4.6 M8x345 (In Nos)"/>
    <m/>
    <n v="1580"/>
    <n v="14.5"/>
    <n v="22910"/>
    <n v="0"/>
    <n v="0"/>
    <n v="22910"/>
    <n v="0.18"/>
    <n v="0"/>
    <n v="2061.9"/>
    <n v="2061.9"/>
    <n v="0"/>
    <n v="27033.800000000003"/>
  </r>
  <r>
    <x v="2"/>
    <d v="2025-06-09T00:00:00"/>
    <s v="073/25-26"/>
    <s v="MVDF/25-26/3874/16-05-2025"/>
    <s v="0015/2025-26"/>
    <s v="MVD Fasteners Pvt Ltd "/>
    <s v="Threaded Rod Steel 4.6 M8x395 (In Nos)"/>
    <m/>
    <n v="990"/>
    <n v="16.600000000000001"/>
    <n v="16434"/>
    <n v="0"/>
    <n v="0"/>
    <n v="16434"/>
    <n v="0.18"/>
    <n v="0"/>
    <n v="1479.06"/>
    <n v="1479.06"/>
    <n v="0"/>
    <n v="19392.120000000003"/>
  </r>
  <r>
    <x v="2"/>
    <d v="2025-06-09T00:00:00"/>
    <s v="073/25-26"/>
    <s v="MVDF/25-26/3874/16-05-2025"/>
    <s v="0015/2025-26"/>
    <s v="MVD Fasteners Pvt Ltd "/>
    <s v="Threaded Rod Steel 4.6 M8x445 (In Nos)"/>
    <m/>
    <n v="903"/>
    <n v="18.329999999999998"/>
    <n v="16551.989999999998"/>
    <n v="0"/>
    <n v="0"/>
    <n v="16551.989999999998"/>
    <n v="0.18"/>
    <n v="0"/>
    <n v="1489.6790999999998"/>
    <n v="1489.6790999999998"/>
    <n v="0"/>
    <n v="19531.3482"/>
  </r>
  <r>
    <x v="2"/>
    <d v="2025-06-09T00:00:00"/>
    <s v="073/25-26"/>
    <s v="MVDF/25-26/3874/16-05-2025"/>
    <s v="0015/2025-26"/>
    <s v="MVD Fasteners Pvt Ltd "/>
    <s v="Threaded Rod Steel 4.6 M8x495 (In Nos)"/>
    <m/>
    <n v="164"/>
    <n v="20.059999999999999"/>
    <n v="3289.8399999999997"/>
    <n v="0"/>
    <n v="0"/>
    <n v="3289.8399999999997"/>
    <n v="0.18"/>
    <n v="0"/>
    <n v="296.0856"/>
    <n v="296.0856"/>
    <n v="0"/>
    <n v="3882.0111999999995"/>
  </r>
  <r>
    <x v="2"/>
    <d v="2025-06-03T00:00:00"/>
    <s v="074/25-26"/>
    <s v="25-26/0793/03-06-2025"/>
    <s v="0041/2025-26"/>
    <s v="Shree Jashraj Insulation Pvt Ltd"/>
    <s v="Armaflex Rubber Sheet 13mm/E 1.2 (25 Roll) In Sqm"/>
    <m/>
    <n v="420"/>
    <n v="174"/>
    <n v="73080"/>
    <n v="4000"/>
    <n v="0"/>
    <n v="77080"/>
    <n v="0.18"/>
    <n v="0"/>
    <n v="6937.2"/>
    <n v="6937.2"/>
    <n v="0"/>
    <n v="90954.4"/>
  </r>
  <r>
    <x v="2"/>
    <d v="2025-06-03T00:00:00"/>
    <s v="074/25-26"/>
    <s v="25-26/0793/03-06-2025"/>
    <s v="0041/2025-26"/>
    <s v="Shree Jashraj Insulation Pvt Ltd"/>
    <s v="Armaflex Rubber Sheet 13mm/E ( 5 Roll) In Sqm"/>
    <m/>
    <n v="85"/>
    <n v="174"/>
    <n v="14790"/>
    <n v="0"/>
    <n v="0"/>
    <n v="14790"/>
    <n v="0.18"/>
    <n v="0"/>
    <n v="1331.1"/>
    <n v="1331.1"/>
    <n v="0"/>
    <n v="17452.2"/>
  </r>
  <r>
    <x v="2"/>
    <d v="2025-06-05T00:00:00"/>
    <s v="075/25-26"/>
    <s v="8420/02-06-2025"/>
    <s v="0042/25-26_1"/>
    <s v="Thoro Buildcare"/>
    <s v="13mm Thermobreak/Foil LS 1200mmx20m (150 Rolls) In Sqm"/>
    <m/>
    <n v="3600"/>
    <n v="385"/>
    <n v="1386000"/>
    <n v="58000"/>
    <n v="0"/>
    <n v="1444000"/>
    <n v="0.18"/>
    <n v="259920"/>
    <n v="0"/>
    <n v="0"/>
    <n v="0"/>
    <n v="1703920"/>
  </r>
  <r>
    <x v="2"/>
    <d v="2025-06-05T00:00:00"/>
    <s v="075/25-26"/>
    <s v="8420/02-06-2025"/>
    <s v="0042/25-26_1"/>
    <s v="Thoro Buildcare"/>
    <s v="50mm Aluminium Foil Tape LS-C (50mm * 50 m) 2400 Rmtr ( 48 Tape)"/>
    <m/>
    <n v="48"/>
    <n v="540"/>
    <n v="25920"/>
    <n v="0"/>
    <n v="0"/>
    <n v="25920"/>
    <n v="0.18"/>
    <n v="4665.6000000000004"/>
    <n v="0"/>
    <s v=" "/>
    <n v="0"/>
    <n v="30585.599999999999"/>
  </r>
  <r>
    <x v="2"/>
    <d v="2025-06-05T00:00:00"/>
    <s v="076/25-26"/>
    <s v="GTR-I/25-26/790/05-06-2025"/>
    <m/>
    <s v="GTR Aluminium Pvt Ltd"/>
    <s v="Aluminium Ext Profile ( In Kgs )"/>
    <m/>
    <n v="828.3"/>
    <n v="312.35000000000002"/>
    <n v="258719.505"/>
    <n v="0"/>
    <n v="0"/>
    <n v="258719.505"/>
    <n v="0.18"/>
    <n v="0"/>
    <n v="23284.755450000001"/>
    <n v="23284.755450000001"/>
    <n v="0"/>
    <n v="305289.0159"/>
  </r>
  <r>
    <x v="2"/>
    <d v="2025-06-09T00:00:00"/>
    <s v="077/25-26"/>
    <s v="25-26/0877/09-06-2025"/>
    <s v="0006/2025-26"/>
    <s v="Shree Jashraj Insulation Pvt Ltd"/>
    <s v="Armasound Super Silence Sheets ASD-140-15 (42 Box) In Sqm"/>
    <m/>
    <n v="504"/>
    <n v="455"/>
    <n v="229320"/>
    <n v="24345"/>
    <n v="0"/>
    <n v="253665"/>
    <n v="0.18"/>
    <n v="0"/>
    <n v="22829.85"/>
    <n v="22829.85"/>
    <n v="0"/>
    <n v="299324.69999999995"/>
  </r>
  <r>
    <x v="2"/>
    <d v="2025-06-12T00:00:00"/>
    <s v="078/25-26"/>
    <s v="48075/11-06-2025"/>
    <s v="0045/25-26"/>
    <s v="J.R &amp; Company"/>
    <s v="GP Coil (0.80 x 1220 x C) Qty in MT (1 Nos)"/>
    <s v="120gsm 22G"/>
    <n v="6.0250000000000004"/>
    <n v="71500"/>
    <n v="430787.5"/>
    <n v="16600"/>
    <n v="0"/>
    <n v="447387.5"/>
    <n v="0.18"/>
    <n v="0"/>
    <n v="40264.875"/>
    <n v="40264.875"/>
    <n v="0"/>
    <n v="527917.25"/>
  </r>
  <r>
    <x v="2"/>
    <d v="2025-06-12T00:00:00"/>
    <s v="078/25-26"/>
    <s v="48075/11-06-2025"/>
    <s v="0045/25-26"/>
    <s v="J.R &amp; Company"/>
    <s v="GP Coil (1.00 x 1220 x C) Qty in MT (1 Nos)"/>
    <s v="120gsm 20G"/>
    <n v="5.7850000000000001"/>
    <n v="71500"/>
    <n v="413627.5"/>
    <n v="0"/>
    <n v="0"/>
    <n v="413627.5"/>
    <n v="0.18"/>
    <n v="0"/>
    <n v="37226.474999999999"/>
    <n v="37226.474999999999"/>
    <n v="0"/>
    <n v="488080.44999999995"/>
  </r>
  <r>
    <x v="2"/>
    <d v="2025-06-12T00:00:00"/>
    <s v="078/25-26"/>
    <s v="48075/11-06-2025"/>
    <s v="0045/25-26"/>
    <s v="J.R &amp; Company"/>
    <s v="GP Coil (0.60 x 1220 x C) Qty in MT (1 Nos)"/>
    <s v="120gsm 24G"/>
    <n v="5.0750000000000002"/>
    <n v="72850"/>
    <n v="369713.75"/>
    <n v="0"/>
    <n v="0"/>
    <n v="369713.75"/>
    <n v="0.18"/>
    <n v="0"/>
    <n v="33274.237500000003"/>
    <n v="33274.237500000003"/>
    <n v="0"/>
    <n v="436262.22499999998"/>
  </r>
  <r>
    <x v="2"/>
    <d v="2025-06-12T00:00:00"/>
    <s v="078/25-26"/>
    <s v="48075/11-06-2025"/>
    <s v="0045/25-26"/>
    <s v="J.R &amp; Company"/>
    <s v="GP Coil (0.60 x 1220 x C) Qty in MT (1 Nos)"/>
    <s v="120gsm 24G"/>
    <n v="5.0549999999999997"/>
    <n v="72850"/>
    <n v="368256.75"/>
    <n v="0"/>
    <n v="0"/>
    <n v="368256.75"/>
    <n v="0.18"/>
    <n v="0"/>
    <n v="33143.107499999998"/>
    <n v="33143.107499999998"/>
    <n v="0"/>
    <n v="434542.96499999997"/>
  </r>
  <r>
    <x v="2"/>
    <d v="2025-06-12T00:00:00"/>
    <s v="078/25-26"/>
    <s v="48075/11-06-2025"/>
    <s v="0045/25-26"/>
    <s v="J.R &amp; Company"/>
    <s v="GP Coil (0.60 x 1220 x C) Qty in MT (1 Nos)"/>
    <s v="120gsm 24G"/>
    <n v="5.68"/>
    <n v="72850"/>
    <n v="413788"/>
    <n v="0"/>
    <n v="0"/>
    <n v="413788"/>
    <n v="0.18"/>
    <n v="0"/>
    <n v="37240.92"/>
    <n v="37240.92"/>
    <n v="0"/>
    <n v="488269.83999999997"/>
  </r>
  <r>
    <x v="2"/>
    <d v="2025-06-12T00:00:00"/>
    <s v="079/25-26"/>
    <s v="227/12-06-2025"/>
    <s v="0039/2025-26_1"/>
    <s v="Sneha Enterprise Self Adhesive Tapes"/>
    <s v="XLPE Gasket (5mm x 20mm x 10Mtr) "/>
    <m/>
    <n v="25000"/>
    <n v="4"/>
    <n v="100000"/>
    <n v="0"/>
    <n v="0"/>
    <n v="100000"/>
    <n v="0.18"/>
    <n v="0"/>
    <n v="9000"/>
    <n v="9000"/>
    <n v="0"/>
    <n v="118000"/>
  </r>
  <r>
    <x v="2"/>
    <d v="2025-06-12T00:00:00"/>
    <s v="079/25-26"/>
    <s v="227/12-06-2025"/>
    <s v="0039/2025-26_1"/>
    <s v="Sneha Enterprise Self Adhesive Tapes"/>
    <s v="XLPE Gasket (10mm x 10mm x 10Mtr)"/>
    <m/>
    <n v="5000"/>
    <n v="4.5"/>
    <n v="22500"/>
    <n v="0"/>
    <n v="0"/>
    <n v="22500"/>
    <n v="0.18"/>
    <n v="0"/>
    <n v="2025"/>
    <n v="2025"/>
    <n v="0"/>
    <n v="26550"/>
  </r>
  <r>
    <x v="2"/>
    <d v="2025-06-13T00:00:00"/>
    <s v="080/25-26"/>
    <s v="25-26/0941/13-06-2025"/>
    <s v="0049/2025-26"/>
    <s v="Shree Jashraj Insulation Pvt Ltd"/>
    <s v="Armasound Ductliner with Microban 10mm (20 Box) In Sqm"/>
    <m/>
    <n v="340"/>
    <n v="405"/>
    <n v="137700"/>
    <n v="3000"/>
    <n v="0"/>
    <n v="140700"/>
    <n v="0.18"/>
    <n v="0"/>
    <n v="12663"/>
    <n v="12663"/>
    <n v="0"/>
    <n v="166026"/>
  </r>
  <r>
    <x v="1"/>
    <d v="2025-05-17T00:00:00"/>
    <s v="081/25-26"/>
    <s v="MVDF/25-26/3757/15-05-2025"/>
    <s v="0015/2025-26"/>
    <s v="MVD Fasteners Pvt Ltd "/>
    <s v="Threaded Rod Steel 4.6 M8x245 (In Nos )"/>
    <m/>
    <n v="3099"/>
    <n v="11"/>
    <n v="34089"/>
    <n v="0"/>
    <n v="0"/>
    <n v="34089"/>
    <n v="0.18"/>
    <n v="0"/>
    <n v="3068.01"/>
    <n v="3068.01"/>
    <n v="0"/>
    <n v="40225.020000000004"/>
  </r>
  <r>
    <x v="2"/>
    <d v="2025-06-16T00:00:00"/>
    <s v="082/25-26"/>
    <s v="SAI2639/25-26/16-06-2025"/>
    <s v="0139/2024-25"/>
    <s v="Sri Arihant Industries "/>
    <s v="Kflex ST Sheet 13mm CL-O AM (30 Roll) In Sqm"/>
    <m/>
    <n v="504"/>
    <n v="143"/>
    <n v="72072"/>
    <n v="12700"/>
    <n v="0"/>
    <n v="84772"/>
    <n v="0.18"/>
    <n v="0"/>
    <n v="7629.48"/>
    <n v="7629.48"/>
    <n v="0"/>
    <n v="100030.95999999999"/>
  </r>
  <r>
    <x v="2"/>
    <d v="2025-06-16T00:00:00"/>
    <s v="083/25-26"/>
    <s v="LRM/0177/25-26/16-06-2025"/>
    <s v="0052/2025-26"/>
    <s v="LR Multi Speciality Products"/>
    <s v="Stretch Film ( Manual Grade ) 500mm M (In Kgs ) (19 Boxes )"/>
    <m/>
    <n v="512.71"/>
    <n v="127"/>
    <n v="65114.170000000006"/>
    <n v="0"/>
    <n v="0"/>
    <n v="65114.170000000006"/>
    <n v="0.18"/>
    <n v="0"/>
    <n v="5860.2753000000002"/>
    <n v="5860.2753000000002"/>
    <n v="0"/>
    <n v="76834.720600000001"/>
  </r>
  <r>
    <x v="2"/>
    <d v="2025-06-17T00:00:00"/>
    <s v="084/25-26"/>
    <s v="48111/17-06-2025"/>
    <s v="0045/2025-26"/>
    <s v="J.R &amp; Company"/>
    <s v="GP Coil ( 0.80 x1220 x C ) 1 Nos ( In MT)"/>
    <s v="120gsm 22G"/>
    <n v="6350"/>
    <n v="71.5"/>
    <n v="454025"/>
    <n v="6500"/>
    <n v="0"/>
    <n v="460525"/>
    <n v="0.18"/>
    <n v="0"/>
    <n v="41447.25"/>
    <n v="41447.25"/>
    <n v="0"/>
    <n v="543419.5"/>
  </r>
  <r>
    <x v="2"/>
    <d v="2025-06-17T00:00:00"/>
    <s v="084/25-26"/>
    <s v="48111/17-06-2025"/>
    <s v="0045/2025-26"/>
    <s v="J.R &amp; Company"/>
    <s v="GP Coil ( 0.80 x1220 x C ) 1 Nos ( In MT)"/>
    <s v="120gsm 22G"/>
    <n v="4430"/>
    <n v="71.5"/>
    <n v="316745"/>
    <n v="0"/>
    <n v="0"/>
    <n v="316745"/>
    <n v="0.18"/>
    <n v="0"/>
    <n v="28507.05"/>
    <n v="28507.05"/>
    <n v="0"/>
    <n v="373759.1"/>
  </r>
  <r>
    <x v="2"/>
    <d v="2025-06-18T00:00:00"/>
    <s v="085/25-26"/>
    <s v="TCE/2526/236/17-06-2025"/>
    <s v="0053/2025-26-CDIPL/001/25-26"/>
    <s v="Truecon Enterprises"/>
    <s v="Electrode 45A-105A-PMX (In Nos)"/>
    <m/>
    <n v="30"/>
    <n v="947"/>
    <n v="28410"/>
    <n v="0"/>
    <n v="0"/>
    <n v="28410"/>
    <n v="0.18"/>
    <n v="0"/>
    <n v="2556.9"/>
    <n v="2556.9"/>
    <n v="0"/>
    <n v="33523.800000000003"/>
  </r>
  <r>
    <x v="2"/>
    <d v="2025-06-18T00:00:00"/>
    <s v="085/25-26"/>
    <s v="TCE/2526/236/17-06-2025"/>
    <s v="0053/2025-26-CDIPL/001/25-26"/>
    <s v="Truecon Enterprises"/>
    <s v="Nozzel 45A PMX "/>
    <m/>
    <n v="30"/>
    <n v="691"/>
    <n v="20730"/>
    <n v="0"/>
    <n v="0"/>
    <n v="20730"/>
    <n v="0.18"/>
    <n v="0"/>
    <n v="1865.7"/>
    <n v="1865.7"/>
    <n v="0"/>
    <n v="24461.4"/>
  </r>
  <r>
    <x v="2"/>
    <d v="2025-06-18T00:00:00"/>
    <s v="086/25-26"/>
    <s v="ST/25-26/2087/18-06-2025"/>
    <m/>
    <s v="Silcon Steels Pvt Ltd"/>
    <s v="GI Formed Sections ( L Angle-Thk-2.5mmx25x25) In MTS"/>
    <m/>
    <n v="5260"/>
    <n v="72"/>
    <n v="378720"/>
    <n v="4500"/>
    <n v="1050"/>
    <n v="384270"/>
    <n v="0.18"/>
    <n v="0"/>
    <n v="34584.300000000003"/>
    <n v="34584.300000000003"/>
    <n v="0"/>
    <n v="453438.6"/>
  </r>
  <r>
    <x v="2"/>
    <d v="2025-06-18T00:00:00"/>
    <s v="087/25-26"/>
    <s v="BCT/25-26/658/13-06-2025"/>
    <m/>
    <s v="Big  C Technologies Pvt Ltd"/>
    <s v="Monitor Dell 27&quot; SE2725HM (In Nos)"/>
    <m/>
    <n v="3"/>
    <n v="9750"/>
    <n v="29250"/>
    <n v="0"/>
    <n v="0"/>
    <n v="29250"/>
    <n v="0.18"/>
    <n v="0"/>
    <n v="2632.5"/>
    <n v="2632.5"/>
    <n v="0"/>
    <n v="34515"/>
  </r>
  <r>
    <x v="2"/>
    <d v="2025-06-19T00:00:00"/>
    <s v="088/25-26"/>
    <s v="414/13-06-2025"/>
    <m/>
    <s v="Urja Sealants Pvt Ltd"/>
    <s v="Urja Duct Sealant Grey KG (25Kg Per 4 Bucket)"/>
    <m/>
    <n v="100"/>
    <n v="180"/>
    <n v="18000"/>
    <n v="0"/>
    <n v="0"/>
    <n v="18000"/>
    <n v="0.18"/>
    <n v="3240"/>
    <n v="0"/>
    <s v=" "/>
    <n v="0"/>
    <n v="21240"/>
  </r>
  <r>
    <x v="2"/>
    <d v="2025-06-19T00:00:00"/>
    <s v="089/25-26"/>
    <s v="RSFT/INV/09/2025/17-06-2025"/>
    <s v="0023/25-26/RSFT/RGK/QT/1376R1/25"/>
    <s v="RS Form Teknic"/>
    <s v="Supply of Lockformer Pittsburgh Lock machine Model 20 (2 Nos)"/>
    <m/>
    <n v="2"/>
    <n v="880500"/>
    <n v="1761000"/>
    <n v="0"/>
    <n v="0"/>
    <n v="1761000"/>
    <n v="0.18"/>
    <n v="316980"/>
    <n v="0"/>
    <s v=" "/>
    <n v="0"/>
    <n v="2077980"/>
  </r>
  <r>
    <x v="2"/>
    <d v="2025-06-20T00:00:00"/>
    <s v="090/25-26"/>
    <s v="48141/20-06-2025"/>
    <s v="0045/2025-26"/>
    <s v="J.R &amp; Company"/>
    <s v="GP Coil (0.60 x137xC) 18 Nos (In MT)"/>
    <s v="120gsm Slit 24G"/>
    <n v="9830"/>
    <n v="73.849999999999994"/>
    <n v="725945.5"/>
    <n v="6000"/>
    <n v="0"/>
    <n v="731945.5"/>
    <n v="0.18"/>
    <n v="0"/>
    <n v="65875.095000000001"/>
    <n v="65875.095000000001"/>
    <n v="0"/>
    <n v="863695.69"/>
  </r>
  <r>
    <x v="2"/>
    <d v="2025-06-20T00:00:00"/>
    <s v="091/25-26"/>
    <s v="ML25260573/20-06-2025"/>
    <s v="SO-36950"/>
    <s v="Cauvery Petrochemicals Pvt Ltd"/>
    <s v="BCS XL 35-H-N-20 (Best Cut S XL 35)Can 20L ( In Ltrs )"/>
    <m/>
    <n v="100"/>
    <n v="170"/>
    <n v="17000"/>
    <n v="0"/>
    <n v="0"/>
    <n v="17000"/>
    <n v="0.18"/>
    <n v="0"/>
    <n v="1530"/>
    <n v="1530"/>
    <n v="0"/>
    <n v="20060"/>
  </r>
  <r>
    <x v="2"/>
    <d v="2025-06-23T00:00:00"/>
    <s v="092/25-26"/>
    <s v="3/23-06-2025"/>
    <m/>
    <s v="Global Storage Solution"/>
    <s v="Locker Cabinet (1' H X 1' W X 1.5' L Without Inbuilt Lock 1mm Doors0.8 Thk)"/>
    <m/>
    <n v="3"/>
    <n v="19500"/>
    <n v="58500"/>
    <n v="0"/>
    <n v="0"/>
    <n v="58500"/>
    <n v="0.18"/>
    <n v="0"/>
    <n v="5265"/>
    <n v="5265"/>
    <n v="0"/>
    <n v="69030"/>
  </r>
  <r>
    <x v="2"/>
    <d v="2025-06-24T00:00:00"/>
    <s v="093/25-26"/>
    <s v="TCE/2526/261/24-06-2025"/>
    <s v="0053/2025-26-CDIPL/001/25-26"/>
    <s v="Truecon Enterprises"/>
    <s v="Electrode 45A-105A-PMX (In Nos)"/>
    <m/>
    <n v="20"/>
    <n v="947"/>
    <n v="18940"/>
    <n v="0"/>
    <n v="0"/>
    <n v="18940"/>
    <n v="0.18"/>
    <n v="0"/>
    <n v="1704.6"/>
    <n v="1704.6"/>
    <n v="0"/>
    <n v="22349.199999999997"/>
  </r>
  <r>
    <x v="2"/>
    <d v="2025-06-24T00:00:00"/>
    <s v="093/25-26"/>
    <s v="TCE/2526/261/24-06-2025"/>
    <s v="0053/2025-26-CDIPL/001/25-26"/>
    <s v="Truecon Enterprises"/>
    <s v="Nozzel 45A PMX "/>
    <m/>
    <n v="20"/>
    <n v="691"/>
    <n v="13820"/>
    <n v="0"/>
    <n v="0"/>
    <n v="13820"/>
    <n v="0.18"/>
    <n v="0"/>
    <n v="1243.8"/>
    <n v="1243.8"/>
    <n v="0"/>
    <n v="16307.599999999999"/>
  </r>
  <r>
    <x v="2"/>
    <d v="2025-06-25T00:00:00"/>
    <s v="094/25-26"/>
    <s v="48171/25-06-2025"/>
    <s v="Verbal"/>
    <s v="J.R &amp; Company"/>
    <s v="GP Coil (0.60x1220xC) 1 Nos (In MT)"/>
    <s v="120gsm 24G"/>
    <n v="5350"/>
    <n v="72.849999999999994"/>
    <n v="389747.49999999994"/>
    <n v="6520"/>
    <n v="0"/>
    <n v="396267.49999999994"/>
    <n v="0.18"/>
    <n v="0"/>
    <n v="35664.074999999997"/>
    <n v="35664.074999999997"/>
    <n v="0"/>
    <n v="467595.64999999997"/>
  </r>
  <r>
    <x v="2"/>
    <d v="2025-06-25T00:00:00"/>
    <s v="094/25-26"/>
    <s v="48171/25-06-2025"/>
    <s v="Verbal"/>
    <s v="J.R &amp; Company"/>
    <s v="GP Coil (0.60x1220xC) 1 Nos (In MT)"/>
    <s v="120gsm 24G"/>
    <n v="4690"/>
    <n v="72.849999999999994"/>
    <n v="341666.5"/>
    <n v="0"/>
    <n v="0"/>
    <n v="341666.5"/>
    <n v="0.18"/>
    <n v="0"/>
    <n v="30749.985000000001"/>
    <n v="30749.985000000001"/>
    <n v="0"/>
    <n v="403166.47"/>
  </r>
  <r>
    <x v="2"/>
    <d v="2025-06-26T00:00:00"/>
    <s v="095/25-26"/>
    <s v="AVK-151-25-26/25-06-2025"/>
    <s v="Verbal (Mr.Mani)"/>
    <s v="AVK Industrial Supplies"/>
    <s v="Consumable Materials"/>
    <m/>
    <m/>
    <m/>
    <n v="8305"/>
    <n v="950"/>
    <n v="0"/>
    <n v="9255"/>
    <n v="0.18"/>
    <n v="0"/>
    <n v="832.95"/>
    <n v="832.95"/>
    <n v="0"/>
    <n v="10920.900000000001"/>
  </r>
  <r>
    <x v="2"/>
    <d v="2025-06-26T00:00:00"/>
    <s v="096/25-26"/>
    <s v="SAI3030/25-26/26-06-2025"/>
    <s v="0059/2025-26"/>
    <s v="Sri Arihant Industries"/>
    <s v="Kflex St Sheet 19mm CL-O AluFoil (58 Roll) In Sqm"/>
    <m/>
    <n v="696"/>
    <n v="308"/>
    <n v="214368"/>
    <n v="0"/>
    <n v="0"/>
    <n v="214368"/>
    <n v="0.18"/>
    <n v="0"/>
    <n v="19293.12"/>
    <n v="19293.12"/>
    <n v="0"/>
    <n v="252954.23999999999"/>
  </r>
  <r>
    <x v="2"/>
    <d v="2025-06-26T00:00:00"/>
    <s v="096/25-26"/>
    <s v="SAI3030/25-26/26-06-2025"/>
    <s v="0059/2025-26"/>
    <s v="Sri Arihant Industries"/>
    <s v="Kflex kfonik 10mm Open Cell CL-1 Plain (5 Box) "/>
    <m/>
    <n v="100"/>
    <n v="430"/>
    <n v="43000"/>
    <n v="0"/>
    <n v="0"/>
    <n v="43000"/>
    <n v="0.18"/>
    <n v="0"/>
    <n v="3870"/>
    <n v="3870"/>
    <n v="0"/>
    <n v="50740"/>
  </r>
  <r>
    <x v="2"/>
    <d v="2025-06-27T00:00:00"/>
    <s v="097/25-26"/>
    <s v="SAI3059/25-26/27-06-2025"/>
    <s v="0058/2025-26"/>
    <s v="Sri Arihant industries "/>
    <s v="Kflex ST Sheet 13mm CL-O Plain (60 Roll) In Sqm"/>
    <m/>
    <n v="1008"/>
    <n v="171"/>
    <n v="172368"/>
    <n v="0"/>
    <n v="0"/>
    <n v="172368"/>
    <n v="0.18"/>
    <n v="0"/>
    <n v="15513.12"/>
    <n v="15513.12"/>
    <n v="0"/>
    <n v="203394.24"/>
  </r>
  <r>
    <x v="2"/>
    <d v="2025-06-27T00:00:00"/>
    <s v="098/25-26"/>
    <s v="TGPL-25-26-4215/25-06-2025"/>
    <s v="0047/2025-26"/>
    <s v="Transtech Gears Pvt Ltd"/>
    <s v="TW110 U100 F90 B5B3 + TM90 S4 B5 ( 1 Nos )"/>
    <m/>
    <n v="1"/>
    <n v="29680"/>
    <n v="29680"/>
    <n v="0"/>
    <n v="0"/>
    <n v="29680"/>
    <n v="0.18"/>
    <n v="0"/>
    <n v="2671.2"/>
    <n v="2671.2"/>
    <n v="0"/>
    <n v="35022.400000000001"/>
  </r>
  <r>
    <x v="2"/>
    <d v="2025-06-28T00:00:00"/>
    <s v="099/25-26"/>
    <s v="MVDF/25-26/8328/25-06-2025"/>
    <s v="0048/2025-26"/>
    <s v="MVD Fasteners Pvt Ltd "/>
    <s v="Threaded Rod Steel 4.6 M8x295 (In Nos)"/>
    <m/>
    <n v="22"/>
    <n v="13"/>
    <n v="286"/>
    <n v="0"/>
    <n v="0"/>
    <n v="286"/>
    <n v="0.18"/>
    <n v="0"/>
    <n v="25.74"/>
    <n v="25.74"/>
    <n v="0"/>
    <n v="337.48"/>
  </r>
  <r>
    <x v="2"/>
    <d v="2025-06-28T00:00:00"/>
    <s v="099/25-26"/>
    <s v="MVDF/25-26/8328/25-06-2025"/>
    <s v="0048/2025-26"/>
    <s v="MVD Fasteners Pvt Ltd "/>
    <s v="Threaded Rod Steel 4.6 M8x345 (In Nos)"/>
    <m/>
    <n v="50"/>
    <n v="14.5"/>
    <n v="725"/>
    <n v="0"/>
    <n v="0"/>
    <n v="725"/>
    <n v="0.18"/>
    <n v="0"/>
    <n v="65.25"/>
    <n v="65.25"/>
    <n v="0"/>
    <n v="855.5"/>
  </r>
  <r>
    <x v="2"/>
    <d v="2025-06-28T00:00:00"/>
    <s v="099/25-26"/>
    <s v="MVDF/25-26/8328/25-06-2025"/>
    <s v="0048/2025-26"/>
    <s v="MVD Fasteners Pvt Ltd "/>
    <s v="Threaded Rod Steel 4.6 M8x495 (In Nos)"/>
    <m/>
    <n v="500"/>
    <n v="20"/>
    <n v="10000"/>
    <n v="0"/>
    <n v="0"/>
    <n v="10000"/>
    <n v="0.18"/>
    <n v="0"/>
    <n v="900"/>
    <n v="900"/>
    <n v="0"/>
    <n v="11800"/>
  </r>
  <r>
    <x v="2"/>
    <d v="2025-06-27T00:00:00"/>
    <s v="100/25-26"/>
    <s v="SAI3056/25-26/27-06-2025"/>
    <s v="0056/25-26"/>
    <s v="Sri Arihant Industries"/>
    <s v="Kflex St Sheet 19mm CL-O AluFoil (220 Roll)  In Sqm"/>
    <m/>
    <n v="2640"/>
    <n v="247"/>
    <n v="652080"/>
    <n v="57000"/>
    <n v="0"/>
    <n v="709080"/>
    <n v="0.18"/>
    <n v="0"/>
    <n v="63817.2"/>
    <n v="63817.2"/>
    <n v="0"/>
    <n v="836714.39999999991"/>
  </r>
  <r>
    <x v="2"/>
    <d v="2025-06-27T00:00:00"/>
    <s v="100/25-26"/>
    <s v="SAI3056/25-26/27-06-2025"/>
    <s v="0056/25-26"/>
    <s v="Sri Arihant Industries"/>
    <s v="Kflex Kfonik 10mm Open Cell CL-1 Plain (25 Box) "/>
    <m/>
    <n v="500"/>
    <n v="346"/>
    <n v="173000"/>
    <n v="0"/>
    <n v="0"/>
    <n v="173000"/>
    <n v="0.18"/>
    <n v="0"/>
    <n v="15570"/>
    <n v="15570"/>
    <n v="0"/>
    <n v="204140"/>
  </r>
  <r>
    <x v="2"/>
    <d v="2025-06-30T00:00:00"/>
    <s v="101/25-26"/>
    <s v="14442/30-06-2025"/>
    <m/>
    <s v="Hardwares Junction"/>
    <s v="Consumable Materials"/>
    <m/>
    <m/>
    <m/>
    <n v="5155"/>
    <n v="0"/>
    <n v="0"/>
    <n v="5155"/>
    <n v="0.18"/>
    <n v="0"/>
    <n v="463.95"/>
    <n v="463.95"/>
    <n v="0"/>
    <n v="6082.9"/>
  </r>
  <r>
    <x v="2"/>
    <d v="2025-06-30T00:00:00"/>
    <s v="102-25-26"/>
    <s v="14443/30-06-2025"/>
    <m/>
    <s v="Hardwares Junction"/>
    <s v="Consumable Materials"/>
    <m/>
    <m/>
    <m/>
    <n v="5071"/>
    <n v="0"/>
    <n v="0"/>
    <n v="5071"/>
    <n v="0.18"/>
    <n v="0"/>
    <n v="456.39"/>
    <n v="456.39"/>
    <n v="0"/>
    <n v="5983.7800000000007"/>
  </r>
  <r>
    <x v="2"/>
    <d v="2025-06-30T00:00:00"/>
    <s v="103/25-26"/>
    <s v="14445/30-06-2025"/>
    <m/>
    <s v="Hardwares Junction"/>
    <s v="Consumable Materials"/>
    <m/>
    <m/>
    <m/>
    <n v="3205"/>
    <n v="0"/>
    <n v="0"/>
    <n v="3205"/>
    <n v="0.18"/>
    <n v="0"/>
    <n v="288.45"/>
    <n v="288.45"/>
    <n v="0"/>
    <n v="3781.8999999999996"/>
  </r>
  <r>
    <x v="3"/>
    <d v="2025-07-04T00:00:00"/>
    <s v="104/25-26"/>
    <s v="25-26/1156/01-07-2025"/>
    <m/>
    <s v="Shree Jashraj Insulation Pvt Ltd"/>
    <s v="Armaflex with Microban Sheet COM-19MM/E 1.2 (215 Roll) In Sqmt"/>
    <m/>
    <n v="2580"/>
    <n v="191"/>
    <n v="492780"/>
    <n v="50000"/>
    <n v="0"/>
    <n v="542780"/>
    <n v="0.18"/>
    <n v="0"/>
    <n v="48850.2"/>
    <n v="48850.2"/>
    <n v="0"/>
    <n v="640480.39999999991"/>
  </r>
  <r>
    <x v="3"/>
    <d v="2025-07-03T00:00:00"/>
    <s v="105/25-26"/>
    <s v="25-26/1179/03-07-2025"/>
    <s v="0006/2025-26"/>
    <s v="Shree Jashraj Insulation Pvt Ltd"/>
    <s v="Armasound Super Silence Sheets ASD-140-15 (50 Box) In Sqm"/>
    <m/>
    <n v="600"/>
    <n v="455"/>
    <n v="273000"/>
    <n v="22380"/>
    <n v="0"/>
    <n v="295380"/>
    <n v="0.18"/>
    <n v="0"/>
    <n v="26584.2"/>
    <n v="26584.2"/>
    <n v="0"/>
    <n v="348548.4"/>
  </r>
  <r>
    <x v="3"/>
    <d v="2025-07-05T00:00:00"/>
    <s v="106-25-26"/>
    <s v="52726100828/25-06-2025"/>
    <s v="0057/2025-26"/>
    <s v="Ador Welding Ltd"/>
    <s v="Kit PM x45 XP 3-PH 400V CE/CCC Power Board (Hypertherm) 1 Nos"/>
    <m/>
    <n v="1"/>
    <n v="123785.5"/>
    <n v="123785.5"/>
    <n v="0"/>
    <n v="0"/>
    <n v="123785.5"/>
    <n v="0.18"/>
    <n v="22281.39"/>
    <n v="0"/>
    <n v="0"/>
    <n v="0"/>
    <n v="146066.89000000001"/>
  </r>
  <r>
    <x v="3"/>
    <d v="2025-07-05T00:00:00"/>
    <s v="107-25-26"/>
    <s v="MS25-26/IN/24340/04-07-2025"/>
    <s v="0062/2025-26"/>
    <s v="Mandot Steel"/>
    <s v="GP/GI Coil 120 STL 2 Nos (0.60x1220) In Kgs "/>
    <s v="120gsm 24G"/>
    <n v="9845"/>
    <n v="71"/>
    <n v="698995"/>
    <n v="0"/>
    <n v="0"/>
    <n v="698995"/>
    <n v="0.18"/>
    <n v="0"/>
    <n v="62909.55"/>
    <n v="62909.55"/>
    <n v="0"/>
    <n v="824814.10000000009"/>
  </r>
  <r>
    <x v="3"/>
    <d v="2025-07-05T00:00:00"/>
    <s v="107-25-26"/>
    <s v="MS25-26/IN/24340/04-07-2025"/>
    <s v="0062/2025-26"/>
    <s v="Mandot Steel"/>
    <s v="GP/GI Coil 120 STL 2 Nos (0.60x1220) In Kgs "/>
    <s v="120gsm 24G"/>
    <n v="11175"/>
    <n v="71"/>
    <n v="793425"/>
    <n v="0"/>
    <n v="0"/>
    <n v="793425"/>
    <n v="0.18"/>
    <n v="0"/>
    <n v="71408.25"/>
    <n v="71408.25"/>
    <n v="0"/>
    <n v="936241.5"/>
  </r>
  <r>
    <x v="3"/>
    <d v="2025-07-05T00:00:00"/>
    <s v="108/25-26"/>
    <s v="MS25-26/IN/24341/04-07-2025"/>
    <s v="0062/2025-26"/>
    <s v="Mandot Steel"/>
    <s v="GP/GI Coil 120 STL ( 0.80  x 1220 ) In Kgs"/>
    <s v="120gsm 22G"/>
    <n v="5380"/>
    <n v="69"/>
    <n v="371220"/>
    <n v="13250"/>
    <n v="150"/>
    <n v="384620"/>
    <n v="0.18"/>
    <n v="0"/>
    <n v="34615.800000000003"/>
    <n v="34615.800000000003"/>
    <n v="0"/>
    <n v="453851.6"/>
  </r>
  <r>
    <x v="3"/>
    <d v="2025-07-07T00:00:00"/>
    <s v="109/25-26"/>
    <s v="25-26/1226/07-07-2025"/>
    <s v="0064/2025-26"/>
    <s v="Shree Jashraj Insulation Pvt Ltd"/>
    <s v="Armasound Ductliner with Microban 10mm (40 Box) In Sqm"/>
    <m/>
    <n v="680"/>
    <n v="405"/>
    <n v="275400"/>
    <n v="5500"/>
    <n v="0"/>
    <n v="280900"/>
    <n v="0.18"/>
    <n v="0"/>
    <n v="25281"/>
    <n v="25281"/>
    <n v="0"/>
    <n v="331462"/>
  </r>
  <r>
    <x v="3"/>
    <d v="2025-07-07T00:00:00"/>
    <s v="110/25-26"/>
    <s v="179/07-07-2025"/>
    <s v="0143/2024-25-QU/NO"/>
    <s v="Shri Sumukha Industries"/>
    <s v="Consumable Materials"/>
    <m/>
    <m/>
    <m/>
    <n v="128915"/>
    <n v="0"/>
    <n v="0"/>
    <n v="128915"/>
    <n v="0.18"/>
    <n v="0"/>
    <n v="11602.35"/>
    <n v="11602.35"/>
    <n v="0"/>
    <n v="152119.70000000001"/>
  </r>
  <r>
    <x v="3"/>
    <d v="2025-07-08T00:00:00"/>
    <s v="111/25-26"/>
    <s v="BCT/25-26/945/8-07-2025"/>
    <s v="0061/2025-26"/>
    <s v="Big  C Technologies Pvt Ltd"/>
    <s v="Desk Top Lenovo M70T G5 12U6S01400 (1 Nos)"/>
    <m/>
    <n v="1"/>
    <n v="56200"/>
    <n v="56200"/>
    <n v="0"/>
    <n v="0"/>
    <n v="56200"/>
    <n v="0.18"/>
    <n v="0"/>
    <n v="5058"/>
    <n v="5058"/>
    <n v="0"/>
    <n v="66316"/>
  </r>
  <r>
    <x v="3"/>
    <d v="2025-07-09T00:00:00"/>
    <s v="112/25-26"/>
    <s v="PCT/0214/25-26/09-07-2025"/>
    <m/>
    <s v="Power Care Technologies"/>
    <s v="Energy Saver UPS 1825 24V SW (1 Nos)"/>
    <m/>
    <n v="1"/>
    <n v="6610.17"/>
    <n v="6610.17"/>
    <n v="0"/>
    <n v="0"/>
    <n v="6610.17"/>
    <n v="0.18"/>
    <n v="0"/>
    <n v="594.9153"/>
    <n v="594.9153"/>
    <n v="0"/>
    <n v="7800.0005999999994"/>
  </r>
  <r>
    <x v="3"/>
    <d v="2025-07-09T00:00:00"/>
    <s v="113/25-26"/>
    <s v="234/09-07-2025"/>
    <m/>
    <s v="Manoj Enterprises "/>
    <s v="Cotton Knitted Hand Gloves 80G Blue (500 Pairs ) "/>
    <m/>
    <n v="500"/>
    <n v="11"/>
    <n v="5500"/>
    <n v="0"/>
    <n v="0"/>
    <n v="5500"/>
    <n v="0.18"/>
    <n v="0"/>
    <n v="137.5"/>
    <n v="137.5"/>
    <n v="0"/>
    <n v="5775"/>
  </r>
  <r>
    <x v="3"/>
    <d v="2025-07-11T00:00:00"/>
    <s v="114/25-26"/>
    <s v="MS25-26/IN/24461/10-07-2025"/>
    <s v="0062/2025-26"/>
    <s v="Mandot Steel"/>
    <s v="GP/GI Coil 120 STL ( 0.60 x 1220 ) In KG"/>
    <s v="120gsm 24G"/>
    <n v="5320"/>
    <n v="71"/>
    <n v="377720"/>
    <n v="12850"/>
    <n v="150"/>
    <n v="390720"/>
    <n v="0.18"/>
    <n v="0"/>
    <n v="35164.800000000003"/>
    <n v="35164.800000000003"/>
    <n v="0"/>
    <n v="461049.59999999998"/>
  </r>
  <r>
    <x v="3"/>
    <d v="2025-07-11T00:00:00"/>
    <s v="114/25-26"/>
    <s v="MS25-26/IN/24461/10-07-2025"/>
    <s v="0062/2025-26"/>
    <s v="Mandot Steel"/>
    <s v="GP/GI Coil 120 STL ( 0.60 x 1220 ) In KG"/>
    <s v="120gsm 24G"/>
    <n v="4935"/>
    <n v="71"/>
    <n v="350385"/>
    <n v="0"/>
    <n v="0"/>
    <n v="350385"/>
    <n v="0.18"/>
    <n v="0"/>
    <n v="31534.65"/>
    <n v="31534.65"/>
    <n v="0"/>
    <n v="413454.30000000005"/>
  </r>
  <r>
    <x v="3"/>
    <d v="2025-07-11T00:00:00"/>
    <s v="114/25-26"/>
    <s v="MS25-26/IN/24461/10-07-2025"/>
    <s v="0062/2025-26"/>
    <s v="Mandot Steel"/>
    <s v="GP/GI Coil 120 STL ( 0.8 x 1220 ) In KG"/>
    <s v="120gsm 22G"/>
    <n v="5280"/>
    <n v="69"/>
    <n v="364320"/>
    <n v="0"/>
    <n v="0"/>
    <n v="364320"/>
    <n v="0.18"/>
    <n v="0"/>
    <n v="32788.800000000003"/>
    <n v="32788.800000000003"/>
    <n v="0"/>
    <n v="429897.6"/>
  </r>
  <r>
    <x v="3"/>
    <d v="2025-07-11T00:00:00"/>
    <s v="114/25-26"/>
    <s v="MS25-26/IN/24461/10-07-2025"/>
    <s v="0062/2025-26"/>
    <s v="Mandot Steel"/>
    <s v="GP/GI Coil 120 STL ( 0.8 x 1220 ) In KG"/>
    <s v="120gsm 22G"/>
    <n v="3080"/>
    <n v="69"/>
    <n v="212520"/>
    <n v="0"/>
    <n v="0"/>
    <n v="212520"/>
    <n v="0.18"/>
    <n v="0"/>
    <n v="19126.8"/>
    <n v="19126.8"/>
    <n v="0"/>
    <n v="250773.59999999998"/>
  </r>
  <r>
    <x v="3"/>
    <d v="2025-07-11T00:00:00"/>
    <s v="114/25-26"/>
    <s v="MS25-26/IN/24461/10-07-2025"/>
    <s v="0062/2025-26"/>
    <s v="Mandot Steel"/>
    <s v="GP/GI Coil 120 STL ( 0.8 x 1220 ) In KG"/>
    <s v="120gsm 22G"/>
    <n v="3105"/>
    <n v="69"/>
    <n v="214245"/>
    <n v="0"/>
    <n v="0"/>
    <n v="214245"/>
    <n v="0.18"/>
    <n v="0"/>
    <n v="19282.05"/>
    <n v="19282.05"/>
    <n v="0"/>
    <n v="252809.09999999998"/>
  </r>
  <r>
    <x v="3"/>
    <d v="2025-07-11T00:00:00"/>
    <s v="114/25-26"/>
    <s v="MS25-26/IN/24461/10-07-2025"/>
    <s v="0062/2025-26"/>
    <s v="Mandot Steel"/>
    <s v="GP/GI Coil 120 STL ( 0.8 x 1220 ) In KG"/>
    <s v="120gsm 22G"/>
    <n v="3975"/>
    <n v="69"/>
    <n v="274275"/>
    <n v="0"/>
    <n v="0"/>
    <n v="274275"/>
    <n v="0.18"/>
    <n v="0"/>
    <n v="24684.75"/>
    <n v="24684.75"/>
    <n v="0"/>
    <n v="323644.5"/>
  </r>
  <r>
    <x v="3"/>
    <d v="2025-07-14T00:00:00"/>
    <s v="115/25-26"/>
    <s v="M12500003508/08-07-2025"/>
    <s v="0060/2025-26"/>
    <s v="The Supreme Industries Ltd"/>
    <s v="Insuflex 09mm 1100mm*20MTR Class O (110 PKG) In Sqm"/>
    <m/>
    <n v="2420"/>
    <n v="110"/>
    <n v="266200"/>
    <n v="0"/>
    <n v="0"/>
    <n v="266200"/>
    <n v="0.18"/>
    <n v="47916"/>
    <n v="0"/>
    <n v="0"/>
    <n v="0"/>
    <n v="314116"/>
  </r>
  <r>
    <x v="3"/>
    <d v="2025-07-14T00:00:00"/>
    <s v="115/25-26"/>
    <s v="M12500003508/08-07-2025"/>
    <s v="0060/2025-26"/>
    <s v="The Supreme Industries Ltd"/>
    <s v="Insuflex 13mm 1100mm*14MTR Class O (140 Pkg)"/>
    <m/>
    <n v="2156"/>
    <n v="159"/>
    <n v="342804"/>
    <n v="0"/>
    <n v="0"/>
    <n v="342804"/>
    <n v="0.18"/>
    <n v="61704.72"/>
    <n v="0"/>
    <n v="0"/>
    <n v="0"/>
    <n v="404508.72"/>
  </r>
  <r>
    <x v="3"/>
    <d v="2025-07-16T00:00:00"/>
    <s v="116/25-26"/>
    <s v="MS25-26/IN/24577/15-07-2025"/>
    <s v="0062/2025-26"/>
    <s v="Mandot Steel"/>
    <s v="GP/GI Coil 120 STL ( 0.60 x 1220 ) In KG"/>
    <s v="120gsm 24G"/>
    <n v="5370"/>
    <n v="71"/>
    <n v="381270"/>
    <n v="10000"/>
    <n v="150"/>
    <n v="391420"/>
    <n v="0.18"/>
    <n v="0"/>
    <n v="35227.800000000003"/>
    <n v="35227.800000000003"/>
    <n v="0"/>
    <n v="461875.6"/>
  </r>
  <r>
    <x v="3"/>
    <d v="2025-07-16T00:00:00"/>
    <s v="116/25-26"/>
    <s v="MS25-26/IN/24577/15-07-2025"/>
    <s v="0062/2025-26"/>
    <s v="Mandot Steel"/>
    <s v="GP/GI Coil 120 STL ( 0.60 x 1220 ) In KG"/>
    <s v="120gsm 24G"/>
    <n v="5145"/>
    <n v="71"/>
    <n v="365295"/>
    <n v="0"/>
    <n v="0"/>
    <n v="365295"/>
    <n v="0.18"/>
    <n v="0"/>
    <n v="32876.550000000003"/>
    <n v="32876.550000000003"/>
    <n v="0"/>
    <n v="431048.1"/>
  </r>
  <r>
    <x v="3"/>
    <d v="2025-07-16T00:00:00"/>
    <s v="116/25-26"/>
    <s v="MS25-26/IN/24577/15-07-2025"/>
    <s v="0062/2025-26"/>
    <s v="Mandot Steel"/>
    <s v="GP/GI Coil 120 STL ( 0.60 x 1220 ) In KG"/>
    <s v="120gsm 24G"/>
    <n v="5200"/>
    <n v="71"/>
    <n v="369200"/>
    <n v="0"/>
    <n v="0"/>
    <n v="369200"/>
    <n v="0.18"/>
    <n v="0"/>
    <n v="33228"/>
    <n v="33228"/>
    <n v="0"/>
    <n v="435656"/>
  </r>
  <r>
    <x v="3"/>
    <d v="2025-07-16T00:00:00"/>
    <s v="116/25-26"/>
    <s v="MS25-26/IN/24577/15-07-2025"/>
    <s v="0062/2025-26"/>
    <s v="Mandot Steel"/>
    <s v="GP/GI Coil 120 STL ( 0.60 x 1220 ) In KG"/>
    <s v="120gsm 24G"/>
    <n v="4460"/>
    <n v="71"/>
    <n v="316660"/>
    <n v="0"/>
    <n v="0"/>
    <n v="316660"/>
    <n v="0.18"/>
    <n v="0"/>
    <n v="28499.4"/>
    <n v="28499.4"/>
    <n v="0"/>
    <n v="373658.80000000005"/>
  </r>
  <r>
    <x v="3"/>
    <d v="2025-07-15T00:00:00"/>
    <s v="117/25-26"/>
    <s v="843/25-26/15-07-2025"/>
    <s v="66/2025-26"/>
    <s v="Izzy Agencies "/>
    <s v="Consumable Materials"/>
    <m/>
    <m/>
    <m/>
    <n v="60508"/>
    <n v="1800"/>
    <n v="0"/>
    <n v="62308"/>
    <n v="0.18"/>
    <n v="0"/>
    <n v="5607.72"/>
    <n v="5607.72"/>
    <n v="0"/>
    <n v="73523.44"/>
  </r>
  <r>
    <x v="3"/>
    <d v="2025-07-16T00:00:00"/>
    <s v="118/25-26"/>
    <s v="844/25-26/15-07-2025"/>
    <s v="71/2025-26-No.7"/>
    <s v="Izzy Agencies "/>
    <s v="Consumable Materials"/>
    <m/>
    <m/>
    <m/>
    <n v="24500"/>
    <n v="0"/>
    <n v="0"/>
    <n v="24500"/>
    <n v="0.18"/>
    <n v="0"/>
    <n v="2205"/>
    <n v="2205"/>
    <n v="0"/>
    <n v="28910"/>
  </r>
  <r>
    <x v="3"/>
    <d v="2025-07-15T00:00:00"/>
    <s v="119/25-26"/>
    <s v="MTPL/0706/25-26/15-07-2025"/>
    <m/>
    <s v="Malur Tubes Pvt Ltd"/>
    <s v="MS Pipes and Tubes - HR"/>
    <m/>
    <n v="570"/>
    <n v="54.5"/>
    <n v="31065"/>
    <n v="0"/>
    <n v="250"/>
    <n v="31315"/>
    <n v="0.18"/>
    <n v="0"/>
    <n v="2818.35"/>
    <n v="2818.35"/>
    <n v="0"/>
    <n v="36951.699999999997"/>
  </r>
  <r>
    <x v="3"/>
    <d v="2025-07-15T00:00:00"/>
    <s v="119/25-26"/>
    <s v="MTPL/0706/25-26/15-07-2025"/>
    <m/>
    <s v="Malur Tubes Pvt Ltd"/>
    <s v="Colour Coated Steel Roofing Sheet "/>
    <m/>
    <n v="250"/>
    <n v="82"/>
    <n v="20500"/>
    <n v="0"/>
    <n v="0"/>
    <n v="20500"/>
    <n v="0.18"/>
    <n v="0"/>
    <n v="1845"/>
    <n v="1845"/>
    <n v="0"/>
    <n v="24190"/>
  </r>
  <r>
    <x v="3"/>
    <d v="2025-07-15T00:00:00"/>
    <s v="119/25-26"/>
    <s v="MTPL/0706/25-26/15-07-2025"/>
    <m/>
    <s v="Malur Tubes Pvt Ltd"/>
    <s v="Colour Coated Steel Roofing Sheet "/>
    <m/>
    <n v="35"/>
    <n v="105"/>
    <n v="3675"/>
    <n v="0"/>
    <n v="0"/>
    <n v="3675"/>
    <n v="0.18"/>
    <n v="0"/>
    <n v="330.75"/>
    <n v="330.75"/>
    <n v="0"/>
    <n v="4336.5"/>
  </r>
  <r>
    <x v="3"/>
    <d v="2025-07-17T00:00:00"/>
    <s v="120/25-26"/>
    <s v="095/2025-26/17-07-2025"/>
    <m/>
    <s v="Raman Engineering Corporation "/>
    <s v="Consumable Materials (Spair Parts)"/>
    <m/>
    <m/>
    <m/>
    <n v="33500"/>
    <n v="0"/>
    <n v="0"/>
    <n v="33500"/>
    <n v="0.18"/>
    <n v="0"/>
    <n v="3015"/>
    <n v="3015"/>
    <n v="0"/>
    <n v="39530"/>
  </r>
  <r>
    <x v="3"/>
    <d v="2025-07-15T00:00:00"/>
    <s v="121/25-26"/>
    <s v="7288/11-07-2025"/>
    <m/>
    <s v="New Mataji Electricals"/>
    <s v="Consumable Materials  (4 Sqm Wire Green 100 Mtr)"/>
    <m/>
    <n v="1"/>
    <n v="4680"/>
    <n v="4680"/>
    <n v="0"/>
    <n v="0"/>
    <n v="4680"/>
    <n v="0.18"/>
    <n v="0"/>
    <n v="421.2"/>
    <n v="421.2"/>
    <n v="0"/>
    <n v="5522.4"/>
  </r>
  <r>
    <x v="3"/>
    <d v="2025-07-15T00:00:00"/>
    <s v="121/25-26"/>
    <s v="7288/11-07-2025"/>
    <m/>
    <s v="New Mataji Electricals"/>
    <s v="1.5 Sqm x 3 Core Flexible Cable Poly Cab 100 Mtr"/>
    <m/>
    <n v="1"/>
    <n v="6000"/>
    <n v="6000"/>
    <n v="0"/>
    <n v="0"/>
    <n v="6000"/>
    <n v="0.18"/>
    <n v="0"/>
    <n v="540"/>
    <n v="540"/>
    <n v="0"/>
    <n v="7080"/>
  </r>
  <r>
    <x v="3"/>
    <d v="2025-07-15T00:00:00"/>
    <s v="121/25-26"/>
    <s v="7288/11-07-2025"/>
    <m/>
    <s v="New Mataji Electricals"/>
    <s v="1.5 Sqm x 4 Core Flexible Cable Poly Cab 100 Mtr"/>
    <m/>
    <n v="1"/>
    <n v="7900"/>
    <n v="7900"/>
    <n v="0"/>
    <n v="0"/>
    <n v="7900"/>
    <n v="0.18"/>
    <n v="0"/>
    <n v="711"/>
    <n v="711"/>
    <n v="0"/>
    <n v="9322"/>
  </r>
  <r>
    <x v="3"/>
    <d v="2025-07-15T00:00:00"/>
    <s v="121/25-26"/>
    <s v="7288/11-07-2025"/>
    <m/>
    <s v="New Mataji Electricals"/>
    <s v="2.5 Sqm x 4 Core Flexible Cable Poly Cab 100 Mtr"/>
    <m/>
    <n v="1"/>
    <n v="12200"/>
    <n v="12200"/>
    <n v="0"/>
    <n v="0"/>
    <n v="12200"/>
    <n v="0.18"/>
    <n v="0"/>
    <n v="1098"/>
    <n v="1098"/>
    <n v="0"/>
    <n v="14396"/>
  </r>
  <r>
    <x v="3"/>
    <d v="2025-07-17T00:00:00"/>
    <s v="122/25-26"/>
    <s v="HSRLY-25/2101775/07-07-2025"/>
    <m/>
    <s v="Pai International Electronics Ltd"/>
    <s v="Samsung A066BD 5G A06 4/128 GB Light "/>
    <m/>
    <n v="1"/>
    <n v="9745.76"/>
    <n v="9745.76"/>
    <n v="0"/>
    <n v="0"/>
    <n v="9745.76"/>
    <n v="0.18"/>
    <n v="0"/>
    <n v="877.11839999999995"/>
    <n v="877.11839999999995"/>
    <n v="0"/>
    <n v="11499.996799999999"/>
  </r>
  <r>
    <x v="3"/>
    <d v="2025-07-17T00:00:00"/>
    <s v="122/25-26"/>
    <s v="HSRLY-25/2101775/07-07-2025"/>
    <m/>
    <s v="Pai International Electronics Ltd"/>
    <s v="Samsung Type-C Adapter 25W "/>
    <m/>
    <n v="1"/>
    <n v="1186.44"/>
    <n v="1186.44"/>
    <n v="0"/>
    <n v="0"/>
    <n v="1186.44"/>
    <n v="0.18"/>
    <n v="0"/>
    <n v="106.77960000000002"/>
    <n v="106.77960000000002"/>
    <n v="0"/>
    <n v="1399.9992000000002"/>
  </r>
  <r>
    <x v="3"/>
    <d v="2025-07-21T00:00:00"/>
    <s v="123/25-26"/>
    <s v="52726100859/27-06-2025"/>
    <s v="0046/25-26"/>
    <s v="Ador Welding Ltd"/>
    <s v="088585 PowerMax 45 Sync 400V, 3PH (Hypertherm)"/>
    <m/>
    <n v="1"/>
    <n v="329744.75"/>
    <n v="329744.75"/>
    <n v="0"/>
    <n v="0"/>
    <n v="329744.75"/>
    <n v="0.18"/>
    <n v="59354.055"/>
    <n v="0"/>
    <n v="0"/>
    <n v="0"/>
    <n v="389098.80499999999"/>
  </r>
  <r>
    <x v="3"/>
    <d v="2025-07-19T00:00:00"/>
    <s v="124/25-26"/>
    <s v="MS25-26/IN/24645/18-07-2025"/>
    <s v="0062/2025-26"/>
    <s v="Mandot Steel "/>
    <s v="GP/GI Slitting Coil (137x18=10195KG) 0.60 x 1250"/>
    <s v="120gsm Slit 24G"/>
    <n v="10345"/>
    <n v="72"/>
    <n v="744840"/>
    <n v="5000"/>
    <n v="150"/>
    <n v="749990"/>
    <n v="0.18"/>
    <n v="0"/>
    <n v="67499.100000000006"/>
    <n v="67499.100000000006"/>
    <n v="0"/>
    <n v="884988.2"/>
  </r>
  <r>
    <x v="3"/>
    <d v="2025-07-21T00:00:00"/>
    <s v="125/25-26"/>
    <s v="8473/16-07-2025"/>
    <s v="0072/2025-26"/>
    <s v="Thoro Buildcare"/>
    <s v="50 MM Aluminium Foil Tape LS-C (50 MM x 50 M) 3,000 Rmt (60 Tape)"/>
    <m/>
    <n v="60"/>
    <n v="540"/>
    <n v="32400"/>
    <n v="1000"/>
    <n v="0"/>
    <n v="33400"/>
    <n v="0.18"/>
    <n v="6012"/>
    <n v="0"/>
    <n v="0"/>
    <n v="0"/>
    <n v="39412"/>
  </r>
  <r>
    <x v="3"/>
    <d v="2025-07-22T00:00:00"/>
    <s v="126/25-26"/>
    <s v="LS/0427/2025-26/22-07-2025"/>
    <s v="0074/2025-26"/>
    <s v="Nerotek Tapes Pvt Ltd "/>
    <s v="Neoprene Gasket ( 5mm x 20mm x 10mtrs ) In Rolls "/>
    <m/>
    <n v="415"/>
    <n v="315"/>
    <n v="130725"/>
    <n v="0"/>
    <n v="0"/>
    <n v="130725"/>
    <n v="0.18"/>
    <n v="0"/>
    <n v="11765.25"/>
    <n v="11765.25"/>
    <n v="0"/>
    <n v="154255.5"/>
  </r>
  <r>
    <x v="3"/>
    <d v="2025-07-23T00:00:00"/>
    <s v="127/25-26"/>
    <s v="SK25-03083/21-07-2025"/>
    <s v="0069/2025-26-SKCPL"/>
    <s v="Siddhi Kabel Corporation Pvt Ltd"/>
    <s v="Unitronic LiYCY 10x0,25 (In Mtr)"/>
    <m/>
    <n v="30"/>
    <n v="120.36"/>
    <n v="3610.8"/>
    <n v="0"/>
    <n v="0"/>
    <n v="3610.8"/>
    <n v="0.18"/>
    <n v="0"/>
    <n v="324.97199999999998"/>
    <n v="324.97199999999998"/>
    <n v="0"/>
    <n v="4260.7439999999997"/>
  </r>
  <r>
    <x v="3"/>
    <d v="2025-07-23T00:00:00"/>
    <s v="127/25-26"/>
    <s v="SK25-03083/21-07-2025"/>
    <s v="0069/2025-26-SKCPL"/>
    <s v="Siddhi Kabel Corporation Pvt Ltd"/>
    <s v="Unitronic LiYCY 4x0,5 "/>
    <m/>
    <n v="30"/>
    <n v="99.76"/>
    <n v="2992.8"/>
    <n v="0"/>
    <n v="0"/>
    <n v="2992.8"/>
    <n v="0.18"/>
    <n v="0"/>
    <n v="269.35200000000003"/>
    <n v="269.35200000000003"/>
    <n v="0"/>
    <n v="3531.5039999999999"/>
  </r>
  <r>
    <x v="3"/>
    <d v="2025-07-23T00:00:00"/>
    <s v="128/25-26"/>
    <s v="48375/22-07-2025"/>
    <s v="0070/2025-26"/>
    <s v="J.R &amp; Company"/>
    <s v="GP Coil ( 0.80 x 1220 x C ) 3 Nos (In MT)"/>
    <s v="120gsm 22G"/>
    <n v="10190"/>
    <n v="69.400000000000006"/>
    <n v="707186"/>
    <n v="6000"/>
    <n v="0"/>
    <n v="713186"/>
    <n v="0.18"/>
    <n v="0"/>
    <n v="64186.74"/>
    <n v="64186.74"/>
    <n v="0"/>
    <n v="841559.48"/>
  </r>
  <r>
    <x v="3"/>
    <d v="2025-07-23T00:00:00"/>
    <s v="129/25-26"/>
    <s v="48385/22-07-2025"/>
    <s v="0070/2025-26"/>
    <s v="J.R &amp; Company"/>
    <s v="GP Coil ( 0.60 x 1220 x C ) 7 Nos (In MT)"/>
    <s v="120gsm 24G"/>
    <n v="25650"/>
    <n v="70.900000000000006"/>
    <n v="1818585.0000000002"/>
    <n v="15390"/>
    <n v="0"/>
    <n v="1833975.0000000002"/>
    <n v="0.18"/>
    <n v="0"/>
    <n v="165057.75000000003"/>
    <n v="165057.75000000003"/>
    <n v="0"/>
    <n v="2164090.5000000005"/>
  </r>
  <r>
    <x v="3"/>
    <d v="2025-07-23T00:00:00"/>
    <s v="130/25-26"/>
    <s v="48389/23-07-2025"/>
    <s v="0070/2025-26"/>
    <s v="J.R &amp; Company"/>
    <s v="GP Coil ( 0.80 x 1220 x C ) 3 Nos (In MT)"/>
    <s v="120gsm 22G"/>
    <n v="10690"/>
    <n v="69.400000000000006"/>
    <n v="741886.00000000012"/>
    <n v="6420"/>
    <n v="0"/>
    <n v="748306.00000000012"/>
    <n v="0.18"/>
    <n v="0"/>
    <n v="67347.540000000008"/>
    <n v="67347.540000000008"/>
    <n v="0"/>
    <n v="883001.08000000019"/>
  </r>
  <r>
    <x v="3"/>
    <d v="2025-07-24T00:00:00"/>
    <s v="131/25-26"/>
    <s v="48396/23-07-2025"/>
    <s v="0070/2025-26"/>
    <s v="J.R &amp; Company"/>
    <s v="GP Coil ( 0.60 x 1220 x C ) 8 Nos (In MT)"/>
    <s v="120gsm 24G"/>
    <n v="28394"/>
    <n v="70.900000000000006"/>
    <n v="2013134.6"/>
    <n v="17040"/>
    <n v="0"/>
    <n v="2030174.6"/>
    <n v="0.18"/>
    <n v="0"/>
    <n v="182715.71400000004"/>
    <n v="182715.71400000004"/>
    <n v="0"/>
    <n v="2395606.0280000004"/>
  </r>
  <r>
    <x v="3"/>
    <d v="2025-07-24T00:00:00"/>
    <s v="132/25-26"/>
    <s v="MVDF/25-26/11564/22-07-2025"/>
    <s v="0075/2025-26"/>
    <s v="MVD Fasteners Pvt Ltd "/>
    <s v="Slotted Truss HD Screw 4.6G M8x25 ( In Nos )"/>
    <m/>
    <n v="12500"/>
    <n v="3.1"/>
    <n v="38750"/>
    <n v="0"/>
    <n v="0"/>
    <n v="38750"/>
    <n v="0.18"/>
    <m/>
    <n v="3487.5"/>
    <n v="3487.5"/>
    <n v="0"/>
    <n v="45725"/>
  </r>
  <r>
    <x v="3"/>
    <d v="2025-07-24T00:00:00"/>
    <s v="132/25-26"/>
    <s v="MVDF/25-26/11564/22-07-2025"/>
    <s v="0075/2025-26"/>
    <s v="MVD Fasteners Pvt Ltd "/>
    <s v="Slotted Truss HD Screw 4.6G M8x32 ( In Nos )"/>
    <m/>
    <n v="8575"/>
    <n v="3.3"/>
    <n v="28297.5"/>
    <n v="0"/>
    <n v="0"/>
    <n v="28297.5"/>
    <n v="0.18"/>
    <m/>
    <n v="2546.7750000000001"/>
    <n v="2546.7750000000001"/>
    <n v="0"/>
    <n v="33391.050000000003"/>
  </r>
  <r>
    <x v="3"/>
    <d v="2025-07-28T00:00:00"/>
    <s v="133/25-26"/>
    <s v="SAI3889/25-26/21-07-2025"/>
    <s v="0139/2024-25"/>
    <s v="Sri Arihant Industries"/>
    <s v="Kflex ST Sheet 13mm CL-O AM (40 Roll) In Sqm"/>
    <m/>
    <n v="672"/>
    <n v="143"/>
    <n v="96096"/>
    <n v="16700"/>
    <n v="0"/>
    <n v="112796"/>
    <n v="0.18"/>
    <n v="0"/>
    <n v="10151.64"/>
    <n v="10151.64"/>
    <n v="0"/>
    <n v="133099.28"/>
  </r>
  <r>
    <x v="3"/>
    <d v="2025-07-28T00:00:00"/>
    <s v="134/25-26"/>
    <s v="AVK-211-25-26/24-07-2025"/>
    <s v="0065/2025-26-1"/>
    <s v="AVK Industrial Supplies"/>
    <s v="Consumable Materials "/>
    <m/>
    <m/>
    <m/>
    <n v="162826.5"/>
    <n v="4200"/>
    <n v="0"/>
    <n v="167026.5"/>
    <n v="0.18"/>
    <n v="0"/>
    <n v="15032.385"/>
    <n v="15032.385"/>
    <n v="0"/>
    <n v="196698.27000000002"/>
  </r>
  <r>
    <x v="3"/>
    <d v="2025-07-26T00:00:00"/>
    <s v="135/25-26"/>
    <s v="MS25-26/IN/24808/25-07-2025"/>
    <s v="0062/2025-26"/>
    <s v="Mandot Steel"/>
    <s v="GP/GI Slitting Coil 137x16 &amp; 100x2 (0.60x1220) In Kgs"/>
    <s v="120gsm Slit 24G"/>
    <n v="9532"/>
    <n v="72"/>
    <n v="686304"/>
    <n v="7800"/>
    <n v="150"/>
    <n v="694254"/>
    <n v="0.18"/>
    <n v="0"/>
    <n v="62482.86"/>
    <n v="62482.86"/>
    <n v="0"/>
    <n v="819219.72"/>
  </r>
  <r>
    <x v="3"/>
    <d v="2025-07-26T00:00:00"/>
    <s v="135/25-26"/>
    <s v="MS25-26/IN/24808/25-07-2025"/>
    <s v="0062/2025-26"/>
    <s v="Mandot Steel"/>
    <s v="GP/GI Coil (0.80x1220) "/>
    <s v="120gsm 22G"/>
    <n v="6146"/>
    <n v="69"/>
    <n v="424074"/>
    <n v="0"/>
    <n v="0"/>
    <n v="424074"/>
    <n v="0.18"/>
    <n v="0"/>
    <n v="38166.660000000003"/>
    <n v="38166.660000000003"/>
    <n v="0"/>
    <n v="500407.32000000007"/>
  </r>
  <r>
    <x v="3"/>
    <d v="2025-07-26T00:00:00"/>
    <s v="136/25-26"/>
    <s v="MVDF/25-26/12127/26-07-2025"/>
    <s v="0048/2025-26"/>
    <s v="MVD Fasteners Pvt Ltd "/>
    <s v="Consumable Materials ( Threaded Rod Steel )"/>
    <m/>
    <m/>
    <m/>
    <n v="64585.5"/>
    <n v="0"/>
    <n v="0"/>
    <n v="64585.5"/>
    <n v="0.18"/>
    <n v="0"/>
    <n v="5812.6949999999997"/>
    <n v="5812.6949999999997"/>
    <n v="0"/>
    <n v="76210.890000000014"/>
  </r>
  <r>
    <x v="3"/>
    <d v="2025-07-29T00:00:00"/>
    <s v="137/25-26"/>
    <s v="INV2526-007/29-07-2025"/>
    <m/>
    <s v="Solid Machine Works"/>
    <s v="Tool Dia Set Press Tool as per your sample Cleating Cutting Tool"/>
    <m/>
    <n v="1"/>
    <n v="58000"/>
    <n v="58000"/>
    <n v="0"/>
    <n v="0"/>
    <n v="58000"/>
    <n v="0.18"/>
    <n v="0"/>
    <n v="5220"/>
    <n v="5220"/>
    <n v="0"/>
    <n v="68440"/>
  </r>
  <r>
    <x v="3"/>
    <d v="2025-07-30T00:00:00"/>
    <s v="138/25-26"/>
    <s v="48442/29-07-2025"/>
    <s v="0070/2025-26"/>
    <s v="J.R &amp; Company"/>
    <s v="GP Coil ( 1.20 x1250 x C ) In MT"/>
    <s v="120gsm 18G"/>
    <n v="5960"/>
    <n v="69.400000000000006"/>
    <n v="413624.00000000006"/>
    <n v="3600"/>
    <n v="0"/>
    <n v="417224.00000000006"/>
    <n v="0.18"/>
    <n v="0"/>
    <n v="37550.160000000003"/>
    <n v="37550.160000000003"/>
    <n v="0"/>
    <n v="492324.32000000007"/>
  </r>
  <r>
    <x v="3"/>
    <d v="2025-07-30T00:00:00"/>
    <s v="139/25-26"/>
    <s v="SRE/2085/25-26/30-07-2025"/>
    <n v="67"/>
    <s v="S.R Enterprises "/>
    <s v="Consumable Materials ( Pop Revit, Ear Plug 3mm and Long Nut)"/>
    <m/>
    <m/>
    <m/>
    <n v="80900"/>
    <n v="0"/>
    <n v="0"/>
    <n v="80900"/>
    <n v="0.18"/>
    <n v="0"/>
    <n v="7281"/>
    <n v="7281"/>
    <n v="0"/>
    <n v="95462"/>
  </r>
  <r>
    <x v="3"/>
    <d v="2025-07-30T00:00:00"/>
    <s v="140/25-26"/>
    <s v="GTR -I/25-26/1430/30-07-2025"/>
    <n v="73"/>
    <s v="GTR Aluminium Pvt Ltd"/>
    <s v="Aluminium Ext Profile ( In Kgs )"/>
    <m/>
    <n v="502.42"/>
    <n v="319.75"/>
    <n v="160648.79500000001"/>
    <n v="0"/>
    <n v="0"/>
    <n v="160648.79500000001"/>
    <n v="0.18"/>
    <n v="0"/>
    <n v="14458.39155"/>
    <n v="14458.39155"/>
    <n v="0"/>
    <n v="189565.57810000001"/>
  </r>
  <r>
    <x v="3"/>
    <d v="2025-07-30T00:00:00"/>
    <s v="141/25-26"/>
    <s v="48446/30-07-2025"/>
    <s v="0070/25-26"/>
    <s v="J.R &amp; Company"/>
    <s v="GP Coil (1.00 x 1220 x C) Qty in MT (1 Nos)"/>
    <s v="120gsm 20G"/>
    <n v="4705"/>
    <n v="69.400000000000006"/>
    <n v="326527"/>
    <n v="6000"/>
    <n v="0"/>
    <n v="332527"/>
    <n v="0.18"/>
    <n v="0"/>
    <n v="29927.43"/>
    <n v="29927.43"/>
    <n v="0"/>
    <n v="392381.86"/>
  </r>
  <r>
    <x v="3"/>
    <d v="2025-07-30T00:00:00"/>
    <s v="141/25-26"/>
    <s v="48446/30-07-2025"/>
    <s v="0070/25-26"/>
    <s v="J.R &amp; Company"/>
    <s v="GP Coil (0.80 x 1220 x C) Qty in MT (1 Nos)"/>
    <s v="120gsm 22G"/>
    <n v="4985"/>
    <n v="69.400000000000006"/>
    <n v="345959"/>
    <n v="0"/>
    <n v="0"/>
    <n v="345959"/>
    <n v="0.18"/>
    <n v="0"/>
    <n v="31136.31"/>
    <n v="31136.31"/>
    <n v="0"/>
    <n v="408231.62"/>
  </r>
  <r>
    <x v="3"/>
    <d v="2025-07-30T00:00:00"/>
    <s v="142/25-26"/>
    <s v="SAI4257/25-26/29-07-2025"/>
    <s v="0139/2024-25_1"/>
    <s v="Sri Arihant Industries"/>
    <s v="Kflex ST Sheet 9mm CL-O AM (110 Roll) In Sqm"/>
    <m/>
    <n v="2640"/>
    <n v="101.5"/>
    <n v="267960"/>
    <n v="56000"/>
    <n v="0"/>
    <n v="323960"/>
    <n v="0.18"/>
    <n v="0"/>
    <n v="29156.400000000001"/>
    <n v="29156.400000000001"/>
    <n v="0"/>
    <n v="382272.80000000005"/>
  </r>
  <r>
    <x v="3"/>
    <d v="2025-07-30T00:00:00"/>
    <s v="142/25-26"/>
    <s v="SAI4257/25-26/29-07-2025"/>
    <s v="0139/2024-25_1"/>
    <s v="Sri Arihant Industries"/>
    <s v="Kflex ST Sheet 13mm CL-O AM (60 Roll) In Sqm"/>
    <m/>
    <n v="1008"/>
    <n v="143"/>
    <n v="144144"/>
    <n v="0"/>
    <n v="0"/>
    <n v="144144"/>
    <n v="0.18"/>
    <n v="0"/>
    <n v="12972.96"/>
    <n v="12972.96"/>
    <n v="0"/>
    <n v="170089.91999999998"/>
  </r>
  <r>
    <x v="3"/>
    <d v="2025-07-30T00:00:00"/>
    <s v="142/25-26"/>
    <s v="SAI4257/25-26/29-07-2025"/>
    <s v="0139/2024-25_1"/>
    <s v="Sri Arihant Industries"/>
    <s v="Kflex Kfonik 10mm Open CL-1AM (30 Box) Sqm"/>
    <m/>
    <n v="600"/>
    <n v="360"/>
    <n v="216000"/>
    <n v="0"/>
    <n v="0"/>
    <n v="216000"/>
    <n v="0.18"/>
    <n v="0"/>
    <n v="19440"/>
    <n v="19440"/>
    <n v="0"/>
    <n v="254880"/>
  </r>
  <r>
    <x v="3"/>
    <d v="2025-07-31T00:00:00"/>
    <s v="143/25-26"/>
    <s v="ST/25-26/3317/30-07-2025"/>
    <m/>
    <s v="Silcon Steels Pvt Ltd"/>
    <s v="GI Formed Sections ( L Angle-Thk-2.5mmx25x25) In MTS"/>
    <m/>
    <n v="0.2"/>
    <n v="72000"/>
    <n v="14400"/>
    <n v="1500"/>
    <n v="150"/>
    <n v="16050"/>
    <n v="0.18"/>
    <n v="0"/>
    <n v="1444.5"/>
    <n v="1444.5"/>
    <n v="0"/>
    <n v="18939"/>
  </r>
  <r>
    <x v="3"/>
    <d v="2025-07-30T00:00:00"/>
    <s v="144/25-26"/>
    <s v="14622/26-07-2025"/>
    <m/>
    <s v="Hardwares Junction"/>
    <s v="Consumable Materials"/>
    <m/>
    <m/>
    <m/>
    <n v="9615"/>
    <m/>
    <m/>
    <n v="9615"/>
    <n v="0.18"/>
    <n v="0"/>
    <n v="865.35"/>
    <n v="865.35"/>
    <n v="0"/>
    <n v="11345.7"/>
  </r>
  <r>
    <x v="3"/>
    <d v="2025-07-31T00:00:00"/>
    <s v="145/25-26"/>
    <s v="14639/29-07-2025"/>
    <m/>
    <s v="Hardwares Junction"/>
    <s v="Consumable Materials"/>
    <m/>
    <m/>
    <m/>
    <n v="6670"/>
    <n v="0"/>
    <n v="0"/>
    <n v="6670"/>
    <n v="0.18"/>
    <n v="0"/>
    <n v="600.29999999999995"/>
    <n v="600.29999999999995"/>
    <n v="0"/>
    <n v="7870.6"/>
  </r>
  <r>
    <x v="4"/>
    <d v="2025-08-01T00:00:00"/>
    <s v="146/25-26"/>
    <s v="MVDF/25-26-12636/30-07-2025"/>
    <s v="0048/2025-26"/>
    <s v="MVD Fasteners Pvt Ltd "/>
    <s v="Slotted Truss HD Screw 4.6G M8x16 (In Nos)"/>
    <m/>
    <n v="10000"/>
    <n v="2.8"/>
    <n v="28000"/>
    <n v="0"/>
    <n v="0"/>
    <n v="28000"/>
    <n v="0.18"/>
    <n v="0"/>
    <n v="2520"/>
    <n v="2520"/>
    <n v="0"/>
    <n v="33040"/>
  </r>
  <r>
    <x v="4"/>
    <d v="2025-08-01T00:00:00"/>
    <s v="147/25-26"/>
    <s v="8489/30-07-2025"/>
    <s v="0076/2025-26"/>
    <s v="Thoro Buildcare"/>
    <s v="13mm Thermobreak/Foil LS 1200mmx20m (125 Rolls) In Sqm"/>
    <m/>
    <n v="3000"/>
    <n v="385"/>
    <n v="1155000"/>
    <n v="58000"/>
    <n v="0"/>
    <n v="1213000"/>
    <n v="0.18"/>
    <n v="218340"/>
    <n v="0"/>
    <n v="0"/>
    <n v="0"/>
    <n v="1431340"/>
  </r>
  <r>
    <x v="4"/>
    <d v="2025-08-01T00:00:00"/>
    <s v="147/25-26"/>
    <s v="8489/30-07-2025"/>
    <s v="0076/2025-26"/>
    <s v="Thoro Buildcare"/>
    <s v="9mm Thermobreak LS AI Foil 1200mm*50mt (22 Rolls) "/>
    <m/>
    <n v="1320"/>
    <n v="320"/>
    <n v="422400"/>
    <n v="0"/>
    <n v="0"/>
    <n v="422400"/>
    <n v="0.18"/>
    <n v="76032"/>
    <n v="0"/>
    <n v="0"/>
    <n v="0"/>
    <n v="498432"/>
  </r>
  <r>
    <x v="4"/>
    <d v="2025-08-01T00:00:00"/>
    <s v="147/25-26"/>
    <s v="8489/30-07-2025"/>
    <s v="0076/2025-26"/>
    <s v="Thoro Buildcare"/>
    <s v="50mm Aluminium Foil Tape LS-C (50mm * 50 m) 6000 Rmtr ( 120 Tape)"/>
    <m/>
    <n v="120"/>
    <n v="540"/>
    <n v="64800"/>
    <n v="0"/>
    <n v="0"/>
    <n v="64800"/>
    <n v="0.18"/>
    <n v="11664"/>
    <n v="0"/>
    <n v="0"/>
    <n v="0"/>
    <n v="76464"/>
  </r>
  <r>
    <x v="4"/>
    <d v="2025-08-01T00:00:00"/>
    <s v="148/25-26"/>
    <s v="MVDF/25-26/12911/01-08-2025"/>
    <s v="0048/2025-26"/>
    <s v="MVD Fasteners Pvt Ltd "/>
    <s v="Threaded Rod Steel 4.6 M8x445 (In Nos)"/>
    <m/>
    <n v="362"/>
    <n v="18"/>
    <n v="6516"/>
    <n v="0"/>
    <n v="0"/>
    <n v="6516"/>
    <n v="0.18"/>
    <n v="0"/>
    <n v="586.44000000000005"/>
    <n v="586.44000000000005"/>
    <n v="0"/>
    <n v="7688.880000000001"/>
  </r>
  <r>
    <x v="4"/>
    <d v="2025-08-02T00:00:00"/>
    <s v="149/25-26"/>
    <s v="MVDF/25-26/13136/02-08-2025"/>
    <s v="0048/2025-26"/>
    <s v="MVD Fasteners Pvt Ltd "/>
    <s v="Slotted Truss HD Screw 4.6G M8x16 (In Nos)"/>
    <m/>
    <n v="2525"/>
    <n v="2.8"/>
    <n v="7070"/>
    <n v="0"/>
    <n v="0"/>
    <n v="7070"/>
    <n v="0.18"/>
    <n v="0"/>
    <n v="636.29999999999995"/>
    <n v="636.29999999999995"/>
    <n v="0"/>
    <n v="8342.6"/>
  </r>
  <r>
    <x v="4"/>
    <d v="2025-08-02T00:00:00"/>
    <s v="150/25-26"/>
    <s v="2526MSC1229/01-08-2025"/>
    <s v="0077/2025-26"/>
    <s v="Meenakshi Steel Corporation"/>
    <s v="GI Coil / Sheet (0.60 x 137mm - 18) In Kgs"/>
    <s v="120gsm Slit 24G"/>
    <n v="10944"/>
    <n v="70.5"/>
    <n v="771552"/>
    <n v="7660"/>
    <n v="0"/>
    <n v="779212"/>
    <n v="0.18"/>
    <n v="0"/>
    <n v="70129.08"/>
    <n v="70129.08"/>
    <n v="0"/>
    <n v="919470.15999999992"/>
  </r>
  <r>
    <x v="4"/>
    <d v="2025-08-04T00:00:00"/>
    <s v="151/25-26"/>
    <s v="LRM/0309/25-26/04-08-2025"/>
    <s v="0079/2025-26"/>
    <s v="LR Multi Speciality Products"/>
    <s v="Stretch Film ( Manual Grade ) 500mm x 23 Mic (In Kgs )"/>
    <m/>
    <n v="492.86"/>
    <n v="127"/>
    <n v="62593.22"/>
    <n v="0"/>
    <n v="0"/>
    <n v="62593.22"/>
    <n v="0.18"/>
    <n v="0"/>
    <n v="5633.3897999999999"/>
    <n v="5633.3897999999999"/>
    <n v="0"/>
    <n v="73859.99960000001"/>
  </r>
  <r>
    <x v="4"/>
    <d v="2025-08-06T00:00:00"/>
    <s v="152/25-26"/>
    <s v="JSPL/0435/25-26/01-08-2025"/>
    <s v="0063/2025-26"/>
    <s v="Jaspreet Steelmet Pvt Ltd"/>
    <s v="Quadrant Handle with 8mm Round Hole-J1004(Weight-64Kg)Box-5 Nos"/>
    <m/>
    <n v="1000"/>
    <n v="28"/>
    <n v="28000"/>
    <n v="0"/>
    <n v="0"/>
    <n v="28000"/>
    <n v="0.18"/>
    <n v="5040"/>
    <n v="0"/>
    <n v="0"/>
    <n v="0"/>
    <n v="33040"/>
  </r>
  <r>
    <x v="4"/>
    <d v="2025-08-06T00:00:00"/>
    <s v="153/25-26"/>
    <s v="110/2025-26/06-08-2025"/>
    <m/>
    <s v="Raman Engineering Corporation "/>
    <s v="Bandsaw Machine (In Nos)"/>
    <m/>
    <n v="1"/>
    <n v="110000"/>
    <n v="110000"/>
    <n v="0"/>
    <n v="0"/>
    <n v="110000"/>
    <n v="0.18"/>
    <n v="0"/>
    <n v="9900"/>
    <n v="9900"/>
    <n v="0"/>
    <n v="129800"/>
  </r>
  <r>
    <x v="4"/>
    <d v="2025-08-06T00:00:00"/>
    <s v="153/25-26"/>
    <s v="110/2025-26/06-08-2025"/>
    <m/>
    <s v="Raman Engineering Corporation "/>
    <s v="Blade Bandsaw (3000x27x0.9) Spare Blade In MS"/>
    <m/>
    <n v="1"/>
    <n v="3800"/>
    <n v="3800"/>
    <n v="0"/>
    <n v="0"/>
    <n v="3800"/>
    <n v="0.18"/>
    <n v="0"/>
    <n v="342"/>
    <n v="342"/>
    <n v="0"/>
    <n v="4484"/>
  </r>
  <r>
    <x v="4"/>
    <d v="2025-08-06T00:00:00"/>
    <s v="153/25-26"/>
    <s v="110/2025-26/06-08-2025"/>
    <m/>
    <s v="Raman Engineering Corporation "/>
    <s v="Blade Bandsaw (3000x27x0.9) Aluminium"/>
    <m/>
    <n v="2"/>
    <n v="3500"/>
    <n v="7000"/>
    <n v="0"/>
    <n v="0"/>
    <n v="7000"/>
    <n v="0.18"/>
    <n v="0"/>
    <n v="630"/>
    <n v="630"/>
    <n v="0"/>
    <n v="8260"/>
  </r>
  <r>
    <x v="4"/>
    <d v="2025-08-06T00:00:00"/>
    <s v="154/25-26"/>
    <s v="ME/25-26/256/06-08-2025"/>
    <m/>
    <s v="Manoj Enterprises "/>
    <s v="80 Gram Blue Cotton Knitted Gloves (In Pairs)"/>
    <m/>
    <n v="500"/>
    <n v="11"/>
    <n v="5500"/>
    <n v="0"/>
    <n v="0"/>
    <n v="5500"/>
    <n v="0.18"/>
    <n v="0"/>
    <n v="137.5"/>
    <n v="137.5"/>
    <m/>
    <n v="5775"/>
  </r>
  <r>
    <x v="4"/>
    <d v="2025-08-06T00:00:00"/>
    <s v="155/25-26"/>
    <s v="SAI4495/25-26/05-08-2025"/>
    <s v="0056/2025-26"/>
    <s v="Sri Arihant Industries"/>
    <s v="Kflex St Sheet 13mm CL-O AluFoil (240 Roll) In Sqm"/>
    <m/>
    <n v="4032"/>
    <n v="187"/>
    <n v="753984"/>
    <n v="57000"/>
    <n v="0"/>
    <n v="810984"/>
    <n v="0.18"/>
    <n v="0"/>
    <n v="72988.56"/>
    <n v="72988.56"/>
    <n v="0"/>
    <n v="956961.12000000011"/>
  </r>
  <r>
    <x v="4"/>
    <d v="2025-08-08T00:00:00"/>
    <s v="156/25-26"/>
    <s v="2526MSC1284/07-08-2025"/>
    <s v="0077/2025-26"/>
    <s v="Meenakshi Steel Corporation"/>
    <s v="GI Coil / Sheet (0.60 x 137mm - 18) In Kgs"/>
    <s v="120gsm Slit 24G"/>
    <n v="11998"/>
    <n v="70.5"/>
    <n v="845859"/>
    <n v="8400"/>
    <n v="0"/>
    <n v="854259"/>
    <n v="0.18"/>
    <n v="0"/>
    <n v="76883.31"/>
    <n v="76883.31"/>
    <n v="0"/>
    <n v="1008025.6200000001"/>
  </r>
  <r>
    <x v="4"/>
    <d v="2025-08-08T00:00:00"/>
    <s v="157/25-26"/>
    <s v="MS25-26/IN/25085/07-08-2025"/>
    <s v="0062/2025-26-1"/>
    <s v="Mandot Steel"/>
    <s v="GP/GI Sheet 120 STL (1.20 x 1250 ) In Kgs "/>
    <s v="120gsm 18G"/>
    <n v="5900"/>
    <n v="69"/>
    <n v="407100"/>
    <n v="11200"/>
    <n v="150"/>
    <n v="418450"/>
    <n v="0.18"/>
    <n v="0"/>
    <n v="37660.5"/>
    <n v="37660.5"/>
    <n v="0"/>
    <n v="493771"/>
  </r>
  <r>
    <x v="4"/>
    <d v="2025-08-08T00:00:00"/>
    <s v="157/25-26"/>
    <s v="MS25-26/IN/25085/07-08-2025"/>
    <s v="0062/2025-26-1"/>
    <s v="Mandot Steel"/>
    <s v="GP/GI Sheet 120 STL (1.00 x 1220 ) In Kgs "/>
    <s v="120gsm 20G"/>
    <n v="5210"/>
    <n v="69"/>
    <n v="359490"/>
    <n v="0"/>
    <n v="0"/>
    <n v="359490"/>
    <n v="0.18"/>
    <n v="0"/>
    <n v="32354.1"/>
    <n v="32354.1"/>
    <n v="0"/>
    <n v="424198.19999999995"/>
  </r>
  <r>
    <x v="4"/>
    <d v="2025-08-08T00:00:00"/>
    <s v="157/25-26"/>
    <s v="MS25-26/IN/25085/07-08-2025"/>
    <s v="0062/2025-26-1"/>
    <s v="Mandot Steel"/>
    <s v="GP/GI Sheet 120 STL (1.00 x 1220 ) In Kgs "/>
    <s v="120gsm 20G"/>
    <n v="3865"/>
    <n v="69"/>
    <n v="266685"/>
    <n v="0"/>
    <n v="0"/>
    <n v="266685"/>
    <n v="0.18"/>
    <n v="0"/>
    <n v="24001.65"/>
    <n v="24001.65"/>
    <n v="0"/>
    <n v="314688.30000000005"/>
  </r>
  <r>
    <x v="4"/>
    <d v="2025-08-08T00:00:00"/>
    <s v="157/25-26"/>
    <s v="MS25-26/IN/25085/07-08-2025"/>
    <s v="0062/2025-26-1"/>
    <s v="Mandot Steel"/>
    <s v="GP/GI Sheet 120 STL (1.00 x 1220 ) In Kgs "/>
    <s v="120gsm 20G"/>
    <n v="3700"/>
    <n v="69"/>
    <n v="255300"/>
    <n v="0"/>
    <n v="0"/>
    <n v="255300"/>
    <n v="0.18"/>
    <n v="0"/>
    <n v="22977"/>
    <n v="22977"/>
    <n v="0"/>
    <n v="301254"/>
  </r>
  <r>
    <x v="4"/>
    <d v="2025-08-08T00:00:00"/>
    <s v="157/25-26"/>
    <s v="MS25-26/IN/25085/07-08-2025"/>
    <s v="0062/2025-26-1"/>
    <s v="Mandot Steel"/>
    <s v="GP/GI Sheet 120 STL (0.80 x 1220 ) In Kgs "/>
    <s v="120gsm 22G"/>
    <n v="3845"/>
    <n v="69"/>
    <n v="265305"/>
    <n v="0"/>
    <n v="0"/>
    <n v="265305"/>
    <n v="0.18"/>
    <n v="0"/>
    <n v="23877.45"/>
    <n v="23877.45"/>
    <n v="0"/>
    <n v="313059.90000000002"/>
  </r>
  <r>
    <x v="4"/>
    <d v="2025-08-09T00:00:00"/>
    <s v="158/25-26"/>
    <s v="MVDF/25-26/13457/06-08-2025"/>
    <s v="0048/2025-26"/>
    <s v="MVD Fasteners Pvt Ltd "/>
    <s v="Threaded Rod Steel 4.6 M8x295 (In Nos)"/>
    <m/>
    <n v="103"/>
    <n v="13"/>
    <n v="1339"/>
    <n v="0"/>
    <n v="0"/>
    <n v="1339"/>
    <n v="0.18"/>
    <n v="0"/>
    <n v="120.51"/>
    <n v="120.51"/>
    <n v="0"/>
    <n v="1580.02"/>
  </r>
  <r>
    <x v="4"/>
    <d v="2025-08-09T00:00:00"/>
    <s v="158/25-26"/>
    <s v="MVDF/25-26/13457/06-08-2025"/>
    <s v="0048/2025-26"/>
    <s v="MVD Fasteners Pvt Ltd "/>
    <s v="Threaded Rod Steel 4.6 M8x345 (In Nos)"/>
    <m/>
    <n v="1634"/>
    <n v="14.5"/>
    <n v="23693"/>
    <n v="0"/>
    <n v="0"/>
    <n v="23693"/>
    <n v="0.18"/>
    <n v="0"/>
    <n v="2132.37"/>
    <n v="2132.37"/>
    <n v="0"/>
    <n v="27957.739999999998"/>
  </r>
  <r>
    <x v="4"/>
    <d v="2025-08-09T00:00:00"/>
    <s v="158/25-26"/>
    <s v="MVDF/25-26/13457/06-08-2025"/>
    <s v="0048/2025-26"/>
    <s v="MVD Fasteners Pvt Ltd "/>
    <s v="Threaded Rod Steel 4.6 M8x395 (In Nos)"/>
    <m/>
    <n v="831"/>
    <n v="16.5"/>
    <n v="13711.5"/>
    <n v="0"/>
    <n v="0"/>
    <n v="13711.5"/>
    <n v="0.18"/>
    <n v="0"/>
    <n v="1234.0350000000001"/>
    <n v="1234.0350000000001"/>
    <n v="0"/>
    <n v="16179.57"/>
  </r>
  <r>
    <x v="4"/>
    <d v="2025-08-09T00:00:00"/>
    <s v="158/25-26"/>
    <s v="MVDF/25-26/13457/06-08-2025"/>
    <s v="0048/2025-26"/>
    <s v="MVD Fasteners Pvt Ltd "/>
    <s v="Threaded Rod Steel 4.6 M8x400 (In Nos)"/>
    <m/>
    <n v="462"/>
    <n v="17"/>
    <n v="7854"/>
    <n v="0"/>
    <n v="0"/>
    <n v="7854"/>
    <n v="0.18"/>
    <n v="0"/>
    <n v="706.86"/>
    <n v="706.86"/>
    <n v="0"/>
    <n v="9267.7200000000012"/>
  </r>
  <r>
    <x v="4"/>
    <d v="2025-08-11T00:00:00"/>
    <s v="159/25-26"/>
    <s v="422/11-08-2025"/>
    <s v="0080/2025-26"/>
    <s v="Sneha Enterprise Self Adhesive Tapes"/>
    <s v="XLPE Gasket (5mm x 20mm x 10Mtr) In Mtr"/>
    <m/>
    <n v="25000"/>
    <n v="4"/>
    <n v="100000"/>
    <n v="0"/>
    <n v="0"/>
    <n v="100000"/>
    <n v="0.18"/>
    <n v="0"/>
    <n v="9000"/>
    <n v="9000"/>
    <n v="0"/>
    <n v="118000"/>
  </r>
  <r>
    <x v="4"/>
    <d v="2025-08-16T00:00:00"/>
    <s v="160/25-26"/>
    <s v="M12500004633/11-08-2025"/>
    <s v="0081/2025-26"/>
    <s v="The Supreme Industries Ltd"/>
    <s v="Insuflex 09mm 1100mm*20MTR Class O (100 Pkg) In Sqm"/>
    <m/>
    <n v="2200"/>
    <n v="110"/>
    <n v="242000"/>
    <n v="0"/>
    <n v="0"/>
    <n v="242000"/>
    <n v="0.18"/>
    <n v="43560"/>
    <n v="0"/>
    <n v="0"/>
    <n v="0"/>
    <n v="285560"/>
  </r>
  <r>
    <x v="4"/>
    <d v="2025-08-16T00:00:00"/>
    <s v="160/25-26"/>
    <s v="M12500004633/11-08-2025"/>
    <s v="0081/2025-26"/>
    <s v="The Supreme Industries Ltd"/>
    <s v="Insuflex 13mm  1100mm *14MTR Class O (180 Pkg) "/>
    <m/>
    <n v="2772"/>
    <n v="159"/>
    <n v="440748"/>
    <n v="0"/>
    <n v="0"/>
    <n v="440748"/>
    <n v="0.18"/>
    <n v="79334.64"/>
    <n v="0"/>
    <n v="0"/>
    <n v="0"/>
    <n v="520082.64"/>
  </r>
  <r>
    <x v="4"/>
    <d v="2025-08-18T00:00:00"/>
    <s v="161/25-26"/>
    <s v="MVDF/25-26/14102/13-08-2025"/>
    <s v="0048/2025-26"/>
    <s v="MVD Fasteners Pvt Ltd "/>
    <s v="Threaded Rod Steel 4.6 M8x245 (In Nos )"/>
    <m/>
    <n v="3010"/>
    <n v="11"/>
    <n v="33110"/>
    <n v="0"/>
    <n v="0"/>
    <n v="33110"/>
    <n v="0.18"/>
    <n v="0"/>
    <n v="2979.9"/>
    <n v="2979.9"/>
    <n v="0"/>
    <n v="39069.800000000003"/>
  </r>
  <r>
    <x v="4"/>
    <d v="2025-08-18T00:00:00"/>
    <s v="161/25-26"/>
    <s v="MVDF/25-26/14102/13-08-2025"/>
    <s v="0048/2025-26"/>
    <s v="MVD Fasteners Pvt Ltd "/>
    <s v="Theraded Rod Steel 4.6 M8x295 "/>
    <m/>
    <n v="2885"/>
    <n v="13"/>
    <n v="37505"/>
    <n v="0"/>
    <n v="0"/>
    <n v="37505"/>
    <n v="0.18"/>
    <n v="0"/>
    <n v="3375.45"/>
    <n v="3375.45"/>
    <n v="0"/>
    <n v="44255.899999999994"/>
  </r>
  <r>
    <x v="4"/>
    <d v="2025-08-21T00:00:00"/>
    <s v="162/25-26"/>
    <s v="MS25-26/IN/25378/20-08-2025"/>
    <s v="0084/2025-26"/>
    <s v="Mandot Steel"/>
    <s v="GP GI Coil 120 STL (0.60 x1220) In Kgs "/>
    <s v="120gsm 24G"/>
    <n v="5270"/>
    <n v="70"/>
    <n v="368900"/>
    <n v="13000"/>
    <n v="0"/>
    <n v="381900"/>
    <n v="0.18"/>
    <n v="0"/>
    <n v="34371"/>
    <n v="34371"/>
    <n v="0"/>
    <n v="450642"/>
  </r>
  <r>
    <x v="4"/>
    <d v="2025-08-21T00:00:00"/>
    <s v="162/25-26"/>
    <s v="MS25-26/IN/25378/20-08-2025"/>
    <s v="0084/2025-26"/>
    <s v="Mandot Steel"/>
    <s v="GP GI Coil 120 STL (0.60 x1220) In Kgs "/>
    <s v="120gsm 24G"/>
    <n v="5270"/>
    <n v="70"/>
    <n v="368900"/>
    <n v="0"/>
    <n v="0"/>
    <n v="368900"/>
    <n v="0.18"/>
    <n v="0"/>
    <n v="33201"/>
    <n v="33201"/>
    <n v="0"/>
    <n v="435302"/>
  </r>
  <r>
    <x v="4"/>
    <d v="2025-08-21T00:00:00"/>
    <s v="162/25-26"/>
    <s v="MS25-26/IN/25378/20-08-2025"/>
    <s v="0084/2025-26"/>
    <s v="Mandot Steel"/>
    <s v="GP GI Coil 120 STL (0.60 x1220) In Kgs "/>
    <s v="120gsm 24G"/>
    <n v="4990"/>
    <n v="70"/>
    <n v="349300"/>
    <n v="0"/>
    <n v="0"/>
    <n v="349300"/>
    <n v="0.18"/>
    <n v="0"/>
    <n v="31437"/>
    <n v="31437"/>
    <n v="0"/>
    <n v="412174"/>
  </r>
  <r>
    <x v="4"/>
    <d v="2025-08-21T00:00:00"/>
    <s v="162/25-26"/>
    <s v="MS25-26/IN/25378/20-08-2025"/>
    <s v="0084/2025-26"/>
    <s v="Mandot Steel"/>
    <s v="GP GI Coil 120 STL (0.60 x1220) In Kgs "/>
    <s v="120gsm 24G"/>
    <n v="5240"/>
    <n v="70"/>
    <n v="366800"/>
    <n v="0"/>
    <n v="0"/>
    <n v="366800"/>
    <n v="0.18"/>
    <n v="0"/>
    <n v="33012"/>
    <n v="33012"/>
    <n v="0"/>
    <n v="432824"/>
  </r>
  <r>
    <x v="4"/>
    <d v="2025-08-21T00:00:00"/>
    <s v="162/25-26"/>
    <s v="MS25-26/IN/25378/20-08-2025"/>
    <s v="0084/2025-26"/>
    <s v="Mandot Steel"/>
    <s v="GP GI Coil 120 STL (0.80 x1220) In Kgs "/>
    <s v="120gsm 22G"/>
    <n v="5245"/>
    <n v="68.5"/>
    <n v="359282.5"/>
    <n v="0"/>
    <n v="0"/>
    <n v="359282.5"/>
    <n v="0.18"/>
    <n v="0"/>
    <n v="32335.424999999999"/>
    <n v="32335.424999999999"/>
    <n v="0"/>
    <n v="423953.35"/>
  </r>
  <r>
    <x v="4"/>
    <d v="2025-08-21T00:00:00"/>
    <s v="163/25-26"/>
    <s v="MS25-26/IN/25379/20-08-2025"/>
    <s v="0084/2025-26"/>
    <s v="Mandot Steel"/>
    <s v="GP GI Coil 120 STL (0.80 x1220) In Kgs "/>
    <s v="120gsm 22G"/>
    <n v="5430"/>
    <n v="68.5"/>
    <n v="371955"/>
    <n v="2750"/>
    <n v="150"/>
    <n v="374855"/>
    <n v="0.18"/>
    <n v="0"/>
    <n v="33736.949999999997"/>
    <n v="33736.949999999997"/>
    <n v="0"/>
    <n v="442328.9"/>
  </r>
  <r>
    <x v="4"/>
    <d v="2025-08-22T00:00:00"/>
    <s v="164/25-26"/>
    <s v="2526MSC1428/21-08-2025"/>
    <s v="0085/202526"/>
    <s v="Meenakshi Steel Corporation"/>
    <s v="GI Coil / Sheet (0.60 x 137mm - 36) In Kgs"/>
    <s v="120gsm Slit 24G"/>
    <n v="21760"/>
    <n v="72.5"/>
    <n v="1577600"/>
    <n v="23550"/>
    <n v="0"/>
    <n v="1601150"/>
    <n v="0.18"/>
    <n v="0"/>
    <n v="144103.5"/>
    <n v="144103.5"/>
    <n v="0"/>
    <n v="1889357"/>
  </r>
  <r>
    <x v="4"/>
    <d v="2025-08-22T00:00:00"/>
    <s v="164/25-26"/>
    <s v="2526MSC1428/21-08-2025"/>
    <s v="0085/202526"/>
    <s v="Meenakshi Steel Corporation"/>
    <s v="GI Coil / Sheet (0.80 x 137mm - 18) In Kgs"/>
    <s v="120gsm Slit 22G"/>
    <n v="11896"/>
    <n v="70.75"/>
    <n v="841642"/>
    <n v="0"/>
    <n v="0"/>
    <n v="841642"/>
    <n v="0.18"/>
    <n v="0"/>
    <n v="75747.78"/>
    <n v="75747.78"/>
    <n v="0"/>
    <n v="993137.56"/>
  </r>
  <r>
    <x v="4"/>
    <d v="2025-08-25T00:00:00"/>
    <s v="165/25-26"/>
    <s v="MS25-26/IN/25486/24-08-2025"/>
    <s v="0084/2025-26"/>
    <s v="Mandot Steel"/>
    <s v="GP GI Coil 120 STL (0.60 x1220) In Kgs "/>
    <s v="120gsm 24G"/>
    <n v="5540"/>
    <n v="70"/>
    <n v="387800"/>
    <n v="13500"/>
    <n v="150"/>
    <n v="401450"/>
    <n v="0.18"/>
    <n v="0"/>
    <n v="36130.5"/>
    <n v="36130.5"/>
    <n v="0"/>
    <n v="473711"/>
  </r>
  <r>
    <x v="4"/>
    <d v="2025-08-25T00:00:00"/>
    <s v="165/25-26"/>
    <s v="MS25-26/IN/25486/24-08-2025"/>
    <s v="0084/2025-26"/>
    <s v="Mandot Steel"/>
    <s v="GP GI Coil 120 STL (0.60 x1220) In Kgs "/>
    <s v="120gsm 24G"/>
    <n v="5390"/>
    <n v="70"/>
    <n v="377300"/>
    <n v="0"/>
    <n v="0"/>
    <n v="377300"/>
    <n v="0.18"/>
    <n v="0"/>
    <n v="33957"/>
    <n v="33957"/>
    <n v="0"/>
    <n v="445214"/>
  </r>
  <r>
    <x v="4"/>
    <d v="2025-08-25T00:00:00"/>
    <s v="165/25-26"/>
    <s v="MS25-26/IN/25486/24-08-2025"/>
    <s v="0084/2025-26"/>
    <s v="Mandot Steel"/>
    <s v="GP GI Coil 120 STL (0.60 x1220) In Kgs "/>
    <s v="120gsm 24G"/>
    <n v="5320"/>
    <n v="70"/>
    <n v="372400"/>
    <n v="0"/>
    <n v="0"/>
    <n v="372400"/>
    <n v="0.18"/>
    <n v="0"/>
    <n v="33516"/>
    <n v="33516"/>
    <n v="0"/>
    <n v="439432"/>
  </r>
  <r>
    <x v="4"/>
    <d v="2025-08-25T00:00:00"/>
    <s v="165/25-26"/>
    <s v="MS25-26/IN/25486/24-08-2025"/>
    <s v="0084/2025-26"/>
    <s v="Mandot Steel"/>
    <s v="GP GI Coil 120 STL (0.80 x1220) In Kgs "/>
    <s v="120gsm 22G"/>
    <n v="5625"/>
    <n v="68.5"/>
    <n v="385312.5"/>
    <n v="0"/>
    <n v="0"/>
    <n v="385312.5"/>
    <n v="0.18"/>
    <n v="0"/>
    <n v="34678.125"/>
    <n v="34678.125"/>
    <n v="0"/>
    <n v="454668.75"/>
  </r>
  <r>
    <x v="4"/>
    <d v="2025-08-25T00:00:00"/>
    <s v="165/25-26"/>
    <s v="MS25-26/IN/25486/24-08-2025"/>
    <s v="0084/2025-26"/>
    <s v="Mandot Steel"/>
    <s v="GP GI Coil 120 STL (0.80 x1220) In Kgs "/>
    <s v="120gsm 22G"/>
    <n v="5060"/>
    <n v="68.5"/>
    <n v="346610"/>
    <n v="0"/>
    <n v="0"/>
    <n v="346610"/>
    <n v="0.18"/>
    <n v="0"/>
    <n v="31194.9"/>
    <n v="31194.9"/>
    <n v="0"/>
    <n v="408999.80000000005"/>
  </r>
  <r>
    <x v="4"/>
    <d v="2025-08-28T00:00:00"/>
    <s v="166/25-26"/>
    <s v="25-26/1837/28-08-2025"/>
    <s v="0006/2025-26"/>
    <s v="Shree Jashraj Insulation Pvt Ltd"/>
    <s v="Armasound Ductliner with Microban 15mm (33 Box) In Sqm"/>
    <m/>
    <n v="396"/>
    <n v="455"/>
    <n v="180180"/>
    <n v="10810"/>
    <n v="0"/>
    <n v="190990"/>
    <n v="0.18"/>
    <n v="0"/>
    <n v="17189.099999999999"/>
    <n v="17189.099999999999"/>
    <n v="0"/>
    <n v="225368.2"/>
  </r>
  <r>
    <x v="4"/>
    <d v="2025-08-28T00:00:00"/>
    <s v="167/25-26"/>
    <s v="25-26/1838/28-08-2025"/>
    <s v="0086/2025-26"/>
    <s v="Shree Jashraj Insulation Pvt Ltd"/>
    <s v="Armasound Ductliner with Microban 10mm (25 Box) In Sqm"/>
    <m/>
    <n v="425"/>
    <n v="405"/>
    <n v="172125"/>
    <n v="3000"/>
    <n v="0"/>
    <n v="175125"/>
    <n v="0.18"/>
    <n v="0"/>
    <n v="15761.25"/>
    <n v="15761.25"/>
    <n v="0"/>
    <n v="206647.5"/>
  </r>
  <r>
    <x v="4"/>
    <d v="2025-08-29T00:00:00"/>
    <s v="168/25-26"/>
    <s v="2526MSC1495/29-08-2025"/>
    <s v="0085/2526"/>
    <s v="Meenakshi Steel Corporation"/>
    <s v="GI Coil / Sheet (0.60 x 137 mm -18 -120 STL) In Kgs "/>
    <s v="120gsm Slit 24G"/>
    <n v="10630"/>
    <n v="72.5"/>
    <n v="770675"/>
    <n v="7440"/>
    <n v="0"/>
    <n v="778115"/>
    <n v="0.18"/>
    <n v="0"/>
    <n v="70030.350000000006"/>
    <n v="70030.350000000006"/>
    <n v="0"/>
    <n v="918175.7"/>
  </r>
  <r>
    <x v="4"/>
    <d v="2025-08-29T00:00:00"/>
    <s v="169/25-26"/>
    <s v="2526MSC1496/29-08-2025"/>
    <s v="0085/2526"/>
    <s v="Meenakshi Steel Corporation"/>
    <s v="GI Coil / Sheet (0.80 x 137mm - 9 - 120 Gsm) In Kgs "/>
    <s v="120gsm Slit 22G"/>
    <n v="5510"/>
    <n v="70.75"/>
    <n v="389832.5"/>
    <n v="10185"/>
    <n v="0"/>
    <n v="400017.5"/>
    <n v="0.18"/>
    <n v="0"/>
    <n v="36001.574999999997"/>
    <n v="36001.574999999997"/>
    <n v="0"/>
    <n v="472020.65"/>
  </r>
  <r>
    <x v="4"/>
    <d v="2025-08-29T00:00:00"/>
    <s v="169/25-26"/>
    <s v="2526MSC1496/29-08-2025"/>
    <s v="0085/2526"/>
    <s v="Meenakshi Steel Corporation"/>
    <s v="GI Coil / Sheet (1.00 x 137mm - 18 - 120 Gsm) In Kgs "/>
    <s v="120gsm Slit 20G"/>
    <n v="9040"/>
    <n v="70.75"/>
    <n v="639580"/>
    <n v="0"/>
    <n v="0"/>
    <n v="639580"/>
    <n v="0.18"/>
    <n v="0"/>
    <n v="57562.2"/>
    <n v="57562.2"/>
    <n v="0"/>
    <n v="754704.39999999991"/>
  </r>
  <r>
    <x v="4"/>
    <d v="2025-08-30T00:00:00"/>
    <s v="170/25-26"/>
    <s v="MS25-26/IN/25574/29-08-2025"/>
    <s v="0084/2025-26"/>
    <s v="Mandot Steel"/>
    <s v="GP GI Coil 120 STL (0.80 x1220) In Kgs "/>
    <s v="120gsm 22G"/>
    <n v="5470"/>
    <n v="68.5"/>
    <n v="374695"/>
    <n v="11500"/>
    <n v="0"/>
    <n v="386195"/>
    <n v="0.18"/>
    <n v="0"/>
    <n v="34757.550000000003"/>
    <n v="34757.550000000003"/>
    <n v="0"/>
    <n v="455710.1"/>
  </r>
  <r>
    <x v="4"/>
    <d v="2025-08-30T00:00:00"/>
    <s v="170/25-26"/>
    <s v="MS25-26/IN/25574/29-08-2025"/>
    <s v="0084/2025-26"/>
    <s v="Mandot Steel"/>
    <s v="GP GI Coil 120 STL (1.00 x1220) In Kgs "/>
    <s v="120gsm 20G"/>
    <n v="5830"/>
    <n v="68.5"/>
    <n v="399355"/>
    <n v="0"/>
    <n v="0"/>
    <n v="399355"/>
    <n v="0.18"/>
    <n v="0"/>
    <n v="35941.949999999997"/>
    <n v="35941.949999999997"/>
    <n v="0"/>
    <n v="471238.9"/>
  </r>
  <r>
    <x v="4"/>
    <d v="2025-08-30T00:00:00"/>
    <s v="170/25-26"/>
    <s v="MS25-26/IN/25574/29-08-2025"/>
    <s v="0084/2025-26"/>
    <s v="Mandot Steel"/>
    <s v="GP GI Coil 120 STL (1.00 x1220) In Kgs "/>
    <s v="120gsm 20G"/>
    <n v="5920"/>
    <n v="68.5"/>
    <n v="405520"/>
    <n v="0"/>
    <n v="0"/>
    <n v="405520"/>
    <n v="0.18"/>
    <n v="0"/>
    <n v="36496.800000000003"/>
    <n v="36496.800000000003"/>
    <n v="0"/>
    <n v="478513.6"/>
  </r>
  <r>
    <x v="4"/>
    <d v="2025-08-30T00:00:00"/>
    <s v="170/25-26"/>
    <s v="MS25-26/IN/25574/29-08-2025"/>
    <s v="0084/2025-26"/>
    <s v="Mandot Steel"/>
    <s v="GP GI Coil 120 STL (0.60 x1220) In Kgs "/>
    <s v="120gsm 24G"/>
    <n v="5840"/>
    <n v="70"/>
    <n v="408800"/>
    <n v="0"/>
    <n v="0"/>
    <n v="408800"/>
    <n v="0.18"/>
    <n v="0"/>
    <n v="36792"/>
    <n v="36792"/>
    <n v="0"/>
    <n v="482384"/>
  </r>
  <r>
    <x v="4"/>
    <d v="2025-08-30T00:00:00"/>
    <s v="171/25-26"/>
    <s v="MS25-26/IN/25575/29-08-2025"/>
    <s v="0084/2025-26"/>
    <s v="Mandot Steel"/>
    <s v="GP GI Coil 120 STL (1.00 x1220) In Kgs "/>
    <s v="120gsm 20G"/>
    <n v="5460"/>
    <n v="68.5"/>
    <n v="374010"/>
    <n v="5500"/>
    <n v="150"/>
    <n v="379660"/>
    <n v="0.18"/>
    <n v="0"/>
    <n v="34169.4"/>
    <n v="34169.4"/>
    <n v="0"/>
    <n v="447998.80000000005"/>
  </r>
  <r>
    <x v="4"/>
    <d v="2025-08-30T00:00:00"/>
    <s v="171/25-26"/>
    <s v="MS25-26/IN/25575/29-08-2025"/>
    <s v="0084/2025-26"/>
    <s v="Mandot Steel"/>
    <s v="GP GI Coil 120 STL (0.60 x1220) In Kgs "/>
    <s v="120gsm 24G"/>
    <n v="5660"/>
    <n v="70"/>
    <n v="396200"/>
    <n v="0"/>
    <n v="0"/>
    <n v="396200"/>
    <n v="0.18"/>
    <n v="0"/>
    <n v="35658"/>
    <n v="35658"/>
    <n v="0"/>
    <n v="467516"/>
  </r>
  <r>
    <x v="4"/>
    <d v="2025-08-30T00:00:00"/>
    <s v="172/25-26"/>
    <s v="14803/25-08-2025"/>
    <m/>
    <s v="Hardwares Junction"/>
    <s v="Consumable Materials"/>
    <m/>
    <m/>
    <m/>
    <n v="6024"/>
    <n v="0"/>
    <n v="0"/>
    <n v="6024"/>
    <n v="0.18"/>
    <n v="0"/>
    <n v="542.16"/>
    <n v="542.16"/>
    <n v="0"/>
    <n v="7108.32"/>
  </r>
  <r>
    <x v="4"/>
    <d v="2025-08-30T00:00:00"/>
    <s v="173/25-26"/>
    <s v="14814/27-08-2025"/>
    <m/>
    <s v="Hardwares Junction"/>
    <s v="Consumable Materials"/>
    <m/>
    <m/>
    <m/>
    <n v="4520"/>
    <n v="0"/>
    <n v="0"/>
    <n v="4520"/>
    <n v="0.18"/>
    <n v="0"/>
    <n v="406.8"/>
    <n v="406.8"/>
    <n v="0"/>
    <n v="5333.6"/>
  </r>
  <r>
    <x v="4"/>
    <d v="2025-08-30T00:00:00"/>
    <s v="174/25-26"/>
    <s v="HRP/394/25-26/30-08-2025"/>
    <s v="0082/2025-26"/>
    <s v="HR Precisions"/>
    <s v="Supply of 20 G GSS Duct Corner Pieces "/>
    <m/>
    <n v="16200"/>
    <n v="6.5"/>
    <n v="105300"/>
    <n v="0"/>
    <n v="0"/>
    <n v="105300"/>
    <n v="0.18"/>
    <n v="0"/>
    <n v="9477"/>
    <n v="9477"/>
    <n v="0"/>
    <n v="124254"/>
  </r>
  <r>
    <x v="4"/>
    <d v="2025-08-30T00:00:00"/>
    <s v="175/25-26"/>
    <s v="395/01-08-2025"/>
    <m/>
    <s v="SBM Engineering Works"/>
    <s v="300x250x20mm MS Plate "/>
    <m/>
    <n v="2"/>
    <n v="2400"/>
    <n v="4800"/>
    <n v="0"/>
    <n v="0"/>
    <n v="4800"/>
    <n v="0.18"/>
    <n v="0"/>
    <n v="432"/>
    <n v="432"/>
    <n v="0"/>
    <n v="5664"/>
  </r>
  <r>
    <x v="4"/>
    <d v="2025-08-30T00:00:00"/>
    <s v="175/25-26"/>
    <s v="395/01-08-2025"/>
    <m/>
    <s v="SBM Engineering Works"/>
    <s v="60mm Round Rod (1 Mtr) In Kgs"/>
    <m/>
    <n v="36"/>
    <n v="120"/>
    <n v="4320"/>
    <n v="0"/>
    <n v="0"/>
    <n v="4320"/>
    <n v="0.18"/>
    <n v="0"/>
    <n v="388.8"/>
    <n v="388.8"/>
    <n v="0"/>
    <n v="5097.6000000000004"/>
  </r>
  <r>
    <x v="4"/>
    <d v="2025-08-30T00:00:00"/>
    <s v="175/25-26"/>
    <s v="395/01-08-2025"/>
    <m/>
    <s v="SBM Engineering Works"/>
    <s v="400mmx200mmx32mm MS Plate (In Kgs)"/>
    <m/>
    <n v="21.5"/>
    <n v="100"/>
    <n v="2150"/>
    <n v="0"/>
    <n v="0"/>
    <n v="2150"/>
    <n v="0.18"/>
    <n v="0"/>
    <n v="193.5"/>
    <n v="193.5"/>
    <n v="0"/>
    <n v="2537"/>
  </r>
  <r>
    <x v="4"/>
    <d v="2025-08-30T00:00:00"/>
    <s v="175/25-26"/>
    <s v="395/01-08-2025"/>
    <m/>
    <s v="SBM Engineering Works"/>
    <s v="100 Dia Roller Set (In Nos)"/>
    <m/>
    <n v="2"/>
    <n v="1900"/>
    <n v="3800"/>
    <n v="0"/>
    <n v="0"/>
    <n v="3800"/>
    <n v="0.18"/>
    <n v="0"/>
    <n v="342"/>
    <n v="342"/>
    <n v="0"/>
    <n v="4484"/>
  </r>
  <r>
    <x v="4"/>
    <d v="2025-08-30T00:00:00"/>
    <s v="176/25-26"/>
    <s v="396/01-08-2025"/>
    <m/>
    <s v="SBM Engineering Works"/>
    <s v="25mmx25mm Square Rod 2  Mtr (In Nos)"/>
    <m/>
    <n v="4"/>
    <n v="1200"/>
    <n v="4800"/>
    <n v="0"/>
    <m/>
    <n v="4800"/>
    <n v="0.18"/>
    <n v="0"/>
    <n v="432"/>
    <n v="432"/>
    <n v="0"/>
    <n v="5664"/>
  </r>
  <r>
    <x v="4"/>
    <d v="2025-08-30T00:00:00"/>
    <s v="176/25-26"/>
    <s v="396/01-08-2025"/>
    <m/>
    <s v="SBM Engineering Works"/>
    <s v="200mmX200mmX16mm MS Plate (IN Nos)"/>
    <m/>
    <n v="1"/>
    <n v="950"/>
    <n v="950"/>
    <n v="0"/>
    <n v="0"/>
    <n v="950"/>
    <n v="0.18"/>
    <n v="0"/>
    <n v="85.5"/>
    <n v="85.5"/>
    <n v="0"/>
    <n v="1121"/>
  </r>
  <r>
    <x v="4"/>
    <d v="2025-08-30T00:00:00"/>
    <s v="176/25-26"/>
    <s v="396/01-08-2025"/>
    <m/>
    <s v="SBM Engineering Works"/>
    <s v="Seam Closing Roller Set (In Nos)"/>
    <m/>
    <n v="2"/>
    <n v="4200"/>
    <n v="8400"/>
    <n v="0"/>
    <n v="0"/>
    <n v="8400"/>
    <n v="0.18"/>
    <n v="0"/>
    <n v="756"/>
    <n v="756"/>
    <n v="0"/>
    <n v="9912"/>
  </r>
  <r>
    <x v="4"/>
    <d v="2025-08-30T00:00:00"/>
    <s v="176/25-26"/>
    <s v="396/01-08-2025"/>
    <m/>
    <s v="SBM Engineering Works"/>
    <s v="100 Dia Roller Set Pin (In Nos)"/>
    <m/>
    <n v="1"/>
    <n v="500"/>
    <n v="500"/>
    <n v="0"/>
    <n v="0"/>
    <n v="500"/>
    <n v="0.18"/>
    <n v="0"/>
    <n v="45"/>
    <n v="45"/>
    <n v="0"/>
    <n v="590"/>
  </r>
  <r>
    <x v="5"/>
    <d v="2025-09-02T00:00:00"/>
    <s v="177/25-26"/>
    <s v="MVDF/25-26/15885/02-09-2025"/>
    <s v="0048/2025-26"/>
    <s v="MVD Fasteners Pvt Ltd "/>
    <s v="Threaded Rod Steel 4.6 M8x345 (In Nos)"/>
    <m/>
    <n v="198"/>
    <n v="14.5"/>
    <n v="2871"/>
    <n v="0"/>
    <n v="0"/>
    <n v="2871"/>
    <n v="0.18"/>
    <n v="0"/>
    <n v="258.39"/>
    <n v="258.39"/>
    <n v="0"/>
    <n v="3387.7799999999997"/>
  </r>
  <r>
    <x v="5"/>
    <d v="2025-09-02T00:00:00"/>
    <s v="177/25-26"/>
    <s v="MVDF/25-26/15885/02-09-2025"/>
    <s v="0048/2025-26"/>
    <s v="MVD Fasteners Pvt Ltd "/>
    <s v="Threaded Rod Steel 4.6 M8x245 (In Nos)"/>
    <m/>
    <n v="746"/>
    <n v="11"/>
    <n v="8206"/>
    <n v="0"/>
    <n v="0"/>
    <n v="8206"/>
    <n v="0.18"/>
    <n v="0"/>
    <n v="738.54"/>
    <n v="738.54"/>
    <n v="0"/>
    <n v="9683.0800000000017"/>
  </r>
  <r>
    <x v="5"/>
    <d v="2025-09-02T00:00:00"/>
    <s v="177/25-26"/>
    <s v="MVDF/25-26/15885/02-09-2025"/>
    <s v="0048/2025-26"/>
    <s v="MVD Fasteners Pvt Ltd "/>
    <s v="Threaded Rod Steel 4.6 M8x245 (In Nos)"/>
    <m/>
    <n v="247"/>
    <n v="13"/>
    <n v="3211"/>
    <n v="0"/>
    <n v="0"/>
    <n v="3211"/>
    <n v="0.18"/>
    <n v="0"/>
    <n v="288.99"/>
    <n v="288.99"/>
    <n v="0"/>
    <n v="3788.9799999999996"/>
  </r>
  <r>
    <x v="5"/>
    <d v="2025-09-03T00:00:00"/>
    <s v="178/25-26"/>
    <s v="25-26/1915/03-09-2025"/>
    <s v="0006/2025-26"/>
    <s v="Shree Jashraj Insulation Pvt Ltd"/>
    <s v="Armaflex with Microban Sheet Com-19MM/E 1.2 (110 Roll) In Sqm"/>
    <m/>
    <n v="1320"/>
    <n v="191"/>
    <n v="252120"/>
    <n v="20169"/>
    <n v="0"/>
    <n v="272289"/>
    <n v="0.18"/>
    <n v="0"/>
    <n v="24506.01"/>
    <n v="24506.01"/>
    <n v="0"/>
    <n v="321301.02"/>
  </r>
  <r>
    <x v="5"/>
    <d v="2025-09-03T00:00:00"/>
    <s v="179/25-26"/>
    <s v="25-26/1916/03-09-2025"/>
    <s v="0006/2025-26"/>
    <s v="Shree Jashraj Insulation Pvt Ltd"/>
    <s v="Armaflex with Microban Sheet Com-19MM/E 1.2 (66 Roll) In Sqm"/>
    <m/>
    <n v="792"/>
    <n v="191"/>
    <n v="151272"/>
    <n v="12101"/>
    <n v="0"/>
    <n v="163373"/>
    <n v="0.18"/>
    <n v="0"/>
    <n v="14703.57"/>
    <n v="14703.57"/>
    <n v="0"/>
    <n v="192780.14"/>
  </r>
  <r>
    <x v="5"/>
    <d v="2025-09-04T00:00:00"/>
    <s v="180/25-26"/>
    <s v="DS/KR/25-26/1974/04-09-2025"/>
    <s v="0089/2025-26"/>
    <s v="D.S Ductofab Systems Pvt Ltd"/>
    <s v="G.I. Flat Sheet (24 Gauage) 0.60x1220 ( 180 Gsm ) In Kgs "/>
    <s v="180gsm 24G"/>
    <n v="8550"/>
    <n v="73.5"/>
    <n v="628425"/>
    <n v="17000"/>
    <n v="0"/>
    <n v="645425"/>
    <n v="0.18"/>
    <n v="0"/>
    <n v="58088.25"/>
    <n v="58088.25"/>
    <n v="0"/>
    <n v="761601.5"/>
  </r>
  <r>
    <x v="5"/>
    <d v="2025-09-04T00:00:00"/>
    <s v="180/25-26"/>
    <s v="DS/KR/25-26/1974/04-09-2025"/>
    <s v="0089/2025-26"/>
    <s v="D.S Ductofab Systems Pvt Ltd"/>
    <s v="G.I. Flat Sheet (22 Gauage) 0.80x1220 ( 180 Gsm )"/>
    <s v="180gsm 22G"/>
    <n v="4650"/>
    <n v="71.5"/>
    <n v="332475"/>
    <n v="0"/>
    <n v="0"/>
    <n v="332475"/>
    <n v="0.18"/>
    <n v="0"/>
    <n v="29922.75"/>
    <n v="29922.75"/>
    <n v="0"/>
    <n v="392320.5"/>
  </r>
  <r>
    <x v="5"/>
    <d v="2025-09-04T00:00:00"/>
    <s v="181/25-26"/>
    <s v="DS/KR/25-26/1973/04-09-2025"/>
    <s v="0090/2025-26"/>
    <s v="D.S Ductofab Systems Pvt Ltd"/>
    <s v="G.I. Flat Sheet - 24 Gauge (0.60 x 1220) (180 GSM) In Kgs"/>
    <s v="180gsm 24G"/>
    <n v="4915"/>
    <n v="73.5"/>
    <n v="361252.5"/>
    <n v="8000"/>
    <n v="0"/>
    <n v="369252.5"/>
    <n v="0.18"/>
    <n v="0"/>
    <n v="33232.724999999999"/>
    <n v="33232.724999999999"/>
    <n v="0"/>
    <n v="435717.94999999995"/>
  </r>
  <r>
    <x v="5"/>
    <d v="2025-09-04T00:00:00"/>
    <s v="181/25-26"/>
    <s v="DS/KR/25-26/1973/04-09-2025"/>
    <s v="0090/2025-26"/>
    <s v="D.S Ductofab Systems Pvt Ltd"/>
    <s v="G.I Flat Sheet - 22 Gaug (0.80 x 1220) 180 GSm In Kgs "/>
    <s v="180gsm 22G"/>
    <n v="5730"/>
    <n v="71.5"/>
    <n v="409695"/>
    <n v="0"/>
    <n v="0"/>
    <n v="409695"/>
    <n v="0.18"/>
    <n v="0"/>
    <n v="36872.550000000003"/>
    <n v="36872.550000000003"/>
    <n v="0"/>
    <n v="483440.1"/>
  </r>
  <r>
    <x v="5"/>
    <d v="2025-09-04T00:00:00"/>
    <s v="182/25-26"/>
    <s v="25-26/1940/04-09-2025"/>
    <s v="0006/2025-26"/>
    <s v="Shree Jashraj Insulation Pvt Ltd"/>
    <s v="Armaflex with Microban Sheet Com-19MM/E 1.2 (70 Roll) In Sqm"/>
    <m/>
    <n v="840"/>
    <n v="191"/>
    <n v="160440"/>
    <n v="12835"/>
    <n v="0"/>
    <n v="173275"/>
    <n v="0.18"/>
    <n v="0"/>
    <n v="15594.75"/>
    <n v="15594.75"/>
    <n v="0"/>
    <n v="204464.5"/>
  </r>
  <r>
    <x v="5"/>
    <d v="2025-09-06T00:00:00"/>
    <s v="183/25-26"/>
    <s v="2526MSC1576/06-09-2025"/>
    <s v="0088/2025-26"/>
    <s v="Meenakshi Steel Corporation"/>
    <s v="GI Coil / Sheet (1.00x137mm-18-180 GSM) In Kgs"/>
    <s v="180gsm Slit 20G"/>
    <n v="11510"/>
    <n v="72.55"/>
    <n v="835050.5"/>
    <n v="12180"/>
    <n v="0"/>
    <n v="847230.5"/>
    <n v="0.18"/>
    <n v="0"/>
    <n v="76250.744999999995"/>
    <n v="76250.744999999995"/>
    <n v="0"/>
    <n v="999731.99"/>
  </r>
  <r>
    <x v="5"/>
    <d v="2025-09-06T00:00:00"/>
    <s v="183/25-26"/>
    <s v="2526MSC1576/06-09-2025"/>
    <s v="0088/2025-26"/>
    <s v="Meenakshi Steel Corporation"/>
    <s v="GI Coil   / Sheet ( 1.00 x 1220 - 180 GSM )"/>
    <s v="180gsm 20G"/>
    <n v="5895"/>
    <n v="71.55"/>
    <n v="421787.25"/>
    <n v="0"/>
    <n v="0"/>
    <n v="421787.25"/>
    <n v="0.18"/>
    <n v="0"/>
    <n v="37960.852500000001"/>
    <n v="37960.852500000001"/>
    <n v="0"/>
    <n v="497708.95499999996"/>
  </r>
  <r>
    <x v="5"/>
    <d v="2025-09-06T00:00:00"/>
    <s v="184/25-26"/>
    <s v="DS/KR/25-26/1998/06-09-20025"/>
    <s v="0090/2025-26"/>
    <s v="D.S Ductofab Systems Pvt Ltd"/>
    <s v="G.I Flat Sheet - 24 Gauge (180 GSM) In Kgs "/>
    <s v="180gsm 24G"/>
    <n v="5085"/>
    <n v="73.5"/>
    <n v="373747.5"/>
    <n v="5000"/>
    <n v="0"/>
    <n v="378747.5"/>
    <n v="0.18"/>
    <n v="0"/>
    <n v="34087.275000000001"/>
    <n v="34087.275000000001"/>
    <n v="0"/>
    <n v="446922.05000000005"/>
  </r>
  <r>
    <x v="5"/>
    <d v="2025-09-08T00:00:00"/>
    <s v="185/25-26"/>
    <s v="ME/25-26/275/08-09-2025"/>
    <m/>
    <s v="Manoj Enterprises "/>
    <s v="80 Gram Blue Cotton Knitted Gloves (In Pairs)"/>
    <m/>
    <n v="500"/>
    <n v="11"/>
    <n v="5500"/>
    <n v="0"/>
    <n v="0"/>
    <n v="5500"/>
    <n v="0.05"/>
    <n v="0"/>
    <n v="137.5"/>
    <n v="137.5"/>
    <n v="0"/>
    <n v="5775"/>
  </r>
  <r>
    <x v="5"/>
    <d v="2025-09-08T00:00:00"/>
    <s v="186/25-26"/>
    <s v="HRP/415/25-26/08-09-2025"/>
    <s v="0082/2025-26"/>
    <s v="HR Precisions"/>
    <s v="Supply of 20 G Gss Duct Corner Pieces ( In Nos )"/>
    <m/>
    <n v="18000"/>
    <n v="6.5"/>
    <n v="117000"/>
    <n v="0"/>
    <n v="0"/>
    <n v="117000"/>
    <n v="0.18"/>
    <n v="0"/>
    <n v="10530"/>
    <n v="10530"/>
    <n v="0"/>
    <n v="138060"/>
  </r>
  <r>
    <x v="5"/>
    <d v="2025-09-08T00:00:00"/>
    <s v="187/25-26"/>
    <s v="M12500005638/05-09-2025"/>
    <s v="0092/2025-26"/>
    <s v="The Supreme Industries Ltd"/>
    <s v="Insuflex NBR Sheets 09 1200mm*Class O (75 Pkg) In Sqm"/>
    <m/>
    <n v="1800"/>
    <n v="96"/>
    <n v="172800"/>
    <n v="0"/>
    <n v="0"/>
    <n v="172800"/>
    <n v="0.18"/>
    <n v="31104"/>
    <n v="0"/>
    <n v="0"/>
    <n v="0"/>
    <n v="203904"/>
  </r>
  <r>
    <x v="5"/>
    <d v="2025-09-10T00:00:00"/>
    <s v="188/25-26"/>
    <s v="DS/KR/25-26/2048/09-9-2025"/>
    <s v="0089/2025-26"/>
    <s v="D.S Ductofab Systems Pvt Ltd"/>
    <s v="G.I Flat Sheet - 22 Gaug (0.80 x 1220) 180 GSm In Kgs "/>
    <s v="180gsm 22G"/>
    <n v="5840"/>
    <n v="71.5"/>
    <n v="417560"/>
    <n v="8500"/>
    <n v="0"/>
    <n v="426060"/>
    <n v="0.18"/>
    <m/>
    <n v="38345.4"/>
    <n v="38345.4"/>
    <n v="0"/>
    <n v="502750.80000000005"/>
  </r>
  <r>
    <x v="5"/>
    <d v="2025-09-09T00:00:00"/>
    <s v="189/25-26"/>
    <s v="1175/25-26/09-08-2025"/>
    <m/>
    <s v="Izzy Agencies "/>
    <s v="Nav Tal Padlock(G 8 Levers)  In Nos"/>
    <m/>
    <n v="3"/>
    <n v="1211"/>
    <n v="3633"/>
    <n v="0"/>
    <n v="0"/>
    <n v="3633"/>
    <n v="0.18"/>
    <n v="0"/>
    <n v="326.97000000000003"/>
    <n v="326.97000000000003"/>
    <n v="0"/>
    <n v="4286.9400000000005"/>
  </r>
  <r>
    <x v="5"/>
    <d v="2025-09-09T00:00:00"/>
    <s v="189/25-26"/>
    <s v="1175/25-26/09-08-2025"/>
    <m/>
    <s v="Izzy Agencies "/>
    <s v="Pad Lock (G Imara )"/>
    <m/>
    <n v="1"/>
    <n v="1197"/>
    <n v="1197"/>
    <n v="0"/>
    <n v="0"/>
    <n v="1197"/>
    <n v="0.18"/>
    <n v="0"/>
    <n v="107.73"/>
    <n v="107.73"/>
    <n v="0"/>
    <n v="1412.46"/>
  </r>
  <r>
    <x v="5"/>
    <d v="2025-09-09T00:00:00"/>
    <s v="189/25-26"/>
    <s v="1175/25-26/09-08-2025"/>
    <m/>
    <s v="Izzy Agencies "/>
    <s v="Nav Tal Padlock ( G Pack of 4 )"/>
    <m/>
    <n v="1"/>
    <n v="2128"/>
    <n v="2128"/>
    <n v="0"/>
    <n v="0"/>
    <n v="2128"/>
    <n v="0.18"/>
    <n v="0"/>
    <n v="191.52"/>
    <n v="191.52"/>
    <n v="0"/>
    <n v="2511.04"/>
  </r>
  <r>
    <x v="5"/>
    <d v="2025-09-12T00:00:00"/>
    <s v="190/25-26"/>
    <s v="TCE/2526/510/11-09-2025"/>
    <s v="0106/2025-26"/>
    <s v="Truecon Enterprises"/>
    <s v="Electrode 45A-105A-PMX (In Nos)"/>
    <m/>
    <n v="50"/>
    <n v="947"/>
    <n v="47350"/>
    <n v="0"/>
    <n v="0"/>
    <n v="47350"/>
    <n v="0.18"/>
    <n v="0"/>
    <n v="4261.5"/>
    <n v="4261.5"/>
    <n v="0"/>
    <n v="55873"/>
  </r>
  <r>
    <x v="5"/>
    <d v="2025-09-12T00:00:00"/>
    <s v="190/25-26"/>
    <s v="TCE/2526/510/11-09-2025"/>
    <s v="0106/2025-26"/>
    <s v="Truecon Enterprises"/>
    <s v="Nozzel 45A PMX "/>
    <m/>
    <n v="50"/>
    <n v="691"/>
    <n v="34550"/>
    <n v="0"/>
    <n v="0"/>
    <n v="34550"/>
    <n v="0.18"/>
    <n v="0"/>
    <n v="3109.5"/>
    <n v="3109.5"/>
    <n v="0"/>
    <n v="40769"/>
  </r>
  <r>
    <x v="5"/>
    <d v="2025-09-09T00:00:00"/>
    <s v="191/25-26"/>
    <s v="TGPL-25-26-8070/08-09-2025"/>
    <s v="0093/2025-26"/>
    <s v="Transtech Gears Pvt Ltd"/>
    <s v="TW63 UFB50 F80 B5B3 + TM80 B4 B5 ( In Nos)"/>
    <m/>
    <n v="1"/>
    <n v="18073"/>
    <n v="18073"/>
    <n v="0"/>
    <n v="0"/>
    <n v="18073"/>
    <n v="0.18"/>
    <n v="0"/>
    <n v="1626.57"/>
    <n v="1626.57"/>
    <n v="0"/>
    <n v="21326.14"/>
  </r>
  <r>
    <x v="5"/>
    <d v="2025-09-10T00:00:00"/>
    <s v="192/25-26"/>
    <s v="SAI5805/25-26/10-09-2025"/>
    <s v="0056/2025-26_1"/>
    <s v="Sri Arihant Industries"/>
    <s v="Kflex St Shet 13mm CL-O AluFoil (225 Roll) In Sqm"/>
    <m/>
    <n v="3780"/>
    <n v="187"/>
    <n v="706860"/>
    <n v="57000"/>
    <n v="0"/>
    <n v="763860"/>
    <n v="0.18"/>
    <n v="0"/>
    <n v="68747.399999999994"/>
    <n v="68747.399999999994"/>
    <m/>
    <n v="901354.8"/>
  </r>
  <r>
    <x v="5"/>
    <d v="2025-09-10T00:00:00"/>
    <s v="192/25-26"/>
    <s v="SAI5805/25-26/10-09-2025"/>
    <s v="0056/2025-26_1"/>
    <s v="Sri Arihant Industries"/>
    <s v="Kflex Kfonik 10mm Open Cell CL-1 Plain (25 Box) "/>
    <m/>
    <n v="500"/>
    <n v="346"/>
    <n v="173000"/>
    <n v="0"/>
    <n v="0"/>
    <n v="173000"/>
    <n v="0.18"/>
    <n v="0"/>
    <n v="15570"/>
    <n v="15570"/>
    <n v="0"/>
    <n v="204140"/>
  </r>
  <r>
    <x v="5"/>
    <d v="2025-09-12T00:00:00"/>
    <s v="193/25-26"/>
    <s v="ET-2025-26/1738/11-09-2025"/>
    <m/>
    <s v="Elegant Traders "/>
    <s v="Swivel Caster Wheel 8 x 2&quot; PT White Breake ( In Nos )"/>
    <m/>
    <n v="18"/>
    <n v="1041.25"/>
    <n v="18742.5"/>
    <n v="0"/>
    <n v="150"/>
    <n v="18892.5"/>
    <n v="0.18"/>
    <n v="0"/>
    <n v="1700.325"/>
    <n v="1700.325"/>
    <n v="0"/>
    <n v="22293.15"/>
  </r>
  <r>
    <x v="5"/>
    <d v="2025-09-12T00:00:00"/>
    <s v="193/25-26"/>
    <s v="ET-2025-26/1738/11-09-2025"/>
    <m/>
    <s v="Elegant Traders "/>
    <s v="Swivel Caster Wheel 6 x 2&quot; PT White Breake ( In Nos )"/>
    <m/>
    <n v="24"/>
    <n v="892.5"/>
    <n v="21420"/>
    <n v="0"/>
    <n v="0"/>
    <n v="21420"/>
    <n v="0.18"/>
    <n v="0"/>
    <n v="1927.8"/>
    <n v="1927.8"/>
    <n v="0"/>
    <n v="25275.599999999999"/>
  </r>
  <r>
    <x v="5"/>
    <d v="2025-09-13T00:00:00"/>
    <s v="194/25-26"/>
    <s v="7580/12-09-2025"/>
    <m/>
    <s v="New Mataji Electricals"/>
    <s v="Consumable Materials"/>
    <m/>
    <m/>
    <m/>
    <n v="62880"/>
    <n v="0"/>
    <n v="0"/>
    <n v="62880"/>
    <n v="0.18"/>
    <n v="0"/>
    <n v="5659.2"/>
    <n v="5659.2"/>
    <n v="0"/>
    <n v="74198.399999999994"/>
  </r>
  <r>
    <x v="5"/>
    <d v="2025-09-13T00:00:00"/>
    <s v="195/25-26"/>
    <s v="7581/12-09-2025"/>
    <m/>
    <s v="New Mataji Electricals"/>
    <s v="Consumable Materials"/>
    <m/>
    <m/>
    <m/>
    <n v="4025"/>
    <n v="0"/>
    <n v="0"/>
    <n v="4025"/>
    <n v="0.18"/>
    <n v="0"/>
    <n v="362.25"/>
    <n v="362.25"/>
    <n v="0"/>
    <n v="4749.5"/>
  </r>
  <r>
    <x v="5"/>
    <d v="2025-09-13T00:00:00"/>
    <s v="196/25-26"/>
    <s v="PCT/0361/25-26/12-09-2025"/>
    <m/>
    <s v="Power Care Technologies"/>
    <s v="EVO-S 1550/12V Luminous Inverter ( In Nos )"/>
    <m/>
    <n v="1"/>
    <n v="7881.6"/>
    <n v="7881.6"/>
    <n v="0"/>
    <n v="0"/>
    <n v="7881.6"/>
    <n v="0.18"/>
    <n v="0"/>
    <n v="709.34400000000005"/>
    <n v="709.34400000000005"/>
    <n v="0"/>
    <n v="9300.2880000000005"/>
  </r>
  <r>
    <x v="5"/>
    <d v="2025-09-13T00:00:00"/>
    <s v="196/25-26"/>
    <s v="PCT/0361/25-26/12-09-2025"/>
    <m/>
    <s v="Power Care Technologies"/>
    <s v="Luminous 150Ah ILTT18060 Pro Battery "/>
    <m/>
    <n v="1"/>
    <n v="11718"/>
    <n v="11718"/>
    <n v="0"/>
    <n v="0"/>
    <n v="11718"/>
    <n v="0.18"/>
    <n v="0"/>
    <n v="1640.52"/>
    <n v="1640.52"/>
    <n v="0"/>
    <n v="14999.04"/>
  </r>
  <r>
    <x v="5"/>
    <d v="2025-09-13T00:00:00"/>
    <s v="196/25-26"/>
    <s v="PCT/0361/25-26/12-09-2025"/>
    <m/>
    <s v="Power Care Technologies"/>
    <s v="Luminous LD 1000 IN"/>
    <m/>
    <n v="1"/>
    <n v="16500"/>
    <n v="16500"/>
    <n v="0"/>
    <n v="0"/>
    <n v="16500"/>
    <n v="0.18"/>
    <n v="0"/>
    <n v="1485"/>
    <n v="1485"/>
    <n v="0"/>
    <n v="19470"/>
  </r>
  <r>
    <x v="5"/>
    <d v="2025-09-13T00:00:00"/>
    <s v="196/25-26"/>
    <s v="PCT/0361/25-26/12-09-2025"/>
    <m/>
    <s v="Power Care Technologies"/>
    <s v="12V 42AH Amaron Quanta Make SMF Batteries"/>
    <m/>
    <n v="3"/>
    <n v="3850"/>
    <n v="11550"/>
    <n v="0"/>
    <n v="0"/>
    <n v="11550"/>
    <n v="0.18"/>
    <n v="0"/>
    <n v="1039.5"/>
    <n v="1039.5"/>
    <n v="0"/>
    <n v="14784"/>
  </r>
  <r>
    <x v="5"/>
    <d v="2025-09-13T00:00:00"/>
    <s v="197/25-26"/>
    <s v="492/12-09-2025"/>
    <m/>
    <s v="A V Power Technologies"/>
    <s v="Consumable Materials"/>
    <m/>
    <m/>
    <m/>
    <n v="117900"/>
    <n v="0"/>
    <n v="0"/>
    <n v="117900"/>
    <n v="0.18"/>
    <n v="0"/>
    <n v="10611"/>
    <n v="10611"/>
    <n v="0"/>
    <n v="139122"/>
  </r>
  <r>
    <x v="5"/>
    <d v="2025-09-13T00:00:00"/>
    <s v="198/25-26"/>
    <s v="2526MSC1629/12-09-2025"/>
    <m/>
    <s v="Meenakshi Steel Corporation"/>
    <s v="GI Coil / Sheet (1.20 x 1220) 180 STL In Kgs"/>
    <s v="180gsm 18G"/>
    <n v="5225"/>
    <n v="71.55"/>
    <n v="373848.75"/>
    <n v="3650"/>
    <n v="0"/>
    <n v="377498.75"/>
    <n v="0.18"/>
    <n v="0"/>
    <n v="33974.887499999997"/>
    <n v="33974.887499999997"/>
    <n v="0"/>
    <n v="445448.52500000002"/>
  </r>
  <r>
    <x v="5"/>
    <d v="2025-09-13T00:00:00"/>
    <s v="199/25-26"/>
    <s v="KM/06055/2025-26/12-09-2025"/>
    <s v="0101/2025-26"/>
    <s v="Kothari Metals"/>
    <s v="MS Square Tube (50x50x2.50mm) 45 Nos (In MTS) 1.0000 MTS"/>
    <m/>
    <n v="1000"/>
    <n v="65.5"/>
    <n v="65500"/>
    <n v="5500"/>
    <n v="438"/>
    <n v="71438"/>
    <n v="0.18"/>
    <n v="0"/>
    <n v="6429.42"/>
    <n v="6429.42"/>
    <n v="0"/>
    <n v="84296.84"/>
  </r>
  <r>
    <x v="5"/>
    <d v="2025-09-13T00:00:00"/>
    <s v="199/25-26"/>
    <s v="KM/06055/2025-26/12-09-2025"/>
    <s v="0101/2025-26"/>
    <s v="Kothari Metals"/>
    <s v="MS Angles (40x40x5.00mm) 10 Nos (0.1800)"/>
    <m/>
    <n v="180"/>
    <n v="57.5"/>
    <n v="10350"/>
    <n v="0"/>
    <n v="0"/>
    <n v="10350"/>
    <n v="0.18"/>
    <n v="0"/>
    <n v="931.5"/>
    <n v="931.5"/>
    <n v="0"/>
    <n v="12213"/>
  </r>
  <r>
    <x v="5"/>
    <d v="2025-09-13T00:00:00"/>
    <s v="199/25-26"/>
    <s v="KM/06055/2025-26/12-09-2025"/>
    <s v="0101/2025-26"/>
    <s v="Kothari Metals"/>
    <s v="HR Cut Pieces (10.0mm x 120x120) 50 Nos (0.0520)"/>
    <m/>
    <n v="50"/>
    <n v="110"/>
    <n v="5500"/>
    <n v="0"/>
    <n v="0"/>
    <n v="5500"/>
    <n v="0.18"/>
    <n v="0"/>
    <n v="495"/>
    <n v="495"/>
    <n v="0"/>
    <n v="6490"/>
  </r>
  <r>
    <x v="5"/>
    <d v="2025-09-13T00:00:00"/>
    <s v="200/25-26"/>
    <s v="MVDF/25-26-16596/09-09-2025"/>
    <s v="0100/2025-26"/>
    <s v="MVD Fasteners Pvt Ltd "/>
    <s v="Threaded Rod Steel 4.6 M8x445 (In Nos)"/>
    <m/>
    <n v="959"/>
    <n v="18"/>
    <n v="17262"/>
    <n v="0"/>
    <n v="0"/>
    <n v="17262"/>
    <n v="0.18"/>
    <n v="0"/>
    <n v="1553.58"/>
    <n v="1553.58"/>
    <n v="0"/>
    <n v="20369.160000000003"/>
  </r>
  <r>
    <x v="5"/>
    <d v="2025-09-13T00:00:00"/>
    <s v="200/25-26"/>
    <s v="MVDF/25-26-16596/09-09-2025"/>
    <s v="0100/2025-26"/>
    <s v="MVD Fasteners Pvt Ltd "/>
    <s v="Threaded Rod Steel 4.6 M8x495 (In Nos)"/>
    <m/>
    <n v="572"/>
    <n v="20"/>
    <n v="11440"/>
    <n v="0"/>
    <n v="0"/>
    <n v="11440"/>
    <n v="0.18"/>
    <n v="0"/>
    <n v="1029.5999999999999"/>
    <n v="1029.5999999999999"/>
    <n v="0"/>
    <n v="13499.2"/>
  </r>
  <r>
    <x v="5"/>
    <d v="2025-09-13T00:00:00"/>
    <s v="200/25-26"/>
    <s v="MVDF/25-26-16596/09-09-2025"/>
    <s v="0100/2025-26"/>
    <s v="MVD Fasteners Pvt Ltd "/>
    <s v="Threaded Rod Steel 4.6 M8x400 (In Nos)"/>
    <m/>
    <n v="34"/>
    <n v="17"/>
    <n v="578"/>
    <n v="0"/>
    <n v="0"/>
    <n v="578"/>
    <n v="0.18"/>
    <n v="0"/>
    <n v="52.02"/>
    <n v="52.02"/>
    <n v="0"/>
    <n v="682.04"/>
  </r>
  <r>
    <x v="5"/>
    <d v="2025-09-13T00:00:00"/>
    <s v="200/25-26"/>
    <s v="MVDF/25-26-16596/09-09-2025"/>
    <s v="0100/2025-26"/>
    <s v="MVD Fasteners Pvt Ltd "/>
    <s v="Threaded Rod Steel 4.6 M8x450 (In Nos)"/>
    <m/>
    <n v="713"/>
    <n v="19"/>
    <n v="13547"/>
    <n v="0"/>
    <n v="0"/>
    <n v="13547"/>
    <n v="0.18"/>
    <n v="0"/>
    <n v="1219.23"/>
    <n v="1219.23"/>
    <n v="0"/>
    <n v="15985.46"/>
  </r>
  <r>
    <x v="5"/>
    <d v="2025-09-13T00:00:00"/>
    <s v="200/25-26"/>
    <s v="MVDF/25-26-16596/09-09-2025"/>
    <s v="0100/2025-26"/>
    <s v="MVD Fasteners Pvt Ltd "/>
    <s v="Threaded Rod Steel 4.6 M8x500 (In Nos)"/>
    <m/>
    <n v="464"/>
    <n v="20.5"/>
    <n v="9512"/>
    <n v="0"/>
    <n v="0"/>
    <n v="9512"/>
    <n v="0.18"/>
    <n v="0"/>
    <n v="856.08"/>
    <n v="856.08"/>
    <n v="0"/>
    <n v="11224.16"/>
  </r>
  <r>
    <x v="5"/>
    <d v="2025-09-15T00:00:00"/>
    <s v="201/25-26"/>
    <s v="MVDF/25-26/16801/11-09-2025"/>
    <s v="0048/2025-26"/>
    <s v="MVD Fasteners Pvt Ltd "/>
    <s v="Threaded Rod Steel 4.6 M8x345 (In Nos)"/>
    <m/>
    <n v="523"/>
    <n v="14.5"/>
    <n v="7583.5"/>
    <n v="0"/>
    <n v="0"/>
    <n v="7583.5"/>
    <n v="0.18"/>
    <n v="0"/>
    <n v="682.51499999999999"/>
    <n v="682.51499999999999"/>
    <n v="0"/>
    <n v="8948.5299999999988"/>
  </r>
  <r>
    <x v="5"/>
    <d v="2025-09-15T00:00:00"/>
    <s v="201/25-26"/>
    <s v="MVDF/25-26/16801/11-09-2025"/>
    <s v="0048/2025-26"/>
    <s v="MVD Fasteners Pvt Ltd "/>
    <s v="Threaded Rod Steel 4.6 M8x395 (In Nos)"/>
    <m/>
    <n v="157"/>
    <n v="16.5"/>
    <n v="2590.5"/>
    <n v="0"/>
    <n v="0"/>
    <n v="2590.5"/>
    <n v="0.18"/>
    <n v="0"/>
    <n v="233.14500000000001"/>
    <n v="233.14500000000001"/>
    <n v="0"/>
    <n v="3056.79"/>
  </r>
  <r>
    <x v="5"/>
    <d v="2025-09-15T00:00:00"/>
    <s v="201/25-26"/>
    <s v="MVDF/25-26/16801/11-09-2025"/>
    <s v="0048/2025-26"/>
    <s v="MVD Fasteners Pvt Ltd "/>
    <s v="Threaded Rod Steel 4.6 M8x300 (In Nos)`"/>
    <m/>
    <n v="300"/>
    <n v="14.5"/>
    <n v="4350"/>
    <n v="0"/>
    <n v="0"/>
    <n v="4350"/>
    <n v="0.18"/>
    <n v="0"/>
    <n v="391.5"/>
    <n v="391.5"/>
    <n v="0"/>
    <n v="5133"/>
  </r>
  <r>
    <x v="5"/>
    <d v="2025-09-15T00:00:00"/>
    <s v="201/25-26"/>
    <s v="MVDF/25-26/16801/11-09-2025"/>
    <s v="0048/2025-26"/>
    <s v="MVD Fasteners Pvt Ltd "/>
    <s v="Threaded Rod Steel 4.6 M8x245 (In Nos)"/>
    <m/>
    <n v="1244"/>
    <n v="11"/>
    <n v="13684"/>
    <n v="0"/>
    <n v="0"/>
    <n v="13684"/>
    <n v="0.18"/>
    <n v="0"/>
    <n v="1231.56"/>
    <n v="1231.56"/>
    <n v="0"/>
    <n v="16147.119999999999"/>
  </r>
  <r>
    <x v="5"/>
    <d v="2025-09-15T00:00:00"/>
    <s v="201/25-26"/>
    <s v="MVDF/25-26/16801/11-09-2025"/>
    <s v="0048/2025-26"/>
    <s v="MVD Fasteners Pvt Ltd "/>
    <s v="Threaded Rod Steel 4.6 M8x295 (In Nos)"/>
    <m/>
    <n v="1743"/>
    <n v="13"/>
    <n v="22659"/>
    <n v="0"/>
    <n v="0"/>
    <n v="22659"/>
    <n v="0.18"/>
    <n v="0"/>
    <n v="2039.31"/>
    <n v="2039.31"/>
    <n v="0"/>
    <n v="26737.620000000003"/>
  </r>
  <r>
    <x v="5"/>
    <d v="2025-09-15T00:00:00"/>
    <s v="201/25-26"/>
    <s v="MVDF/25-26/16801/11-09-2025"/>
    <s v="0048/2025-26"/>
    <s v="MVD Fasteners Pvt Ltd "/>
    <s v="Threaded Rod Steel 4.6 M8x350 (In Nos)"/>
    <m/>
    <n v="220"/>
    <n v="16"/>
    <n v="3520"/>
    <n v="0"/>
    <n v="0"/>
    <n v="3520"/>
    <n v="0.18"/>
    <n v="0"/>
    <n v="316.8"/>
    <n v="316.8"/>
    <n v="0"/>
    <n v="4153.6000000000004"/>
  </r>
  <r>
    <x v="5"/>
    <d v="2025-09-15T00:00:00"/>
    <s v="202/25-26"/>
    <s v="MVDF/25-26/16908/12-09-2025"/>
    <s v="0100/2025-26"/>
    <s v="MVD Fasteners Pvt Ltd "/>
    <s v="Threaded Rod Steel 4.6 M8x245 (In Nos)"/>
    <m/>
    <n v="165"/>
    <n v="11"/>
    <n v="1815"/>
    <n v="0"/>
    <n v="0"/>
    <n v="1815"/>
    <n v="0.18"/>
    <n v="0"/>
    <n v="163.35"/>
    <n v="163.35"/>
    <n v="0"/>
    <n v="2141.6999999999998"/>
  </r>
  <r>
    <x v="5"/>
    <d v="2025-09-15T00:00:00"/>
    <s v="202/25-26"/>
    <s v="MVDF/25-26/16908/12-09-2025"/>
    <s v="0100/2025-26"/>
    <s v="MVD Fasteners Pvt Ltd "/>
    <s v="Threaded Rod Steel 4.6 M8x295 (In Nos)"/>
    <m/>
    <n v="52"/>
    <n v="13"/>
    <n v="676"/>
    <n v="0"/>
    <n v="0"/>
    <n v="676"/>
    <n v="0.18"/>
    <n v="0"/>
    <n v="60.84"/>
    <n v="60.84"/>
    <n v="0"/>
    <n v="797.68000000000006"/>
  </r>
  <r>
    <x v="5"/>
    <d v="2025-09-15T00:00:00"/>
    <s v="202/25-26"/>
    <s v="MVDF/25-26/16908/12-09-2025"/>
    <s v="0100/2025-26"/>
    <s v="MVD Fasteners Pvt Ltd "/>
    <s v="Threaded Rod Steel 4.6 M8x345 (In Nos)"/>
    <m/>
    <n v="12"/>
    <n v="14.5"/>
    <n v="174"/>
    <n v="0"/>
    <n v="0"/>
    <n v="174"/>
    <n v="0.18"/>
    <n v="0"/>
    <n v="15.66"/>
    <n v="15.66"/>
    <n v="0"/>
    <n v="205.32"/>
  </r>
  <r>
    <x v="5"/>
    <d v="2025-09-15T00:00:00"/>
    <s v="202/25-26"/>
    <s v="MVDF/25-26/16908/12-09-2025"/>
    <s v="0100/2025-26"/>
    <s v="MVD Fasteners Pvt Ltd "/>
    <s v="Threaded Rod Steel 4.6 M8x395 (In Nos)"/>
    <m/>
    <n v="176"/>
    <n v="16.5"/>
    <n v="2904"/>
    <n v="0"/>
    <n v="0"/>
    <n v="2904"/>
    <n v="0.18"/>
    <n v="0"/>
    <n v="261.36"/>
    <n v="261.36"/>
    <n v="0"/>
    <n v="3426.7200000000003"/>
  </r>
  <r>
    <x v="5"/>
    <d v="2025-09-15T00:00:00"/>
    <s v="202/25-26"/>
    <s v="MVDF/25-26/16908/12-09-2025"/>
    <s v="0100/2025-26"/>
    <s v="MVD Fasteners Pvt Ltd "/>
    <s v="Threaded Rod Steel 4.6 M8x300 (In Nos)`"/>
    <m/>
    <n v="4"/>
    <n v="14.5"/>
    <n v="58"/>
    <n v="0"/>
    <n v="0"/>
    <n v="58"/>
    <n v="0.18"/>
    <n v="0"/>
    <n v="5.22"/>
    <n v="5.22"/>
    <n v="0"/>
    <n v="68.44"/>
  </r>
  <r>
    <x v="5"/>
    <d v="2025-09-15T00:00:00"/>
    <s v="202/25-26"/>
    <s v="MVDF/25-26/16908/12-09-2025"/>
    <s v="0100/2025-26"/>
    <s v="MVD Fasteners Pvt Ltd "/>
    <s v="Threaded Rod Steel 4.6 M8x350 (In Nos)"/>
    <m/>
    <n v="23"/>
    <n v="16"/>
    <n v="368"/>
    <n v="0"/>
    <n v="0"/>
    <n v="368"/>
    <n v="0.18"/>
    <n v="0"/>
    <n v="33.119999999999997"/>
    <n v="33.119999999999997"/>
    <n v="0"/>
    <n v="434.24"/>
  </r>
  <r>
    <x v="5"/>
    <d v="2025-09-15T00:00:00"/>
    <s v="203/25-26"/>
    <s v="25-26/2071/15-09-2025"/>
    <s v="0109/2025-26"/>
    <s v="Shree Jashraj Insulation Pvt Ltd"/>
    <s v="Armasound Super Silence Sheets ASD-140-15 (30 Box) In Sqm"/>
    <m/>
    <n v="360"/>
    <n v="635"/>
    <n v="228600"/>
    <n v="4500"/>
    <n v="0"/>
    <n v="233100"/>
    <n v="0.18"/>
    <n v="0"/>
    <n v="20979"/>
    <n v="20979"/>
    <n v="0"/>
    <n v="275058"/>
  </r>
  <r>
    <x v="5"/>
    <d v="2025-09-15T00:00:00"/>
    <s v="203/25-26"/>
    <s v="25-26/2071/15-09-2025"/>
    <s v="0109/2025-26"/>
    <s v="Shree Jashraj Insulation Pvt Ltd"/>
    <s v="ArmaComp Uniskin Pro 3/50 MM Tape (36 Box) 432 No.s"/>
    <m/>
    <n v="432"/>
    <n v="150"/>
    <n v="64800"/>
    <n v="0"/>
    <n v="0"/>
    <n v="64800"/>
    <n v="0.18"/>
    <n v="0"/>
    <n v="5832"/>
    <n v="5832"/>
    <n v="0"/>
    <n v="76464"/>
  </r>
  <r>
    <x v="5"/>
    <d v="2025-09-18T00:00:00"/>
    <s v="204/25-26"/>
    <s v="HRP/458/25-26/18-09-2025"/>
    <s v="0082/2025-26"/>
    <s v="HR Precisions"/>
    <s v="Supply of 20G Gss Duct Corner Pieces (In Nos)"/>
    <m/>
    <n v="15800"/>
    <n v="6.5"/>
    <n v="102700"/>
    <n v="0"/>
    <n v="0"/>
    <n v="102700"/>
    <n v="0.18"/>
    <n v="0"/>
    <n v="9243"/>
    <n v="9243"/>
    <n v="0"/>
    <n v="121186"/>
  </r>
  <r>
    <x v="5"/>
    <d v="2025-09-18T00:00:00"/>
    <s v="205/25-26"/>
    <s v="HRP/459/25-26/18-09-2025"/>
    <s v="0098/2025-26"/>
    <s v="HR Precisions"/>
    <s v="Supply of 20G Gss Duct Corner Pieces (In Nos)"/>
    <m/>
    <n v="2650"/>
    <n v="6.5"/>
    <n v="17225"/>
    <n v="0"/>
    <n v="0"/>
    <n v="17225"/>
    <n v="0.18"/>
    <n v="0"/>
    <n v="1550.25"/>
    <n v="1550.25"/>
    <n v="0"/>
    <n v="20325.5"/>
  </r>
  <r>
    <x v="5"/>
    <d v="2025-09-18T00:00:00"/>
    <s v="206/25-26"/>
    <s v="GSS/016/18-09-2025"/>
    <s v="0099/2025-26/06-09-2025"/>
    <s v="Global Storage Solution"/>
    <s v="Locker Cabinet (1' H X 1' W X 1.5' L Without Inbuilt Lock 1mm Doors0.8 Thk)"/>
    <m/>
    <n v="2"/>
    <n v="19500"/>
    <n v="39000"/>
    <n v="0"/>
    <n v="0"/>
    <n v="39000"/>
    <n v="0.18"/>
    <n v="0"/>
    <n v="3510"/>
    <n v="3510"/>
    <n v="0"/>
    <n v="46020"/>
  </r>
  <r>
    <x v="5"/>
    <d v="2025-09-16T00:00:00"/>
    <s v="207/25-26"/>
    <s v="MVDF/25-26/17352/16-09-2025"/>
    <s v="0075/2025-26"/>
    <s v="MVD Fasteners Pvt Ltd "/>
    <s v="Slotted Truss HD Screw 4.6G M8x25 ( In Nos )"/>
    <m/>
    <n v="17500"/>
    <n v="3.1"/>
    <n v="54250"/>
    <n v="0"/>
    <n v="0"/>
    <n v="54250"/>
    <n v="0.18"/>
    <n v="0"/>
    <n v="4882.5"/>
    <n v="4882.5"/>
    <n v="0"/>
    <n v="64015"/>
  </r>
  <r>
    <x v="5"/>
    <d v="2025-09-16T00:00:00"/>
    <s v="207/25-26"/>
    <s v="MVDF/25-26/17352/16-09-2025"/>
    <s v="0075/2025-26"/>
    <s v="MVD Fasteners Pvt Ltd "/>
    <s v="Slotted Truss HD Screw 4.6G M8x32 ( In Nos )"/>
    <m/>
    <n v="21425"/>
    <n v="3.3"/>
    <n v="70702.5"/>
    <n v="0"/>
    <n v="0"/>
    <n v="70702.5"/>
    <n v="0.18"/>
    <n v="0"/>
    <n v="6363.2250000000004"/>
    <n v="6363.2250000000004"/>
    <n v="0"/>
    <n v="83428.950000000012"/>
  </r>
  <r>
    <x v="5"/>
    <d v="2025-09-16T00:00:00"/>
    <s v="208/25-26"/>
    <s v="MVDF/25-26/17353/16-09-2025"/>
    <s v="0048/2025-26"/>
    <s v="MVD Fasteners Pvt Ltd "/>
    <s v="Slotted Truss HD Screw 4.6G M8x16 ( In Nos )"/>
    <m/>
    <n v="7245"/>
    <n v="2.8"/>
    <n v="20286"/>
    <n v="0"/>
    <n v="0"/>
    <n v="20286"/>
    <n v="0.18"/>
    <n v="0"/>
    <n v="1825.74"/>
    <n v="1825.74"/>
    <n v="0"/>
    <n v="23937.480000000003"/>
  </r>
  <r>
    <x v="5"/>
    <d v="2025-09-16T00:00:00"/>
    <s v="209/25-26"/>
    <s v="MVDF/25-26/17361/16-09-2025"/>
    <s v="0100/2025-26"/>
    <s v="MVD Fasteners Pvt Ltd "/>
    <s v="Slotted Truss HD Screw 4.6G M8x16 ( In Nos )"/>
    <m/>
    <n v="5000"/>
    <n v="2.8"/>
    <n v="14000"/>
    <n v="0"/>
    <n v="0"/>
    <n v="14000"/>
    <n v="0.18"/>
    <n v="0"/>
    <n v="1260"/>
    <n v="1260"/>
    <n v="0"/>
    <n v="16520"/>
  </r>
  <r>
    <x v="5"/>
    <d v="2025-09-16T00:00:00"/>
    <s v="209/25-26"/>
    <s v="MVDF/25-26/17361/16-09-2025"/>
    <s v="0100/2025-26"/>
    <s v="MVD Fasteners Pvt Ltd "/>
    <s v="Slotted Truss HD Screw 4.6G M8x25 ( In Nos )"/>
    <m/>
    <n v="18376"/>
    <n v="3.1"/>
    <n v="56965.599999999999"/>
    <n v="0"/>
    <n v="0"/>
    <n v="56965.599999999999"/>
    <n v="0.18"/>
    <n v="0"/>
    <n v="5126.9039999999995"/>
    <n v="5126.9039999999995"/>
    <n v="0"/>
    <n v="67219.407999999996"/>
  </r>
  <r>
    <x v="5"/>
    <d v="2025-09-16T00:00:00"/>
    <s v="209/25-26"/>
    <s v="MVDF/25-26/17361/16-09-2025"/>
    <s v="0100/2025-26"/>
    <s v="MVD Fasteners Pvt Ltd "/>
    <s v="Slotted Truss HD Screw 4.6G M8x32 ( In Nos )"/>
    <m/>
    <n v="10980"/>
    <n v="3.3"/>
    <n v="36234"/>
    <n v="0"/>
    <n v="0"/>
    <n v="36234"/>
    <n v="0.18"/>
    <n v="0"/>
    <n v="3261.06"/>
    <n v="3261.06"/>
    <n v="0"/>
    <n v="42756.119999999995"/>
  </r>
  <r>
    <x v="5"/>
    <d v="2025-09-20T00:00:00"/>
    <s v="210/25-26"/>
    <s v="LRM/0398/25-26/19-09-2025"/>
    <s v="0113/2025-26"/>
    <s v="LR Multi Speciality Products"/>
    <s v="Stretch Film ( Manual Grade ) 500mm  (In Kgs )"/>
    <m/>
    <n v="484.59"/>
    <n v="127"/>
    <n v="61542.93"/>
    <n v="0"/>
    <n v="0"/>
    <n v="61542.93"/>
    <n v="0.18"/>
    <n v="0"/>
    <n v="5538.8636999999999"/>
    <n v="5538.8636999999999"/>
    <n v="0"/>
    <n v="72620.657399999996"/>
  </r>
  <r>
    <x v="5"/>
    <d v="2025-09-22T00:00:00"/>
    <s v="211/25-26"/>
    <s v="AG/25-26/396/19-09-2025"/>
    <s v="0105/2025-26"/>
    <s v="AG Systems"/>
    <s v="Lenovo Neo30s G5 13DK000WIG (Nos)"/>
    <m/>
    <n v="2"/>
    <n v="61500"/>
    <n v="123000"/>
    <n v="0"/>
    <n v="0"/>
    <n v="123000"/>
    <n v="0.18"/>
    <n v="0"/>
    <n v="11070"/>
    <n v="11070"/>
    <n v="0"/>
    <n v="145140"/>
  </r>
  <r>
    <x v="5"/>
    <d v="2025-09-22T00:00:00"/>
    <s v="211/25-26"/>
    <s v="AG/25-26/396/19-09-2025"/>
    <s v="0105/2025-26"/>
    <s v="AG Systems"/>
    <s v="Thinkvision 24&quot; Monitor-S24i-30"/>
    <m/>
    <n v="2"/>
    <n v="1"/>
    <n v="2"/>
    <n v="0"/>
    <n v="0"/>
    <n v="2"/>
    <n v="0.18"/>
    <n v="0"/>
    <n v="0.18"/>
    <n v="0.18"/>
    <n v="0"/>
    <n v="2.3600000000000003"/>
  </r>
  <r>
    <x v="5"/>
    <d v="2025-09-22T00:00:00"/>
    <s v="211/25-26"/>
    <s v="AG/25-26/396/19-09-2025"/>
    <s v="0105/2025-26"/>
    <s v="AG Systems"/>
    <s v="HP Laserjet Pro-M128FW"/>
    <m/>
    <n v="1"/>
    <n v="24500"/>
    <n v="24500"/>
    <n v="0"/>
    <n v="0"/>
    <n v="24500"/>
    <n v="0.18"/>
    <n v="0"/>
    <n v="2205"/>
    <n v="2205"/>
    <n v="0"/>
    <n v="28910"/>
  </r>
  <r>
    <x v="5"/>
    <d v="2025-09-23T00:00:00"/>
    <s v="212/25-26"/>
    <s v="1633/25-26/22-09-2025"/>
    <s v="0107/2025-26"/>
    <s v="Izzy Agencies "/>
    <s v="Consumable Materials"/>
    <m/>
    <m/>
    <m/>
    <n v="131672"/>
    <n v="2100"/>
    <n v="0"/>
    <n v="133772"/>
    <n v="0.18"/>
    <n v="0"/>
    <n v="12039.48"/>
    <n v="12039.48"/>
    <n v="0"/>
    <n v="157850.96000000002"/>
  </r>
  <r>
    <x v="5"/>
    <d v="2025-09-30T00:00:00"/>
    <s v="213/25-26"/>
    <s v="M12500005990/16-09-2025"/>
    <s v="0110/2025-26"/>
    <s v="The Supreme Industries Ltd"/>
    <s v="Insuflex 13mm 1100mm*14MTR Class O (270 Pkg) In Sqm "/>
    <s v=" "/>
    <n v="4158"/>
    <n v="159"/>
    <n v="661122"/>
    <n v="0"/>
    <n v="0"/>
    <n v="661122"/>
    <n v="0.18"/>
    <n v="119001.96"/>
    <n v="0"/>
    <n v="0"/>
    <n v="0"/>
    <n v="780123.96"/>
  </r>
  <r>
    <x v="5"/>
    <d v="2025-09-30T00:00:00"/>
    <s v="214/25-26"/>
    <s v="KM/06092/2025-26/25-09-2025"/>
    <s v="0118/2025-26"/>
    <s v="Kothari Metals"/>
    <s v="MS Square Tube (100x100x5.0mm) 2 Nos (In MTS)"/>
    <m/>
    <n v="0.17899999999999999"/>
    <n v="68000"/>
    <n v="12172"/>
    <n v="4500"/>
    <n v="108"/>
    <n v="16780"/>
    <n v="0.18"/>
    <n v="0"/>
    <n v="1510.2"/>
    <n v="1510.2"/>
    <n v="0"/>
    <n v="19800.400000000001"/>
  </r>
  <r>
    <x v="5"/>
    <d v="2025-09-30T00:00:00"/>
    <s v="215/25-26"/>
    <s v="15027/26-09-2025"/>
    <m/>
    <s v="Hardwares Junction"/>
    <s v="Consumable Materials"/>
    <m/>
    <m/>
    <m/>
    <n v="9087"/>
    <n v="0"/>
    <n v="0"/>
    <n v="9087"/>
    <n v="0.18"/>
    <n v="0"/>
    <n v="817.83"/>
    <n v="817.83"/>
    <n v="0"/>
    <n v="10722.66"/>
  </r>
  <r>
    <x v="5"/>
    <d v="2025-09-30T00:00:00"/>
    <s v="216/25-26"/>
    <s v="ST/25-26/4990/26-09-2025"/>
    <m/>
    <s v="Silcon Steels Pvt Ltd"/>
    <s v="GI Formed Sections ( L Angle-Thk-2.5mmx25x25) In MTS"/>
    <m/>
    <n v="10.38"/>
    <n v="72000"/>
    <n v="747360"/>
    <n v="4800"/>
    <n v="1560"/>
    <n v="753720"/>
    <n v="0.18"/>
    <n v="0"/>
    <n v="67834.8"/>
    <n v="67834.8"/>
    <n v="0"/>
    <n v="889389.60000000009"/>
  </r>
  <r>
    <x v="5"/>
    <d v="2025-09-30T00:00:00"/>
    <s v="217/25-26"/>
    <s v="ST/25-26/5059/29-09-2025"/>
    <m/>
    <s v="Silcon Steels Pvt Ltd"/>
    <s v="GI Formed Sections (Bresh Angles-2.5mm)"/>
    <m/>
    <n v="8.48"/>
    <n v="72000"/>
    <n v="610560"/>
    <n v="4800"/>
    <n v="1340"/>
    <n v="616700"/>
    <n v="0.18"/>
    <n v="0"/>
    <n v="55503"/>
    <n v="55503"/>
    <n v="0"/>
    <n v="727706"/>
  </r>
  <r>
    <x v="5"/>
    <d v="2025-09-30T00:00:00"/>
    <s v="217/25-26"/>
    <s v="ST/25-26/5059/29-09-2025"/>
    <m/>
    <s v="Silcon Steels Pvt Ltd"/>
    <s v="GI Formed Sections (Thk 2.5mm-38x1500-100Nos &amp; Thk 2.5mm-56x1615-200Nos)"/>
    <m/>
    <n v="0.46"/>
    <n v="78000"/>
    <n v="35880"/>
    <n v="0"/>
    <n v="0"/>
    <n v="35880"/>
    <n v="0.18"/>
    <n v="0"/>
    <n v="3229.2"/>
    <n v="3229.2"/>
    <n v="0"/>
    <n v="42338.399999999994"/>
  </r>
  <r>
    <x v="5"/>
    <d v="2025-09-30T00:00:00"/>
    <s v="218/25-26"/>
    <s v="ML25261328/29-09-2025"/>
    <s v="0119/2025-26"/>
    <s v="Cauvery Petrochemicals Pvt Ltd"/>
    <s v="Best System 68 (210 Ltr Drum) In Ltr"/>
    <m/>
    <n v="210"/>
    <n v="135"/>
    <n v="28350"/>
    <n v="0"/>
    <n v="0"/>
    <n v="28350"/>
    <n v="0.18"/>
    <n v="0"/>
    <n v="2551.5"/>
    <n v="2551.5"/>
    <n v="0"/>
    <n v="33453"/>
  </r>
  <r>
    <x v="5"/>
    <d v="2025-09-30T00:00:00"/>
    <s v="218/25-26"/>
    <s v="ML25261328/29-09-2025"/>
    <s v="0119/2025-26"/>
    <s v="Cauvery Petrochemicals Pvt Ltd"/>
    <s v="Best System 46  (210 Ltr Drum) In Ltr"/>
    <m/>
    <n v="210"/>
    <n v="133"/>
    <n v="27930"/>
    <n v="0"/>
    <n v="0"/>
    <n v="27930"/>
    <n v="0.18"/>
    <n v="0"/>
    <n v="2513.6999999999998"/>
    <n v="2513.6999999999998"/>
    <n v="0"/>
    <n v="32957.4"/>
  </r>
  <r>
    <x v="5"/>
    <d v="2025-09-30T00:00:00"/>
    <s v="218/25-26"/>
    <s v="ML25261328/29-09-2025"/>
    <s v="0119/2025-26"/>
    <s v="Cauvery Petrochemicals Pvt Ltd"/>
    <s v="Best Cut S XL 35 (20 Ltr Can) In Ltr"/>
    <m/>
    <n v="180"/>
    <n v="170"/>
    <n v="30600"/>
    <n v="0"/>
    <n v="0"/>
    <n v="30600"/>
    <n v="0.18"/>
    <n v="0"/>
    <n v="2754"/>
    <n v="2754"/>
    <n v="0"/>
    <n v="36108"/>
  </r>
  <r>
    <x v="5"/>
    <d v="2025-09-30T00:00:00"/>
    <s v="219/25-26"/>
    <s v="SRE/3282/25-26/29-09-2025"/>
    <n v="115"/>
    <s v="S.R Enterprises "/>
    <s v="Long Nut (M8) In Nos"/>
    <m/>
    <n v="10000"/>
    <n v="5.5"/>
    <n v="55000"/>
    <n v="0"/>
    <n v="0"/>
    <n v="55000"/>
    <n v="0.18"/>
    <n v="0"/>
    <n v="4950"/>
    <n v="4950"/>
    <n v="0"/>
    <n v="64900"/>
  </r>
  <r>
    <x v="5"/>
    <d v="2025-09-30T00:00:00"/>
    <s v="220/25-26"/>
    <s v="593/29-09-2025"/>
    <s v="0111/2025-26"/>
    <s v="Sneha Enterprise Self Adhesive Tapes"/>
    <s v="XLPE Gasket (5mm x 20mm x 10Mtr) In Mtr"/>
    <m/>
    <n v="25000"/>
    <n v="4"/>
    <n v="100000"/>
    <n v="0"/>
    <n v="0"/>
    <n v="100000"/>
    <n v="0.18"/>
    <n v="0"/>
    <n v="9000"/>
    <n v="9000"/>
    <n v="0"/>
    <n v="118000"/>
  </r>
  <r>
    <x v="5"/>
    <d v="2025-09-30T00:00:00"/>
    <s v="221/25-26"/>
    <s v="AVK-324-25-26/29-09-2025"/>
    <s v="0108/2025-26"/>
    <s v="AVK Industrial Supplies"/>
    <s v="Consumable Materials"/>
    <m/>
    <m/>
    <m/>
    <n v="140452"/>
    <n v="2950"/>
    <n v="0"/>
    <n v="143402"/>
    <n v="0.18"/>
    <n v="0"/>
    <n v="12906.18"/>
    <n v="12906.18"/>
    <n v="0"/>
    <n v="167121.15999999997"/>
  </r>
  <r>
    <x v="5"/>
    <d v="2025-09-30T00:00:00"/>
    <s v="222/25-26 "/>
    <s v="ME/25-26/287/29-09-2025"/>
    <m/>
    <s v="Manoj Enterprises "/>
    <s v="80 Gram Blue Cotton Knitted Gloves (In Pairs)"/>
    <m/>
    <n v="500"/>
    <n v="11"/>
    <n v="5500"/>
    <n v="0"/>
    <n v="0"/>
    <n v="5500"/>
    <n v="0.05"/>
    <n v="0"/>
    <n v="137.5"/>
    <n v="137.5"/>
    <n v="0"/>
    <n v="5775"/>
  </r>
  <r>
    <x v="5"/>
    <d v="2025-09-30T00:00:00"/>
    <s v="222/25-26 "/>
    <s v="ME/25-26/287/29-09-2025"/>
    <m/>
    <s v="Manoj Enterprises "/>
    <s v="3M Ear Plugs (In Nos)"/>
    <m/>
    <n v="500"/>
    <n v="8.9"/>
    <n v="4450"/>
    <n v="0"/>
    <n v="0"/>
    <n v="4450"/>
    <n v="0.18"/>
    <n v="0"/>
    <n v="400.5"/>
    <n v="400.5"/>
    <n v="0"/>
    <n v="5251"/>
  </r>
  <r>
    <x v="5"/>
    <d v="2025-09-30T00:00:00"/>
    <s v="223/25-26 "/>
    <s v="GST/25-26/004982/30-09-2025"/>
    <s v="0094/2025-26"/>
    <s v="Metal Work Pneumatic India Pvt Ltd"/>
    <s v="Control Cabinet (10% Discount On 60871)"/>
    <m/>
    <n v="1"/>
    <n v="54783.9"/>
    <n v="54783.9"/>
    <n v="0"/>
    <n v="0"/>
    <n v="54783.9"/>
    <n v="0.18"/>
    <n v="0"/>
    <n v="4930.5510000000004"/>
    <n v="4930.5510000000004"/>
    <m/>
    <n v="64645.002"/>
  </r>
  <r>
    <x v="5"/>
    <d v="2025-09-30T00:00:00"/>
    <s v="224/25-26 "/>
    <s v="1076/29-09-2025"/>
    <s v="0120/2025-26"/>
    <s v="Urja Sealants Pvt Ltd"/>
    <s v="Urja Duct Sealant Grey KG (25Kg Per 4 Bucket)"/>
    <m/>
    <n v="100"/>
    <n v="180"/>
    <n v="18000"/>
    <m/>
    <m/>
    <n v="18000"/>
    <n v="0.18"/>
    <n v="3240"/>
    <n v="0"/>
    <n v="0"/>
    <n v="0"/>
    <n v="21240"/>
  </r>
  <r>
    <x v="6"/>
    <d v="2025-10-03T00:00:00"/>
    <s v="225/25-26 "/>
    <s v="ML25261342/03-10-2025"/>
    <s v="0119/2025-26"/>
    <s v="Cauvery Petrochemicals Pvt Ltd"/>
    <s v="Best Cut S XL 35 (20 Ltr Can) In Ltr"/>
    <m/>
    <n v="20"/>
    <n v="170"/>
    <n v="3400"/>
    <n v="0"/>
    <n v="0"/>
    <n v="3400"/>
    <n v="0.18"/>
    <n v="0"/>
    <n v="306"/>
    <n v="306"/>
    <n v="0"/>
    <n v="4012"/>
  </r>
  <r>
    <x v="6"/>
    <d v="2025-10-06T00:00:00"/>
    <s v="226/25-26"/>
    <s v="HRP/500/25-26/06-10-2025"/>
    <s v="0098/2025-26"/>
    <s v="HR Precisions"/>
    <s v="Supply of 20G Gss Duct Corner Pieces (In Nos)"/>
    <m/>
    <n v="24750"/>
    <n v="6.5"/>
    <n v="160875"/>
    <n v="0"/>
    <n v="0"/>
    <n v="160875"/>
    <n v="0.18"/>
    <n v="0"/>
    <n v="14478.75"/>
    <n v="14478.75"/>
    <n v="0"/>
    <n v="189832.5"/>
  </r>
  <r>
    <x v="6"/>
    <d v="2025-10-07T00:00:00"/>
    <s v="227/25-26"/>
    <s v="ME/25-26/290/07-10-2025"/>
    <m/>
    <s v="Manoj Enterprises "/>
    <s v="80 Gram Blue Cotton Knitted Gloves (In Pairs)"/>
    <m/>
    <n v="500"/>
    <n v="11"/>
    <n v="5500"/>
    <n v="0"/>
    <n v="0"/>
    <n v="5500"/>
    <n v="0.18"/>
    <n v="0"/>
    <n v="137.5"/>
    <n v="137.5"/>
    <m/>
    <n v="5775"/>
  </r>
  <r>
    <x v="6"/>
    <d v="2025-10-07T00:00:00"/>
    <s v="228/25-26"/>
    <s v="MVDF/25-26/18784/27-09-2025"/>
    <s v="0100/2025-26"/>
    <s v="MVD Fasteners Pvt Ltd "/>
    <s v="Threaded Rod Steel 4.6 M8x245 (In Nos)"/>
    <m/>
    <n v="3835"/>
    <n v="11"/>
    <n v="42185"/>
    <n v="0"/>
    <n v="0"/>
    <n v="42185"/>
    <n v="0.18"/>
    <n v="0"/>
    <n v="3796.65"/>
    <n v="3796.65"/>
    <n v="0"/>
    <n v="49778.3"/>
  </r>
  <r>
    <x v="6"/>
    <d v="2025-10-07T00:00:00"/>
    <s v="228/25-26"/>
    <s v="MVDF/25-26/18784/27-09-2025"/>
    <s v="0100/2025-26"/>
    <s v="MVD Fasteners Pvt Ltd "/>
    <s v="Threaded Rod Steel 4.6 M8x295 (In Nos)"/>
    <m/>
    <n v="3948"/>
    <n v="13"/>
    <n v="51324"/>
    <n v="0"/>
    <n v="0"/>
    <n v="51324"/>
    <n v="0.18"/>
    <n v="0"/>
    <n v="4619.16"/>
    <n v="4619.16"/>
    <n v="0"/>
    <n v="60562.320000000007"/>
  </r>
  <r>
    <x v="6"/>
    <d v="2025-10-07T00:00:00"/>
    <s v="228/25-26"/>
    <s v="MVDF/25-26/18784/27-09-2025"/>
    <s v="0100/2025-26"/>
    <s v="MVD Fasteners Pvt Ltd "/>
    <s v="Threaded Rod Steel 4.6 M8x345 (In Nos)"/>
    <m/>
    <n v="2450"/>
    <n v="14.5"/>
    <n v="35525"/>
    <n v="0"/>
    <n v="0"/>
    <n v="35525"/>
    <n v="0.18"/>
    <n v="0"/>
    <n v="3197.25"/>
    <n v="3197.25"/>
    <n v="0"/>
    <n v="41919.5"/>
  </r>
  <r>
    <x v="6"/>
    <d v="2025-10-07T00:00:00"/>
    <s v="228/25-26"/>
    <s v="MVDF/25-26/18784/27-09-2025"/>
    <s v="0100/2025-26"/>
    <s v="MVD Fasteners Pvt Ltd "/>
    <s v="Threaded Rod Steel 4.6 M8x395 (In Nos)"/>
    <m/>
    <n v="1000"/>
    <n v="16.5"/>
    <n v="16500"/>
    <n v="0"/>
    <n v="0"/>
    <n v="16500"/>
    <n v="0.18"/>
    <n v="0"/>
    <n v="1485"/>
    <n v="1485"/>
    <n v="0"/>
    <n v="19470"/>
  </r>
  <r>
    <x v="6"/>
    <d v="2025-10-07T00:00:00"/>
    <s v="228/25-26"/>
    <s v="MVDF/25-26/18784/27-09-2025"/>
    <s v="0100/2025-26"/>
    <s v="MVD Fasteners Pvt Ltd "/>
    <s v="Threaded Rod Steel 4.6 M8x300 (In Nos)"/>
    <m/>
    <n v="305"/>
    <n v="14.5"/>
    <n v="4422.5"/>
    <n v="0"/>
    <n v="0"/>
    <n v="4422.5"/>
    <n v="0.18"/>
    <n v="0"/>
    <n v="398.02499999999998"/>
    <n v="398.02499999999998"/>
    <n v="0"/>
    <n v="5218.5499999999993"/>
  </r>
  <r>
    <x v="6"/>
    <d v="2025-10-07T00:00:00"/>
    <s v="228/25-26"/>
    <s v="MVDF/25-26/18784/27-09-2025"/>
    <s v="0100/2025-26"/>
    <s v="MVD Fasteners Pvt Ltd "/>
    <s v="Threaded Rod Steel 4.6 M8x350 (In Nos)"/>
    <m/>
    <n v="224"/>
    <n v="16"/>
    <n v="3584"/>
    <n v="0"/>
    <n v="0"/>
    <n v="3584"/>
    <n v="0.18"/>
    <n v="0"/>
    <n v="322.56"/>
    <n v="322.56"/>
    <n v="0"/>
    <n v="4229.12"/>
  </r>
  <r>
    <x v="6"/>
    <d v="2025-10-07T00:00:00"/>
    <s v="228/25-26"/>
    <s v="MVDF/25-26/18784/27-09-2025"/>
    <s v="0100/2025-26"/>
    <s v="MVD Fasteners Pvt Ltd "/>
    <s v="Threaded Rod Steel 4.6 M8x400 (In Nos)"/>
    <m/>
    <n v="486"/>
    <n v="17"/>
    <n v="8262"/>
    <n v="0"/>
    <n v="0"/>
    <n v="8262"/>
    <n v="0.18"/>
    <n v="0"/>
    <n v="743.58"/>
    <n v="743.58"/>
    <n v="0"/>
    <n v="9749.16"/>
  </r>
  <r>
    <x v="6"/>
    <d v="2025-10-07T00:00:00"/>
    <s v="229/25-26"/>
    <s v="UNI-25-26-011/27-09-2025"/>
    <s v="0096/2025-26"/>
    <s v="Universal Energy Solutions"/>
    <s v="Hydraulic Punch Machine Electrical PLC Control Panel ( In Set)"/>
    <m/>
    <n v="1"/>
    <n v="36000"/>
    <n v="36000"/>
    <n v="0"/>
    <n v="0"/>
    <n v="36000"/>
    <n v="0.18"/>
    <n v="0"/>
    <n v="3240"/>
    <n v="3240"/>
    <n v="0"/>
    <n v="42480"/>
  </r>
  <r>
    <x v="6"/>
    <d v="2025-10-09T00:00:00"/>
    <s v="230/25-26"/>
    <s v="SF/2307/25-26/09-10-2025"/>
    <s v="0116/2025-26"/>
    <s v="Sanghvi Fasteners"/>
    <s v="00824 MS Long Nut ( Size M8x24 ) In Nos"/>
    <m/>
    <n v="10000"/>
    <n v="5"/>
    <n v="50000"/>
    <n v="0"/>
    <n v="0"/>
    <n v="50000"/>
    <n v="0.18"/>
    <n v="0"/>
    <n v="4500"/>
    <n v="4500"/>
    <n v="0"/>
    <n v="59000"/>
  </r>
  <r>
    <x v="6"/>
    <d v="2025-10-10T00:00:00"/>
    <s v="231/25-26"/>
    <s v="SAI6753/25-26/08-10-2025"/>
    <s v="0121/2025-26"/>
    <s v="Sri Arihant Industries"/>
    <s v="Kflex ST Sheet 9mm CL -O Plain (240 Roll) In Sqm"/>
    <m/>
    <n v="5760"/>
    <n v="107"/>
    <n v="616320"/>
    <n v="0"/>
    <n v="0"/>
    <n v="616320"/>
    <n v="0.18"/>
    <n v="0"/>
    <n v="55468.800000000003"/>
    <n v="55468.800000000003"/>
    <n v="0"/>
    <n v="727257.60000000009"/>
  </r>
  <r>
    <x v="6"/>
    <d v="2025-10-10T00:00:00"/>
    <s v="232/25-26"/>
    <s v="MS25-26/IN/26413/09-10-2025"/>
    <s v="0087/2025-26"/>
    <s v="Mandot Steel"/>
    <s v="GP/GI Coil 120 STL (0.60 x 1220) In Kgs"/>
    <s v="120gsm 24G"/>
    <n v="5605"/>
    <n v="69"/>
    <n v="386745"/>
    <n v="5500"/>
    <n v="150"/>
    <n v="392395"/>
    <n v="0.18"/>
    <n v="0"/>
    <n v="35315.550000000003"/>
    <n v="35315.550000000003"/>
    <n v="0"/>
    <n v="463026.1"/>
  </r>
  <r>
    <x v="6"/>
    <d v="2025-10-10T00:00:00"/>
    <s v="232/25-26"/>
    <s v="MS25-26/IN/26413/09-10-2025"/>
    <s v="0087/2025-26"/>
    <s v="Mandot Steel"/>
    <s v="GP/GI Coil 120 STL (0.60 x 1220) In Kgs"/>
    <s v="120gsm 24G"/>
    <n v="5625"/>
    <n v="69"/>
    <n v="388125"/>
    <n v="0"/>
    <n v="0"/>
    <n v="388125"/>
    <n v="0.18"/>
    <n v="0"/>
    <n v="34931.25"/>
    <n v="34931.25"/>
    <n v="0"/>
    <n v="457987.5"/>
  </r>
  <r>
    <x v="6"/>
    <d v="2025-10-10T00:00:00"/>
    <s v="233/25-26"/>
    <s v="MS25-26/IN/26414/09-10-2025"/>
    <s v="0087/2025-26"/>
    <s v="Mandot Steel"/>
    <s v="GP/GI Coil 120 STL (0.60 x 1220) In Kgs"/>
    <s v="120gsm 24G"/>
    <n v="5090"/>
    <n v="69"/>
    <n v="351210"/>
    <n v="10500"/>
    <n v="0"/>
    <n v="361710"/>
    <n v="0.18"/>
    <n v="0"/>
    <n v="32553.9"/>
    <n v="32553.9"/>
    <n v="0"/>
    <n v="426817.80000000005"/>
  </r>
  <r>
    <x v="6"/>
    <d v="2025-10-10T00:00:00"/>
    <s v="233/25-26"/>
    <s v="MS25-26/IN/26414/09-10-2025"/>
    <s v="0087/2025-26"/>
    <s v="Mandot Steel"/>
    <s v="GP/GI Coil 120 STL (0.60 x 1220) In Kgs"/>
    <s v="120gsm 24G"/>
    <n v="5060"/>
    <n v="69"/>
    <n v="349140"/>
    <n v="0"/>
    <n v="0"/>
    <n v="349140"/>
    <n v="0.18"/>
    <n v="0"/>
    <n v="31422.6"/>
    <n v="31422.6"/>
    <n v="0"/>
    <n v="411985.19999999995"/>
  </r>
  <r>
    <x v="6"/>
    <d v="2025-10-10T00:00:00"/>
    <s v="233/25-26"/>
    <s v="MS25-26/IN/26414/09-10-2025"/>
    <s v="0087/2025-26"/>
    <s v="Mandot Steel"/>
    <s v="GP/GI Coil 120 STL (0.80 x 1220) In Kgs"/>
    <s v="120gsm 22G"/>
    <n v="5350"/>
    <n v="68"/>
    <n v="363800"/>
    <n v="0"/>
    <n v="0"/>
    <n v="363800"/>
    <n v="0.18"/>
    <n v="0"/>
    <n v="32742"/>
    <n v="32742"/>
    <n v="0"/>
    <n v="429284"/>
  </r>
  <r>
    <x v="6"/>
    <d v="2025-10-10T00:00:00"/>
    <s v="233/25-26"/>
    <s v="MS25-26/IN/26414/09-10-2025"/>
    <s v="0087/2025-26"/>
    <s v="Mandot Steel"/>
    <s v="GP/GI Coil 120 STL (0.80 x 1220) In Kgs"/>
    <s v="120gsm 22G"/>
    <n v="5280"/>
    <n v="68"/>
    <n v="359040"/>
    <n v="0"/>
    <n v="0"/>
    <n v="359040"/>
    <n v="0.18"/>
    <n v="0"/>
    <n v="32313.599999999999"/>
    <n v="32313.599999999999"/>
    <n v="0"/>
    <n v="423667.19999999995"/>
  </r>
  <r>
    <x v="6"/>
    <d v="2025-10-10T00:00:00"/>
    <s v="234/25-26"/>
    <s v="HA3019/10-10-2025"/>
    <s v="0122/2025-26"/>
    <s v="Aloukik Agencies"/>
    <s v="Nitrile 19mmx1200mmx10MTRS BLK Class O (20 Roll) In Sqm"/>
    <m/>
    <n v="240"/>
    <n v="250"/>
    <n v="60000"/>
    <n v="2500"/>
    <n v="0"/>
    <n v="62500"/>
    <n v="0.18"/>
    <n v="11250"/>
    <n v="0"/>
    <n v="0"/>
    <n v="0"/>
    <n v="73750"/>
  </r>
  <r>
    <x v="6"/>
    <d v="2025-10-12T00:00:00"/>
    <s v="235/25-26"/>
    <s v="15101/12-10-2025"/>
    <m/>
    <s v="Hardwares Junction"/>
    <s v="Consumable Materials"/>
    <m/>
    <m/>
    <m/>
    <n v="9605"/>
    <n v="0"/>
    <n v="0"/>
    <n v="9605"/>
    <n v="0.18"/>
    <n v="0"/>
    <n v="864.45"/>
    <n v="864.45"/>
    <n v="0"/>
    <n v="11333.900000000001"/>
  </r>
  <r>
    <x v="6"/>
    <d v="2025-10-13T00:00:00"/>
    <s v="236/25-26"/>
    <s v="15103/13-10-2025"/>
    <m/>
    <s v="Hardwares Junction"/>
    <s v="Consumable Materials"/>
    <m/>
    <m/>
    <m/>
    <n v="9490"/>
    <n v="0"/>
    <n v="0"/>
    <n v="9490"/>
    <n v="0.18"/>
    <n v="0"/>
    <n v="854.1"/>
    <n v="854.1"/>
    <n v="0"/>
    <n v="11198.2"/>
  </r>
  <r>
    <x v="6"/>
    <d v="2025-10-14T00:00:00"/>
    <s v="237/25-26"/>
    <s v="MS25-26/IN/26496/13-10-2025"/>
    <s v="0087/2025-26"/>
    <s v="Mandot Steel"/>
    <s v="GP/GI Coil 120 STL (0.60 x 1220) In Kgs"/>
    <s v="120gsm 24G"/>
    <n v="5925"/>
    <n v="69"/>
    <n v="408825"/>
    <n v="10650"/>
    <n v="150"/>
    <n v="419625"/>
    <n v="0.18"/>
    <n v="0"/>
    <n v="37766.25"/>
    <n v="37766.25"/>
    <n v="0"/>
    <n v="495157.5"/>
  </r>
  <r>
    <x v="6"/>
    <d v="2025-10-14T00:00:00"/>
    <s v="237/25-26"/>
    <s v="MS25-26/IN/26496/13-10-2025"/>
    <s v="0087/2025-26"/>
    <s v="Mandot Steel"/>
    <s v="GP/GI Coil 120 STL (0.60 x 1220) In Kgs"/>
    <s v="120gsm 24G"/>
    <n v="5950"/>
    <n v="69"/>
    <n v="410550"/>
    <n v="0"/>
    <n v="0"/>
    <n v="410550"/>
    <n v="0.18"/>
    <n v="0"/>
    <n v="36949.5"/>
    <n v="36949.5"/>
    <n v="0"/>
    <n v="484449"/>
  </r>
  <r>
    <x v="6"/>
    <d v="2025-10-14T00:00:00"/>
    <s v="237/25-26"/>
    <s v="MS25-26/IN/26496/13-10-2025"/>
    <s v="0087/2025-26"/>
    <s v="Mandot Steel"/>
    <s v="GP/GI Coil 120 STL (0.60 x 1220) In Kgs"/>
    <s v="120gsm 24G"/>
    <n v="5340"/>
    <n v="69"/>
    <n v="368460"/>
    <n v="0"/>
    <n v="0"/>
    <n v="368460"/>
    <n v="0.18"/>
    <n v="0"/>
    <n v="33161.4"/>
    <n v="33161.4"/>
    <n v="0"/>
    <n v="434782.80000000005"/>
  </r>
  <r>
    <x v="6"/>
    <d v="2025-10-14T00:00:00"/>
    <s v="237/25-26"/>
    <s v="MS25-26/IN/26496/13-10-2025"/>
    <s v="0087/2025-26"/>
    <s v="Mandot Steel"/>
    <s v="GP/GI Coil 120 STL (0.60 x 1220) In Kgs"/>
    <s v="120gsm 24G"/>
    <n v="4100"/>
    <n v="69"/>
    <n v="282900"/>
    <n v="0"/>
    <n v="0"/>
    <n v="282900"/>
    <n v="0.18"/>
    <n v="0"/>
    <n v="25461"/>
    <n v="25461"/>
    <n v="0"/>
    <n v="333822"/>
  </r>
  <r>
    <x v="6"/>
    <d v="2025-10-14T00:00:00"/>
    <s v="238/25-26"/>
    <s v="25-26/2407/14-10-2025"/>
    <s v="0124/2025-26"/>
    <s v="Shree Jashraj Insulation Pvt Ltd"/>
    <s v="Armasound Super Silence Sheets ASD-140-15 (15 Box) In Sqm"/>
    <m/>
    <n v="180"/>
    <n v="635"/>
    <n v="114300"/>
    <n v="3000"/>
    <n v="0"/>
    <n v="117300"/>
    <n v="0.18"/>
    <n v="0"/>
    <n v="10557"/>
    <n v="10557"/>
    <n v="0"/>
    <n v="138414"/>
  </r>
  <r>
    <x v="6"/>
    <d v="2025-10-15T00:00:00"/>
    <s v="239/25-26"/>
    <s v="MSP-U/0036/25-26/15-10-2025"/>
    <s v="0125/2025-26_1"/>
    <s v="Multi Speciality Products"/>
    <s v="Stretch Film ( Manual Grade ) 500mm  (In Kgs )"/>
    <m/>
    <n v="599.58000000000004"/>
    <n v="127"/>
    <n v="76146.66"/>
    <n v="0"/>
    <n v="0"/>
    <n v="76146.66"/>
    <n v="0.18"/>
    <n v="0"/>
    <n v="6853.1994000000004"/>
    <n v="6853.1994000000004"/>
    <n v="0"/>
    <n v="89853.058799999999"/>
  </r>
  <r>
    <x v="6"/>
    <d v="2025-10-18T00:00:00"/>
    <s v="240/25-26"/>
    <s v="MVDF/25-26/20341/16-10-2025"/>
    <s v="0100/2025-26"/>
    <s v="MVD Fasteners Pvt Ltd "/>
    <s v="Slotted Truss HD Screw 4.6G M8x25 ( In Nos )"/>
    <m/>
    <n v="6624"/>
    <n v="3.1"/>
    <n v="20534.400000000001"/>
    <n v="0"/>
    <n v="0"/>
    <n v="20534.400000000001"/>
    <n v="0.18"/>
    <n v="0"/>
    <n v="1848.096"/>
    <n v="1848.096"/>
    <n v="0"/>
    <n v="24230.592000000004"/>
  </r>
  <r>
    <x v="6"/>
    <d v="2025-10-18T00:00:00"/>
    <s v="241/25-26"/>
    <s v="494/2025-2026/18-10-2025"/>
    <m/>
    <s v="Sri Raghavendra Industries"/>
    <s v="Cornmatic Machine Spares Parts"/>
    <m/>
    <m/>
    <m/>
    <n v="180335"/>
    <n v="0"/>
    <n v="0"/>
    <n v="180335"/>
    <n v="0.18"/>
    <n v="0"/>
    <n v="16230.15"/>
    <n v="16230.15"/>
    <n v="0"/>
    <n v="212795.3"/>
  </r>
  <r>
    <x v="6"/>
    <d v="2025-10-18T00:00:00"/>
    <s v="242/25-26"/>
    <s v="MVDF/25-26/20362/17-10-2025"/>
    <s v="0100/2025-26"/>
    <s v="MVD Fasteners Pvt Ltd "/>
    <s v="Threaded  Rod Steel 4.6 M8 x 345"/>
    <m/>
    <n v="1538"/>
    <n v="14.5"/>
    <n v="22301"/>
    <n v="0"/>
    <n v="0"/>
    <n v="22301"/>
    <n v="0.18"/>
    <n v="0"/>
    <n v="2007.09"/>
    <n v="2007.09"/>
    <n v="0"/>
    <n v="26315.18"/>
  </r>
  <r>
    <x v="6"/>
    <d v="2025-10-18T00:00:00"/>
    <s v="242/25-26"/>
    <s v="MVDF/25-26/20362/17-10-2025"/>
    <s v="0100/2025-26"/>
    <s v="MVD Fasteners Pvt Ltd "/>
    <s v="Threaded  Rod Steel 4.6 M8 x 395"/>
    <m/>
    <n v="800"/>
    <n v="16.5"/>
    <n v="13200"/>
    <n v="0"/>
    <n v="0"/>
    <n v="13200"/>
    <n v="0.18"/>
    <n v="0"/>
    <n v="1188"/>
    <n v="1188"/>
    <n v="0"/>
    <n v="15576"/>
  </r>
  <r>
    <x v="6"/>
    <d v="2025-10-18T00:00:00"/>
    <s v="242/25-26"/>
    <s v="MVDF/25-26/20362/17-10-2025"/>
    <s v="0100/2025-26"/>
    <s v="MVD Fasteners Pvt Ltd "/>
    <s v="Threaded  Rod Steel 4.6 M8 x 445"/>
    <m/>
    <n v="800"/>
    <n v="18"/>
    <n v="14400"/>
    <n v="0"/>
    <n v="0"/>
    <n v="14400"/>
    <n v="0.18"/>
    <n v="0"/>
    <n v="1296"/>
    <n v="1296"/>
    <n v="0"/>
    <n v="16992"/>
  </r>
  <r>
    <x v="6"/>
    <d v="2025-10-18T00:00:00"/>
    <s v="242/25-26"/>
    <s v="MVDF/25-26/20362/17-10-2025"/>
    <s v="0100/2025-26"/>
    <s v="MVD Fasteners Pvt Ltd "/>
    <s v="Threaded  Rod Steel 4.6 M8 x 495"/>
    <m/>
    <n v="428"/>
    <n v="20"/>
    <n v="8560"/>
    <n v="0"/>
    <n v="0"/>
    <n v="8560"/>
    <n v="0.18"/>
    <n v="0"/>
    <n v="770.4"/>
    <n v="770.4"/>
    <n v="0"/>
    <n v="10100.799999999999"/>
  </r>
  <r>
    <x v="6"/>
    <d v="2025-10-18T00:00:00"/>
    <s v="242/25-26"/>
    <s v="MVDF/25-26/20362/17-10-2025"/>
    <s v="0100/2025-26"/>
    <s v="MVD Fasteners Pvt Ltd "/>
    <s v="Threaded  Rod Steel 4.6 M8 x 300"/>
    <m/>
    <n v="1650"/>
    <n v="14.5"/>
    <n v="23925"/>
    <n v="0"/>
    <n v="0"/>
    <n v="23925"/>
    <n v="0.18"/>
    <n v="0"/>
    <n v="2153.25"/>
    <n v="2153.25"/>
    <n v="0"/>
    <n v="28231.5"/>
  </r>
  <r>
    <x v="6"/>
    <d v="2025-10-18T00:00:00"/>
    <s v="242/25-26"/>
    <s v="MVDF/25-26/20362/17-10-2025"/>
    <s v="0100/2025-26"/>
    <s v="MVD Fasteners Pvt Ltd "/>
    <s v="Threaded  Rod Steel 4.6 M8 x 350"/>
    <m/>
    <n v="1753"/>
    <n v="16"/>
    <n v="28048"/>
    <n v="0"/>
    <n v="0"/>
    <n v="28048"/>
    <n v="0.18"/>
    <n v="0"/>
    <n v="2524.3200000000002"/>
    <n v="2524.3200000000002"/>
    <n v="0"/>
    <n v="33096.639999999999"/>
  </r>
  <r>
    <x v="6"/>
    <d v="2025-10-18T00:00:00"/>
    <s v="242/25-26"/>
    <s v="MVDF/25-26/20362/17-10-2025"/>
    <s v="0100/2025-26"/>
    <s v="MVD Fasteners Pvt Ltd "/>
    <s v="Threaded  Rod Steel 4.6 M8 x 400"/>
    <m/>
    <n v="1480"/>
    <n v="17"/>
    <n v="25160"/>
    <n v="0"/>
    <n v="0"/>
    <n v="25160"/>
    <n v="0.18"/>
    <n v="0"/>
    <n v="2264.4"/>
    <n v="2264.4"/>
    <n v="0"/>
    <n v="29688.800000000003"/>
  </r>
  <r>
    <x v="6"/>
    <d v="2025-10-18T00:00:00"/>
    <s v="242/25-26"/>
    <s v="MVDF/25-26/20362/17-10-2025"/>
    <s v="0100/2025-26"/>
    <s v="MVD Fasteners Pvt Ltd "/>
    <s v="Threaded  Rod Steel 4.6 M8 x 450"/>
    <m/>
    <n v="250"/>
    <n v="19"/>
    <n v="4750"/>
    <n v="0"/>
    <n v="0"/>
    <n v="4750"/>
    <n v="0.18"/>
    <n v="0"/>
    <n v="427.5"/>
    <n v="427.5"/>
    <n v="0"/>
    <n v="5605"/>
  </r>
  <r>
    <x v="6"/>
    <d v="2025-10-23T00:00:00"/>
    <s v="243/25-26"/>
    <s v="MVDF/25-26/20363/18-10-2025"/>
    <s v="0100/2025-26"/>
    <s v="MVD Fasteners Pvt Ltd "/>
    <s v="Slotted Truss HD Screw 4.6G M8 x 32"/>
    <m/>
    <n v="14020"/>
    <n v="3.3"/>
    <n v="46266"/>
    <n v="0"/>
    <n v="0"/>
    <n v="46266"/>
    <n v="0.18"/>
    <n v="0"/>
    <n v="4163.9399999999996"/>
    <n v="4163.9399999999996"/>
    <n v="0"/>
    <n v="54593.880000000005"/>
  </r>
  <r>
    <x v="6"/>
    <d v="2025-10-24T00:00:00"/>
    <s v="244/25-26"/>
    <s v="MVDF/25-26/20788/21-10-2025"/>
    <s v="0100/2025-26"/>
    <s v="MVD Fasteners Pvt Ltd "/>
    <s v="Threaded  Rod Steel 4.6 M8 x 395"/>
    <m/>
    <n v="24"/>
    <n v="16.5"/>
    <n v="396"/>
    <n v="0"/>
    <n v="0"/>
    <n v="396"/>
    <n v="0.18"/>
    <n v="0"/>
    <n v="35.64"/>
    <n v="35.64"/>
    <n v="0"/>
    <n v="467.28"/>
  </r>
  <r>
    <x v="6"/>
    <d v="2025-10-24T00:00:00"/>
    <s v="244/25-26"/>
    <s v="MVDF/25-26/20788/21-10-2025"/>
    <s v="0100/2025-26"/>
    <s v="MVD Fasteners Pvt Ltd "/>
    <s v="Threaded  Rod Steel 4.6 M8 x 445"/>
    <m/>
    <n v="179"/>
    <n v="18"/>
    <n v="3222"/>
    <n v="0"/>
    <n v="0"/>
    <n v="3222"/>
    <n v="0.18"/>
    <n v="0"/>
    <n v="289.98"/>
    <n v="289.98"/>
    <n v="0"/>
    <n v="3801.96"/>
  </r>
  <r>
    <x v="6"/>
    <d v="2025-10-24T00:00:00"/>
    <s v="244/25-26"/>
    <s v="MVDF/25-26/20788/21-10-2025"/>
    <s v="0100/2025-26"/>
    <s v="MVD Fasteners Pvt Ltd "/>
    <s v="Threaded  Rod Steel 4.6 M8 x 300"/>
    <m/>
    <n v="36"/>
    <n v="14.5"/>
    <n v="522"/>
    <n v="0"/>
    <n v="0"/>
    <n v="522"/>
    <n v="0.18"/>
    <n v="0"/>
    <n v="46.98"/>
    <n v="46.98"/>
    <n v="0"/>
    <n v="615.96"/>
  </r>
  <r>
    <x v="6"/>
    <d v="2025-10-24T00:00:00"/>
    <s v="244/25-26"/>
    <s v="MVDF/25-26/20788/21-10-2025"/>
    <s v="0100/2025-26"/>
    <s v="MVD Fasteners Pvt Ltd "/>
    <s v="Threaded  Rod Steel 4.6 M8 x 450"/>
    <m/>
    <n v="37"/>
    <n v="19"/>
    <n v="703"/>
    <n v="0"/>
    <n v="0"/>
    <n v="703"/>
    <n v="0.18"/>
    <n v="0"/>
    <n v="63.27"/>
    <n v="63.27"/>
    <n v="0"/>
    <n v="829.54"/>
  </r>
  <r>
    <x v="6"/>
    <d v="2025-10-24T00:00:00"/>
    <s v="244/25-26"/>
    <s v="MVDF/25-26/20788/21-10-2025"/>
    <s v="0100/2025-26"/>
    <s v="MVD Fasteners Pvt Ltd "/>
    <s v="Threaded  Rod Steel 4.6 M8 x 500"/>
    <m/>
    <n v="36"/>
    <n v="20.5"/>
    <n v="738"/>
    <n v="0"/>
    <n v="0"/>
    <n v="738"/>
    <n v="0.18"/>
    <n v="0"/>
    <n v="66.42"/>
    <n v="66.42"/>
    <n v="0"/>
    <n v="870.83999999999992"/>
  </r>
  <r>
    <x v="6"/>
    <d v="2025-10-22T00:00:00"/>
    <s v="245/25-26"/>
    <s v="AVK-356-25-26/22-10-2025"/>
    <s v="128/2025-26"/>
    <s v="AVK Industrial Supplies"/>
    <s v="Trolley Wheel (8&quot; with Brake Supo)"/>
    <m/>
    <n v="8"/>
    <n v="2325"/>
    <n v="18600"/>
    <n v="1300"/>
    <n v="0"/>
    <n v="19900"/>
    <n v="0.18"/>
    <n v="0"/>
    <n v="1791"/>
    <n v="1791"/>
    <n v="0"/>
    <n v="23482"/>
  </r>
  <r>
    <x v="6"/>
    <d v="2025-10-23T00:00:00"/>
    <s v="246/25-26"/>
    <s v="657/23-10-2025"/>
    <m/>
    <s v="Sneha Enterprise Self Adhesive Tapes"/>
    <s v="XLPE Gasket (5mm x 20mm x 10Mtr) In Mtr"/>
    <m/>
    <n v="25000"/>
    <n v="4"/>
    <n v="100000"/>
    <n v="0"/>
    <n v="0"/>
    <n v="100000"/>
    <n v="0.18"/>
    <n v="0"/>
    <n v="9000"/>
    <n v="9000"/>
    <n v="0"/>
    <n v="118000"/>
  </r>
  <r>
    <x v="6"/>
    <d v="2025-10-25T00:00:00"/>
    <s v="247/25-26"/>
    <s v="DS/KR/25-26/2709/24-10-2025"/>
    <s v="0126/2025-26"/>
    <s v="D.S Ductofab Systems Pvt Ltd"/>
    <s v="G.I Flat Sheet -24 Gauge ( 180 GSM )"/>
    <s v="180gsm 24G"/>
    <n v="5920"/>
    <n v="73.5"/>
    <n v="435120"/>
    <n v="23072.5"/>
    <n v="0"/>
    <n v="458192.5"/>
    <n v="0.18"/>
    <n v="0"/>
    <n v="41237.324999999997"/>
    <n v="41237.324999999997"/>
    <n v="0"/>
    <n v="540667.15"/>
  </r>
  <r>
    <x v="6"/>
    <d v="2025-10-25T00:00:00"/>
    <s v="247/25-26"/>
    <s v="DS/KR/25-26/2709/24-10-2025"/>
    <s v="0126/2025-26"/>
    <s v="D.S Ductofab Systems Pvt Ltd"/>
    <s v="G.I Flat Sheet -22 Gauge ( 180 GSM )"/>
    <s v="180gsm 22G"/>
    <n v="5050"/>
    <n v="71.5"/>
    <n v="361075"/>
    <n v="0"/>
    <n v="0"/>
    <n v="361075"/>
    <n v="0.18"/>
    <n v="0"/>
    <n v="32496.75"/>
    <n v="32496.75"/>
    <n v="0"/>
    <n v="426068.5"/>
  </r>
  <r>
    <x v="6"/>
    <d v="2025-10-25T00:00:00"/>
    <s v="247/25-26"/>
    <s v="DS/KR/25-26/2709/24-10-2025"/>
    <s v="0126/2025-26"/>
    <s v="D.S Ductofab Systems Pvt Ltd"/>
    <s v="G.I Flat Sheet -18 Gauge ( 180 GSM )"/>
    <s v="180gsm 18G"/>
    <n v="10005"/>
    <n v="71.5"/>
    <n v="715357.5"/>
    <n v="0"/>
    <n v="0"/>
    <n v="715357.5"/>
    <n v="0.18"/>
    <n v="0"/>
    <n v="64382.175000000003"/>
    <n v="64382.175000000003"/>
    <n v="0"/>
    <n v="844121.85000000009"/>
  </r>
  <r>
    <x v="6"/>
    <d v="2025-10-25T00:00:00"/>
    <s v="248/25-26"/>
    <s v="2042/25-26/25-10-2025"/>
    <s v="Mr. Naveen"/>
    <s v="Izzy Agencies "/>
    <s v="Submersible Pump (1.5 HP Texmo)"/>
    <m/>
    <n v="1"/>
    <n v="14786"/>
    <n v="14786"/>
    <n v="1800"/>
    <n v="0"/>
    <n v="16586"/>
    <n v="0.18"/>
    <n v="0"/>
    <n v="1492.74"/>
    <n v="1492.74"/>
    <n v="0"/>
    <n v="19571.480000000003"/>
  </r>
  <r>
    <x v="6"/>
    <d v="2025-10-25T00:00:00"/>
    <s v="248/25-26"/>
    <s v="2042/25-26/25-10-2025"/>
    <s v="Mr. Naveen"/>
    <s v="Izzy Agencies "/>
    <s v="Y Strainer (1 Inch)"/>
    <m/>
    <n v="4"/>
    <n v="528"/>
    <n v="2112"/>
    <n v="0"/>
    <n v="0"/>
    <n v="2112"/>
    <n v="0.18"/>
    <n v="0"/>
    <n v="190.08"/>
    <n v="190.08"/>
    <n v="0"/>
    <n v="2492.16"/>
  </r>
  <r>
    <x v="6"/>
    <d v="2025-10-25T00:00:00"/>
    <s v="249/25-26"/>
    <s v="DS/KR/25-26/2717/25-10-2025"/>
    <s v="0127/2025-26"/>
    <s v="D.S Ductofab Systems Pvt Ltd"/>
    <s v="G.I Flat Sheet -24 Gauge ( 180 GSM )"/>
    <s v="180gsm 24G"/>
    <n v="15670"/>
    <n v="73.5"/>
    <n v="1151745"/>
    <n v="33000"/>
    <n v="0"/>
    <n v="1184745"/>
    <n v="0.18"/>
    <n v="0"/>
    <n v="106627.05"/>
    <n v="106627.05"/>
    <n v="0"/>
    <n v="1397999.1"/>
  </r>
  <r>
    <x v="6"/>
    <d v="2025-10-25T00:00:00"/>
    <s v="249/25-26"/>
    <s v="DS/KR/25-26/2717/25-10-2025"/>
    <s v="0127/2025-26"/>
    <s v="D.S Ductofab Systems Pvt Ltd"/>
    <s v="G.I Flat Sheet -22 Gauge ( 180 GSM )"/>
    <s v="180gsm 22G"/>
    <n v="5075"/>
    <n v="71.5"/>
    <n v="362862.5"/>
    <n v="0"/>
    <n v="0"/>
    <n v="362862.5"/>
    <n v="0.18"/>
    <n v="0"/>
    <n v="32657.625"/>
    <n v="32657.625"/>
    <n v="0"/>
    <n v="428177.75"/>
  </r>
  <r>
    <x v="6"/>
    <d v="2025-10-25T00:00:00"/>
    <s v="249/25-26"/>
    <s v="DS/KR/25-26/2717/25-10-2025"/>
    <s v="0127/2025-26"/>
    <s v="D.S Ductofab Systems Pvt Ltd"/>
    <s v="G.I Flat Sheet -20 Gauge ( 180 GSM )"/>
    <s v="180gsm 20G"/>
    <n v="10100"/>
    <n v="71.5"/>
    <n v="722150"/>
    <n v="0"/>
    <n v="0"/>
    <n v="722150"/>
    <n v="0.18"/>
    <n v="0"/>
    <n v="64993.5"/>
    <n v="64993.5"/>
    <n v="0"/>
    <n v="852137"/>
  </r>
  <r>
    <x v="6"/>
    <d v="2025-10-25T00:00:00"/>
    <s v="250/25-26"/>
    <s v="DS/KR/25-26/2731/25-10-2025"/>
    <s v="0126/2025-26"/>
    <s v="D.S Ductofab Systems Pvt Ltd"/>
    <s v="G.I Flat Sheet - 24 Gauge (180 GSM)"/>
    <s v="180gsm 24G"/>
    <n v="9435"/>
    <n v="73.5"/>
    <n v="693472.5"/>
    <n v="10378.5"/>
    <n v="0"/>
    <n v="703851"/>
    <n v="0.18"/>
    <n v="0"/>
    <n v="63346.59"/>
    <n v="63346.59"/>
    <n v="0"/>
    <n v="830544.17999999993"/>
  </r>
  <r>
    <x v="6"/>
    <d v="2025-10-25T00:00:00"/>
    <s v="251/25-26"/>
    <s v="15197/25-10-2025"/>
    <m/>
    <s v="Hardwares Junction"/>
    <s v="Consumable Materials"/>
    <m/>
    <m/>
    <m/>
    <n v="8605"/>
    <n v="0"/>
    <n v="0"/>
    <n v="8605"/>
    <n v="0.18"/>
    <n v="0"/>
    <n v="774.45"/>
    <n v="774.45"/>
    <n v="0"/>
    <n v="10153.900000000001"/>
  </r>
  <r>
    <x v="6"/>
    <d v="2025-10-25T00:00:00"/>
    <s v="252/25-26"/>
    <s v="15198/25-10-2025"/>
    <m/>
    <s v="Hardwares Junction"/>
    <s v="Consumable Materials"/>
    <m/>
    <m/>
    <m/>
    <n v="16600"/>
    <n v="0"/>
    <n v="0"/>
    <n v="16600"/>
    <n v="0.18"/>
    <n v="0"/>
    <n v="1494"/>
    <n v="1494"/>
    <n v="0"/>
    <n v="19588"/>
  </r>
  <r>
    <x v="6"/>
    <d v="2025-10-28T00:00:00"/>
    <s v="253/25-26"/>
    <s v="2059/25-26/28-10-2025"/>
    <m/>
    <s v="Izzy Agencies "/>
    <s v="Consumable Materials"/>
    <m/>
    <m/>
    <m/>
    <n v="1473.6"/>
    <n v="0"/>
    <n v="0"/>
    <n v="1473.6"/>
    <n v="0.18"/>
    <n v="0"/>
    <n v="132.624"/>
    <n v="132.624"/>
    <n v="0"/>
    <n v="1738.848"/>
  </r>
  <r>
    <x v="6"/>
    <d v="2025-10-29T00:00:00"/>
    <s v="254/25-26"/>
    <s v="H22500012024/28-10-2025"/>
    <s v="0131/2025-26"/>
    <s v="The Supreme Industries Ltd"/>
    <s v="Insu Sound BN 10 MMx(1x1)M 25 Pkg (In Sqm)"/>
    <m/>
    <n v="300"/>
    <n v="385"/>
    <n v="115500"/>
    <n v="0"/>
    <n v="0"/>
    <n v="115500"/>
    <n v="0.18"/>
    <n v="20790"/>
    <n v="0"/>
    <n v="0"/>
    <n v="0"/>
    <n v="136290"/>
  </r>
  <r>
    <x v="6"/>
    <d v="2025-10-29T00:00:00"/>
    <s v="254/25-26"/>
    <s v="H22500012024/28-10-2025"/>
    <s v="0131/2025-26"/>
    <s v="The Supreme Industries Ltd"/>
    <s v="Insu Sound BN 15 MMx(1x1)M 25 Pkg (In Sqm)"/>
    <m/>
    <n v="200"/>
    <n v="555"/>
    <n v="111000"/>
    <n v="0"/>
    <n v="0"/>
    <n v="111000"/>
    <n v="0.18"/>
    <n v="19980"/>
    <n v="0"/>
    <n v="0"/>
    <n v="0"/>
    <n v="130980"/>
  </r>
  <r>
    <x v="6"/>
    <d v="2025-10-29T00:00:00"/>
    <s v="254/25-26"/>
    <s v="H22500012024/28-10-2025"/>
    <s v="0131/2025-26"/>
    <s v="The Supreme Industries Ltd"/>
    <s v="Insuflex 09mm 1200mm*Class O (30 Pkg) In Sqm"/>
    <m/>
    <n v="720"/>
    <n v="96"/>
    <n v="69120"/>
    <n v="0"/>
    <n v="0"/>
    <n v="69120"/>
    <n v="0.18"/>
    <n v="12441.6"/>
    <n v="0"/>
    <n v="0"/>
    <n v="0"/>
    <n v="81561.600000000006"/>
  </r>
  <r>
    <x v="6"/>
    <d v="2025-10-29T00:00:00"/>
    <s v="255/25-26"/>
    <s v="AVK-365-25-26/28-10-2025"/>
    <s v="0134/2025-26"/>
    <s v="AVK Industrial Supplies"/>
    <s v="Consumable Materials"/>
    <m/>
    <m/>
    <m/>
    <n v="47731.88"/>
    <n v="3850"/>
    <n v="0"/>
    <n v="51581.88"/>
    <n v="0.18"/>
    <n v="0"/>
    <n v="4642.3692000000001"/>
    <n v="4642.3692000000001"/>
    <n v="0"/>
    <n v="60866.618399999999"/>
  </r>
  <r>
    <x v="6"/>
    <d v="2025-10-29T00:00:00"/>
    <s v="256/25-26"/>
    <s v="HRP/556/25-26/29-10-2025"/>
    <s v="0098/2025-26"/>
    <s v="HR Precisions"/>
    <s v="Supply of 20G Gss Duct Corner Pieces (In Nos)"/>
    <m/>
    <n v="13950"/>
    <n v="6.5"/>
    <n v="90675"/>
    <n v="0"/>
    <n v="0"/>
    <n v="90675"/>
    <n v="0.18"/>
    <n v="0"/>
    <n v="8160.75"/>
    <n v="8160.75"/>
    <n v="0"/>
    <n v="106996.5"/>
  </r>
  <r>
    <x v="6"/>
    <d v="2025-10-30T00:00:00"/>
    <s v="257/25-26"/>
    <s v="MVDF/25-26/21435/28-10-2025"/>
    <s v="0100/2025-26"/>
    <s v="MVD Fasteners Pvt Ltd "/>
    <s v="Threaded Rod Steel 4.6 M8x445 (In Nos)"/>
    <m/>
    <n v="62"/>
    <n v="18"/>
    <n v="1116"/>
    <n v="0"/>
    <n v="0"/>
    <n v="1116"/>
    <n v="0.18"/>
    <n v="0"/>
    <n v="100.44"/>
    <n v="100.44"/>
    <n v="0"/>
    <n v="1316.88"/>
  </r>
  <r>
    <x v="6"/>
    <d v="2025-10-30T00:00:00"/>
    <s v="257/25-26"/>
    <s v="MVDF/25-26/21435/28-10-2025"/>
    <s v="0100/2025-26"/>
    <s v="MVD Fasteners Pvt Ltd "/>
    <s v="Threaded Rod Steel 4.6 M8x300 (In Nos)"/>
    <m/>
    <n v="5"/>
    <n v="14.5"/>
    <n v="72.5"/>
    <n v="0"/>
    <m/>
    <n v="72.5"/>
    <n v="0.18"/>
    <n v="0"/>
    <n v="6.5250000000000004"/>
    <n v="6.5250000000000004"/>
    <n v="0"/>
    <n v="85.550000000000011"/>
  </r>
  <r>
    <x v="6"/>
    <d v="2025-10-30T00:00:00"/>
    <s v="258/25-26"/>
    <s v="GST/806/2025-26/28-10-2025"/>
    <s v="By Verbel"/>
    <s v="Bangalore Industrial Systems"/>
    <s v="102x84mm Pipe (1 Nos) In Mtr"/>
    <m/>
    <n v="1.35"/>
    <n v="3000"/>
    <n v="4050.0000000000005"/>
    <n v="0"/>
    <n v="0"/>
    <n v="4050.0000000000005"/>
    <n v="0.18"/>
    <n v="0"/>
    <n v="364.50000000000006"/>
    <n v="364.50000000000006"/>
    <n v="0"/>
    <n v="4779.0000000000009"/>
  </r>
  <r>
    <x v="6"/>
    <d v="2025-10-31T00:00:00"/>
    <s v="259/25-26"/>
    <s v="52726102574/28-10-2025"/>
    <s v="0123/2025-26"/>
    <s v="Adore Welding Limited "/>
    <s v="Bulk Pack, Electrode, Duramax (Hypertherm) In Nos"/>
    <m/>
    <n v="2"/>
    <n v="29080"/>
    <n v="45168"/>
    <n v="0"/>
    <n v="0"/>
    <n v="45168"/>
    <n v="0.18"/>
    <n v="8130.24"/>
    <n v="0"/>
    <n v="0"/>
    <n v="0"/>
    <n v="53298.239999999998"/>
  </r>
  <r>
    <x v="6"/>
    <d v="2025-10-31T00:00:00"/>
    <s v="259/25-26"/>
    <s v="52726102574/28-10-2025"/>
    <s v="0123/2025-26"/>
    <s v="Adore Welding Limited "/>
    <s v="Bulk Pack, Nozzle, Duramax (Hypertherm) In Nos"/>
    <m/>
    <n v="2"/>
    <n v="21630"/>
    <n v="33600"/>
    <n v="0"/>
    <n v="0"/>
    <n v="33600"/>
    <n v="0.18"/>
    <n v="6048"/>
    <n v="0"/>
    <n v="0"/>
    <n v="0"/>
    <n v="39648"/>
  </r>
  <r>
    <x v="6"/>
    <d v="2025-10-31T00:00:00"/>
    <s v="260/25-26"/>
    <s v="GST/25-26/005653/29-10-2025"/>
    <s v="0133/2025-26_1"/>
    <s v="Metal Work Pneumatic India Pvt Ltd"/>
    <s v="ISO 15552 Series 3 Cyl Dia 125x50mm Stroke"/>
    <m/>
    <n v="1"/>
    <n v="13543"/>
    <n v="13543"/>
    <n v="0"/>
    <n v="0"/>
    <n v="13543"/>
    <n v="0.18"/>
    <n v="0"/>
    <n v="1218.8699999999999"/>
    <n v="1218.8699999999999"/>
    <n v="0"/>
    <n v="15980.739999999998"/>
  </r>
  <r>
    <x v="6"/>
    <d v="2025-10-31T00:00:00"/>
    <s v="261/25-26"/>
    <s v="AVK-372-25-26/31-10-2025"/>
    <s v="0136/2025-26"/>
    <s v="AVK Industrial Supplies"/>
    <s v="Consumable Materials"/>
    <m/>
    <m/>
    <m/>
    <n v="4430"/>
    <n v="950"/>
    <n v="0"/>
    <n v="5380"/>
    <n v="0.18"/>
    <n v="0"/>
    <n v="484.2"/>
    <n v="484.2"/>
    <n v="0"/>
    <n v="6348.4"/>
  </r>
  <r>
    <x v="6"/>
    <d v="2025-10-31T00:00:00"/>
    <s v="262/25-26"/>
    <s v="HRP/565/25-26/31-10-2025"/>
    <s v="0135/2025-26"/>
    <s v="HR Precisions"/>
    <s v="18G GSS Duct Corner Size - 32 mm ( In Nos)"/>
    <m/>
    <n v="15300"/>
    <n v="7.5"/>
    <n v="114750"/>
    <n v="0"/>
    <n v="0"/>
    <n v="114750"/>
    <n v="0.18"/>
    <n v="0"/>
    <n v="10327.5"/>
    <n v="10327.5"/>
    <n v="0"/>
    <n v="135405"/>
  </r>
  <r>
    <x v="7"/>
    <d v="2025-11-05T00:00:00"/>
    <s v="263/25-26"/>
    <s v="25-26/2651/05-11-2025"/>
    <s v="0137/2025-26"/>
    <s v="Shree Jashraj Insulation Pvt Ltd"/>
    <s v="Armasound Super Silence Sheet ASD-140-15 (25 Box) In Sqm"/>
    <m/>
    <n v="300"/>
    <n v="635"/>
    <n v="190500"/>
    <n v="4000"/>
    <n v="0"/>
    <n v="194500"/>
    <n v="0.18"/>
    <n v="0"/>
    <n v="17505"/>
    <n v="17505"/>
    <n v="0"/>
    <n v="229510"/>
  </r>
  <r>
    <x v="7"/>
    <d v="2025-11-07T00:00:00"/>
    <s v="264/25-26"/>
    <s v="1694/25-26/07-11-2025"/>
    <s v="0138/2025-26"/>
    <s v="Prominent Insulation "/>
    <s v="Insushield 13mm Thk Al.Foil (24-25) (1.25mtr X 25mtr X 13 Rolls) In Sqm"/>
    <m/>
    <n v="406.25"/>
    <n v="185"/>
    <n v="75156.25"/>
    <n v="3800"/>
    <n v="0"/>
    <n v="78956.25"/>
    <n v="0.18"/>
    <n v="0"/>
    <n v="7106.0625"/>
    <n v="7106.0625"/>
    <n v="0"/>
    <n v="93168.375"/>
  </r>
  <r>
    <x v="7"/>
    <d v="2025-11-12T00:00:00"/>
    <s v="265/25-26"/>
    <s v="INV2526-013/12-11-2025"/>
    <s v="By Call Mani Sir"/>
    <s v="Solid Machine Works "/>
    <s v="Spring"/>
    <m/>
    <n v="5"/>
    <n v="700"/>
    <n v="3500"/>
    <n v="0"/>
    <n v="0"/>
    <n v="3500"/>
    <n v="0.18"/>
    <n v="0"/>
    <n v="315"/>
    <n v="315"/>
    <n v="0"/>
    <n v="4130"/>
  </r>
  <r>
    <x v="7"/>
    <d v="2025-11-12T00:00:00"/>
    <s v="266/25-26"/>
    <s v="HRP/607/25-26/12-11-2025"/>
    <s v="0135/2025-26"/>
    <s v="HR Precisions"/>
    <s v="18G GSS Duct Corner Size - 32 mm ( In Nos)"/>
    <m/>
    <n v="26100"/>
    <n v="7.5"/>
    <n v="195750"/>
    <n v="0"/>
    <n v="0"/>
    <n v="195750"/>
    <n v="0.18"/>
    <n v="0"/>
    <n v="17617.5"/>
    <n v="17617.5"/>
    <n v="0"/>
    <n v="230985"/>
  </r>
  <r>
    <x v="7"/>
    <d v="2025-11-13T00:00:00"/>
    <s v="267/25-26"/>
    <s v="448/13-11-2025"/>
    <s v="0143/2025-26"/>
    <s v="Shri Sumukha Industries"/>
    <s v="Machine assemble Spare parts"/>
    <m/>
    <m/>
    <m/>
    <n v="139775"/>
    <n v="0"/>
    <n v="0"/>
    <n v="139775"/>
    <n v="0.18"/>
    <n v="0"/>
    <n v="12579.75"/>
    <n v="12579.75"/>
    <n v="0"/>
    <n v="164934.5"/>
  </r>
  <r>
    <x v="7"/>
    <d v="2025-11-13T00:00:00"/>
    <s v="268/25-26"/>
    <s v="SBSI/25-26/122/13-11-2025"/>
    <s v="0145/2025-26"/>
    <s v="SBS Industries"/>
    <s v="Consumable Materials (Machine Spare parts)"/>
    <m/>
    <m/>
    <m/>
    <n v="89585"/>
    <n v="0"/>
    <n v="0"/>
    <n v="89585"/>
    <n v="0.18"/>
    <n v="0"/>
    <n v="8062.65"/>
    <n v="8062.65"/>
    <n v="0"/>
    <n v="105710.29999999999"/>
  </r>
  <r>
    <x v="7"/>
    <d v="2025-11-13T00:00:00"/>
    <s v="269/25-26"/>
    <s v="SBSI/25-26/123/13-11-2025"/>
    <s v="0146/2025-26"/>
    <s v="SBS Industries"/>
    <s v="Hydraulic Power Pack (100 Ltr capacity 40 LPM Pump) 5% Disco"/>
    <m/>
    <n v="1"/>
    <n v="76989.899999999994"/>
    <n v="76989.899999999994"/>
    <n v="0"/>
    <n v="0"/>
    <n v="76989.899999999994"/>
    <n v="0.18"/>
    <n v="0"/>
    <n v="6929.0909999999994"/>
    <n v="6929.0909999999994"/>
    <n v="0"/>
    <n v="90848.081999999995"/>
  </r>
  <r>
    <x v="7"/>
    <d v="2025-11-15T00:00:00"/>
    <s v="270/25-26"/>
    <s v="ME/25-26-314/14-11-2025"/>
    <m/>
    <s v="Manoj Enterprises "/>
    <s v="80 Gram Blue Cotton Knitted Gloves (In Pairs)"/>
    <m/>
    <n v="500"/>
    <n v="11"/>
    <n v="5500"/>
    <n v="0"/>
    <n v="0"/>
    <n v="5500"/>
    <n v="0.05"/>
    <n v="0"/>
    <n v="137.5"/>
    <n v="137.5"/>
    <n v="0"/>
    <n v="5775"/>
  </r>
  <r>
    <x v="7"/>
    <d v="2025-11-21T00:00:00"/>
    <s v="271/25-26"/>
    <s v="1289/11-11-2025"/>
    <s v="0130/2025-26"/>
    <s v="Urja Sealants Pvt Ltd"/>
    <s v="Urja Duct Sealant Grey KG (25Kg Per 4 Bucket)"/>
    <m/>
    <n v="100"/>
    <n v="180"/>
    <n v="18000"/>
    <n v="0"/>
    <n v="0"/>
    <n v="18000"/>
    <n v="0.18"/>
    <n v="3240"/>
    <n v="0"/>
    <n v="0"/>
    <n v="0"/>
    <n v="21240"/>
  </r>
  <r>
    <x v="7"/>
    <d v="2025-11-22T00:00:00"/>
    <s v="272/25-26"/>
    <s v="49279/21-11-2025"/>
    <s v="147/2025-26"/>
    <s v="J.R &amp; Company"/>
    <s v="GP Coil (0.60 x 1220 x C) 2 Nos (In MT)"/>
    <s v="120gsm 24G"/>
    <n v="8880"/>
    <n v="68.75"/>
    <n v="610500"/>
    <n v="0"/>
    <n v="0"/>
    <n v="610500"/>
    <n v="0.18"/>
    <n v="0"/>
    <n v="54945"/>
    <n v="54945"/>
    <n v="0"/>
    <n v="720390"/>
  </r>
  <r>
    <x v="7"/>
    <d v="2025-11-22T00:00:00"/>
    <s v="272/25-26"/>
    <s v="49279/21-11-2025"/>
    <s v="147/2025-26"/>
    <s v="J.R &amp; Company"/>
    <s v="GP Coil (0.60 x 1220 x C) 1 Nos (In MT)"/>
    <s v="120gsm 24G"/>
    <n v="3970"/>
    <n v="68.75"/>
    <n v="272937.5"/>
    <n v="0"/>
    <n v="0"/>
    <n v="272937.5"/>
    <n v="0.18"/>
    <n v="0"/>
    <n v="24564.375"/>
    <n v="24564.375"/>
    <n v="0"/>
    <n v="322066.25"/>
  </r>
  <r>
    <x v="7"/>
    <d v="2025-11-22T00:00:00"/>
    <s v="272/25-26"/>
    <s v="49279/21-11-2025"/>
    <s v="147/2025-26"/>
    <s v="J.R &amp; Company"/>
    <s v="GP Coil (0.60 x 1220 x C) 1 Nos (In MT)"/>
    <s v="120gsm 24G"/>
    <n v="5800"/>
    <n v="68.75"/>
    <n v="398750"/>
    <n v="0"/>
    <n v="0"/>
    <n v="398750"/>
    <n v="0.18"/>
    <n v="0"/>
    <n v="35887.5"/>
    <n v="35887.5"/>
    <n v="0"/>
    <n v="470525"/>
  </r>
  <r>
    <x v="7"/>
    <d v="2025-11-22T00:00:00"/>
    <s v="273/25-26"/>
    <s v="49281/22-11-2025"/>
    <s v="147/2025-26"/>
    <s v="J.R &amp; Company"/>
    <s v="GI Coil (0.80 x 1220 x C) 5.390 + 5.360 + 3693 (3 Nos )"/>
    <s v="120gsm 22G"/>
    <n v="14443"/>
    <n v="67.75"/>
    <n v="978513.25"/>
    <n v="8665"/>
    <n v="0"/>
    <n v="987178.25"/>
    <n v="0.18"/>
    <n v="0"/>
    <n v="88846.042499999996"/>
    <n v="88846.042499999996"/>
    <n v="0"/>
    <n v="1164870.335"/>
  </r>
  <r>
    <x v="7"/>
    <d v="2025-11-24T00:00:00"/>
    <s v="274/25-26"/>
    <s v="HRP/634/25-26/24-11-2025"/>
    <s v="0129/2025-26"/>
    <s v="HR Precisions"/>
    <s v="Supply of 20G Gss Duct Corner Pieces (In Nos) 25mm"/>
    <m/>
    <n v="9265"/>
    <n v="4.5"/>
    <n v="41692.5"/>
    <n v="0"/>
    <n v="0"/>
    <n v="41692.5"/>
    <n v="0.18"/>
    <n v="0"/>
    <n v="3752.3249999999998"/>
    <n v="3752.3249999999998"/>
    <n v="0"/>
    <n v="49197.149999999994"/>
  </r>
  <r>
    <x v="7"/>
    <d v="2025-11-24T00:00:00"/>
    <s v="275/25-26"/>
    <s v="HRP/635/25-26/24-11-2025"/>
    <s v="0135/2025-26"/>
    <s v="HR Precisions"/>
    <s v="18G GSS Duct Corner Size - 32 mm ( In Nos)"/>
    <m/>
    <n v="17100"/>
    <n v="7.5"/>
    <n v="128250"/>
    <n v="0"/>
    <n v="0"/>
    <n v="128250"/>
    <n v="0.18"/>
    <n v="0"/>
    <n v="11542.5"/>
    <n v="11542.5"/>
    <n v="0"/>
    <n v="151335"/>
  </r>
  <r>
    <x v="7"/>
    <d v="2025-11-24T00:00:00"/>
    <s v="276/25-26"/>
    <s v="611/2025-26/24-11-2025"/>
    <m/>
    <s v="Sri Raghavendra Industries"/>
    <s v="Cornmatic Machine Spares Parts"/>
    <m/>
    <m/>
    <m/>
    <n v="170530"/>
    <n v="0"/>
    <n v="0"/>
    <n v="170530"/>
    <n v="0.18"/>
    <n v="0"/>
    <n v="15347.7"/>
    <n v="15347.7"/>
    <n v="0"/>
    <n v="201225.40000000002"/>
  </r>
  <r>
    <x v="7"/>
    <d v="2025-11-24T00:00:00"/>
    <s v="277/25-26"/>
    <s v="612/2025-26/24-11-2025"/>
    <m/>
    <s v="Sri Raghavendra Industries"/>
    <s v="2023-07-03-13 Dia 30 Guide Rod (Nos)"/>
    <m/>
    <n v="2"/>
    <n v="975"/>
    <n v="1950"/>
    <n v="0"/>
    <n v="0"/>
    <n v="1950"/>
    <n v="0"/>
    <n v="0"/>
    <n v="175.5"/>
    <n v="175.5"/>
    <n v="0"/>
    <n v="2301"/>
  </r>
  <r>
    <x v="7"/>
    <d v="2025-11-24T00:00:00"/>
    <s v="278/25-26"/>
    <s v="UNI-25-26-014/22-11-2025"/>
    <s v="Whatsapp"/>
    <s v="Universal Energy Solutions"/>
    <s v="Inductive Type Dc Proximity sensor M12 PNP 6.5mm"/>
    <m/>
    <n v="5"/>
    <n v="1525"/>
    <n v="7625"/>
    <n v="0"/>
    <n v="0"/>
    <n v="7625"/>
    <n v="0"/>
    <n v="0"/>
    <n v="686.25"/>
    <n v="686.25"/>
    <n v="0"/>
    <n v="8997.5"/>
  </r>
  <r>
    <x v="7"/>
    <d v="2025-11-27T00:00:00"/>
    <s v="279/25-26"/>
    <s v="25-26/2954/27-11-2025"/>
    <s v="0150/2025-26"/>
    <s v="Shree Jashraj Insulation Pvt Ltd"/>
    <s v="Armasound Super Silence Sheets ASD-140-15 (15 Box) In Sqm"/>
    <m/>
    <n v="180"/>
    <n v="635"/>
    <n v="114300"/>
    <n v="3000"/>
    <n v="0"/>
    <n v="117300"/>
    <n v="0.18"/>
    <n v="0"/>
    <n v="10557"/>
    <n v="10557"/>
    <n v="0"/>
    <n v="138414"/>
  </r>
  <r>
    <x v="7"/>
    <d v="2025-11-27T00:00:00"/>
    <s v="280/25-26"/>
    <s v="SAI8528/25-26/27-11-2025"/>
    <s v="0149/2025-26"/>
    <s v="Sri Arihant Industries"/>
    <s v="Kflex Kfonik 10mm Open Cell CL-1 Plain (10 Box) In Sqm"/>
    <m/>
    <n v="200"/>
    <n v="430"/>
    <n v="86000"/>
    <n v="3000"/>
    <n v="0"/>
    <n v="89000"/>
    <n v="0.18"/>
    <n v="0"/>
    <n v="8010"/>
    <n v="8010"/>
    <n v="0"/>
    <n v="105020"/>
  </r>
  <r>
    <x v="7"/>
    <d v="2025-11-27T00:00:00"/>
    <s v="281/25-26"/>
    <s v="15432/26-11-2025"/>
    <m/>
    <s v="Hardwares Junction"/>
    <s v="Consumable materials "/>
    <m/>
    <m/>
    <m/>
    <n v="5470"/>
    <n v="0"/>
    <n v="0"/>
    <n v="5470"/>
    <n v="0.18"/>
    <n v="0"/>
    <n v="492.3"/>
    <n v="492.3"/>
    <n v="0"/>
    <n v="6454.6"/>
  </r>
  <r>
    <x v="7"/>
    <d v="2025-11-27T00:00:00"/>
    <s v="282/25-26"/>
    <s v="15433/26-11-2025"/>
    <m/>
    <s v="Hardwares Junction"/>
    <s v="Consumable materials "/>
    <m/>
    <m/>
    <m/>
    <n v="15345"/>
    <n v="0"/>
    <n v="0"/>
    <n v="15345"/>
    <n v="0.18"/>
    <n v="0"/>
    <n v="1381.05"/>
    <n v="1381.05"/>
    <n v="0"/>
    <n v="18107.099999999999"/>
  </r>
  <r>
    <x v="7"/>
    <d v="2025-11-27T00:00:00"/>
    <s v="283/25-26"/>
    <s v="15439/26-11-2025"/>
    <m/>
    <s v="Hardwares Junction"/>
    <s v="Consumable materials "/>
    <m/>
    <m/>
    <m/>
    <n v="6550"/>
    <n v="0"/>
    <n v="0"/>
    <n v="6550"/>
    <n v="0.18"/>
    <n v="0"/>
    <n v="589.5"/>
    <n v="589.5"/>
    <n v="0"/>
    <n v="7729"/>
  </r>
  <r>
    <x v="7"/>
    <d v="2025-11-27T00:00:00"/>
    <s v="284/25-26"/>
    <s v="15455/27-11-2025"/>
    <m/>
    <s v="Hardwares Junction"/>
    <s v="Consumable materials "/>
    <m/>
    <m/>
    <m/>
    <n v="4396"/>
    <n v="0"/>
    <n v="0"/>
    <n v="4396"/>
    <n v="0.18"/>
    <n v="0"/>
    <n v="395.64"/>
    <n v="395.64"/>
    <n v="0"/>
    <n v="5187.2800000000007"/>
  </r>
  <r>
    <x v="8"/>
    <d v="2025-12-02T00:00:00"/>
    <s v="285/25-26"/>
    <s v="49353/1-12-2025"/>
    <s v="147/2025-26"/>
    <s v="J.R &amp; Company"/>
    <s v="GP Coil (0.60 x 1220 x C) 3 Nos (In MTS)"/>
    <s v="120gsm 24G"/>
    <n v="12362"/>
    <n v="68.75"/>
    <n v="849887.5"/>
    <n v="0"/>
    <n v="0"/>
    <n v="849887.5"/>
    <n v="0.18"/>
    <n v="0"/>
    <n v="76489.875"/>
    <n v="76489.875"/>
    <n v="0"/>
    <n v="1002867.25"/>
  </r>
  <r>
    <x v="8"/>
    <d v="2025-12-02T00:00:00"/>
    <s v="285/25-26"/>
    <s v="49353/1-12-2025"/>
    <s v="147/2025-26"/>
    <s v="J.R &amp; Company"/>
    <s v="(0.80 x 1220 X C) 3 Nos (In MTS )"/>
    <s v="120gsm 22G"/>
    <n v="10620"/>
    <n v="67.75"/>
    <n v="719505"/>
    <n v="0"/>
    <n v="0"/>
    <n v="719505"/>
    <n v="0.18"/>
    <n v="0"/>
    <n v="64755.45"/>
    <n v="64755.45"/>
    <n v="0"/>
    <n v="849015.89999999991"/>
  </r>
  <r>
    <x v="8"/>
    <d v="2025-12-03T00:00:00"/>
    <s v="286/25-26"/>
    <s v="665/2025-2026/03-12-2025"/>
    <m/>
    <s v="Sri Raghavendra Industries"/>
    <s v="2025-09-00-17 Base Plate "/>
    <m/>
    <n v="1"/>
    <n v="18200"/>
    <n v="18200"/>
    <n v="0"/>
    <n v="0"/>
    <n v="18200"/>
    <n v="0.18"/>
    <m/>
    <n v="1638"/>
    <n v="1638"/>
    <n v="0"/>
    <n v="21476"/>
  </r>
  <r>
    <x v="8"/>
    <d v="2025-12-06T00:00:00"/>
    <s v="287/25-26"/>
    <s v="671/2025-2026/05-12-2025"/>
    <m/>
    <s v="Sri Raghavendra Industries"/>
    <s v="2024-11-00-00 Top Plate Mtg Plate "/>
    <m/>
    <n v="2"/>
    <n v="1500"/>
    <n v="3000"/>
    <n v="0"/>
    <n v="0"/>
    <n v="3000"/>
    <n v="0.18"/>
    <m/>
    <n v="270"/>
    <n v="270"/>
    <n v="0"/>
    <n v="3540"/>
  </r>
  <r>
    <x v="8"/>
    <d v="2025-12-09T00:00:00"/>
    <s v="288/25-26"/>
    <s v="2511/25-26/09-12-2025"/>
    <s v="0156/2025-26-11"/>
    <s v="Izzy Agencies "/>
    <s v="Consumable Material "/>
    <m/>
    <m/>
    <m/>
    <n v="12666"/>
    <n v="0"/>
    <n v="0"/>
    <n v="12666"/>
    <n v="0.18"/>
    <m/>
    <n v="1139.94"/>
    <n v="1139.94"/>
    <n v="0"/>
    <n v="14945.880000000001"/>
  </r>
  <r>
    <x v="8"/>
    <d v="2025-12-10T00:00:00"/>
    <s v="289/25-26"/>
    <s v="HRP/699/25-26/10-12-2025"/>
    <s v="0144/2025-26/12-11-2025"/>
    <s v="HR Precisions"/>
    <s v="Damper Operating lever Square (Guage 1.00mm, Hole - 10mm) In Nos"/>
    <m/>
    <n v="1300"/>
    <n v="34"/>
    <n v="44200"/>
    <n v="0"/>
    <n v="0"/>
    <n v="44200"/>
    <n v="0.18"/>
    <m/>
    <n v="3978"/>
    <n v="3978"/>
    <n v="0"/>
    <n v="52156"/>
  </r>
  <r>
    <x v="8"/>
    <d v="2025-12-10T00:00:00"/>
    <s v="290/25-26"/>
    <s v="HRP/700/25-26/10-12-2025"/>
    <s v="0129/2025-26"/>
    <s v="HR Precisions"/>
    <s v="20g GSS Duct Corner Size-32mm (In Nos)"/>
    <m/>
    <n v="21150"/>
    <n v="6.5"/>
    <n v="137475"/>
    <n v="0"/>
    <n v="0"/>
    <n v="137475"/>
    <n v="0.18"/>
    <n v="0"/>
    <n v="12372.75"/>
    <n v="12372.75"/>
    <n v="0"/>
    <n v="162220.5"/>
  </r>
  <r>
    <x v="8"/>
    <d v="2025-12-12T00:00:00"/>
    <s v="291/25-26"/>
    <s v="49459/12-12-2025"/>
    <s v="147/2025-26"/>
    <s v="J.R &amp; Company"/>
    <s v="GP Coil (0.50 x 1220 x C) 2 Nos (In MTS)"/>
    <s v="120gsm 26G"/>
    <n v="9445"/>
    <n v="70"/>
    <n v="661150"/>
    <n v="19500"/>
    <n v="0"/>
    <n v="680650"/>
    <n v="0.18"/>
    <n v="0"/>
    <n v="61258.5"/>
    <n v="61258.5"/>
    <n v="0"/>
    <n v="803167"/>
  </r>
  <r>
    <x v="8"/>
    <d v="2025-12-13T00:00:00"/>
    <s v="292/25-26"/>
    <s v="H22500014977/13-12-2025"/>
    <s v="0092-2025-26"/>
    <s v="The Supreme Industries Ltd"/>
    <s v="Insuflex 09mm x 1200mm x Class O (69 PKG) In Sqmtr"/>
    <m/>
    <n v="1656"/>
    <n v="96"/>
    <n v="158976"/>
    <n v="0"/>
    <n v="0"/>
    <n v="158976"/>
    <n v="0.18"/>
    <n v="28615.68"/>
    <n v="0"/>
    <n v="0"/>
    <n v="0"/>
    <n v="187591.67999999999"/>
  </r>
  <r>
    <x v="8"/>
    <d v="2025-12-15T00:00:00"/>
    <s v="293/25-26"/>
    <s v="0843-25-26/15-12-2025"/>
    <m/>
    <s v="SFS Industrial Co"/>
    <s v="Coupling CI R110 (In Nos )"/>
    <m/>
    <n v="1"/>
    <n v="1400"/>
    <n v="1400"/>
    <n v="0"/>
    <n v="0"/>
    <n v="1400"/>
    <n v="0.18"/>
    <n v="0"/>
    <n v="126"/>
    <n v="126"/>
    <n v="0"/>
    <n v="1652"/>
  </r>
  <r>
    <x v="8"/>
    <d v="2025-12-17T00:00:00"/>
    <s v="294/25-26"/>
    <s v="MA6325/16-12-2025"/>
    <s v="0160/2025-26"/>
    <s v="Munot Agencies "/>
    <s v="150 Watt Led Street Light Fitting (Crompton Make) 6 Nos "/>
    <m/>
    <n v="6"/>
    <n v="4725"/>
    <n v="28350"/>
    <n v="0"/>
    <n v="0"/>
    <n v="28350"/>
    <n v="0.18"/>
    <n v="0"/>
    <n v="2551.5"/>
    <n v="2551.5"/>
    <n v="0"/>
    <n v="33453"/>
  </r>
  <r>
    <x v="8"/>
    <d v="2025-12-18T00:00:00"/>
    <s v="295/25-26"/>
    <s v="7976/11-12-2025"/>
    <m/>
    <s v="New Mataji Electricals"/>
    <s v="Dol Starter 1.5 HP  CH8536 (4 Nos)"/>
    <m/>
    <m/>
    <m/>
    <n v="9831"/>
    <n v="0"/>
    <n v="0"/>
    <n v="9831"/>
    <n v="0.18"/>
    <n v="0"/>
    <n v="884.79"/>
    <n v="884.79"/>
    <n v="0"/>
    <n v="11600.580000000002"/>
  </r>
  <r>
    <x v="8"/>
    <d v="2025-12-18T00:00:00"/>
    <s v="296/25-26"/>
    <s v="2592/25-26/18-12-2025"/>
    <s v="0159/2025-26"/>
    <s v="Izzy Agencies "/>
    <s v="Focus Light (100 Watts Wipro)"/>
    <m/>
    <n v="22"/>
    <n v="1652"/>
    <n v="36344"/>
    <n v="0"/>
    <n v="0"/>
    <n v="36344"/>
    <n v="0.18"/>
    <n v="0"/>
    <n v="3270.96"/>
    <n v="3270.96"/>
    <n v="0"/>
    <n v="42885.919999999998"/>
  </r>
  <r>
    <x v="8"/>
    <d v="2025-12-19T00:00:00"/>
    <s v="297/25-26"/>
    <s v="TGPL-25-26-13046/13-12-2025"/>
    <s v="0151/2025-26"/>
    <s v="Transtech Gears Pvt Ltd"/>
    <s v="TW63 UFB50 F80 B5B3 + TM80 B4 B5 ( In Nos)"/>
    <m/>
    <n v="1"/>
    <n v="18073.16"/>
    <n v="18073.16"/>
    <n v="0"/>
    <n v="0"/>
    <n v="18073.16"/>
    <n v="0.18"/>
    <n v="0"/>
    <n v="1626.5844"/>
    <n v="1626.5844"/>
    <m/>
    <n v="21326.328799999999"/>
  </r>
  <r>
    <x v="8"/>
    <d v="2025-12-20T00:00:00"/>
    <s v="298/25-26"/>
    <s v="MVDF/25-26/27215/16-12-2025"/>
    <s v="158/2025-26"/>
    <s v="MVD Fasteners Pvt Ltd "/>
    <s v="Threaded Rod Steel 4.6 M8x145,195,395,445,495,350,400,450,500. (Consumable)"/>
    <m/>
    <m/>
    <m/>
    <n v="85644.83"/>
    <n v="0"/>
    <n v="0"/>
    <n v="85644.83"/>
    <n v="0.18"/>
    <n v="0"/>
    <n v="7708.0347000000002"/>
    <n v="7708.0347000000002"/>
    <m/>
    <n v="101060.89940000001"/>
  </r>
  <r>
    <x v="8"/>
    <d v="2025-12-19T00:00:00"/>
    <s v="299/25-26"/>
    <s v="110/19-12-2025"/>
    <s v="0139/2025-26"/>
    <s v="Toolings Ocean "/>
    <s v="Gear 150 Dia, Inner Bush and Outer Bush (Consumable Materials_"/>
    <m/>
    <m/>
    <m/>
    <n v="33400"/>
    <n v="0"/>
    <n v="0"/>
    <n v="33400"/>
    <n v="0.18"/>
    <n v="0"/>
    <n v="3006"/>
    <n v="3006"/>
    <n v="0"/>
    <n v="39412"/>
  </r>
  <r>
    <x v="8"/>
    <d v="2025-12-06T00:00:00"/>
    <s v="300/25-26"/>
    <s v="INV359/25-26/06-12-2025"/>
    <s v="0140/2025-26"/>
    <s v="PSI Global"/>
    <s v="Leintz 4000 HRS Kit (1Set) Rotair Advance Oil 5Ltr (2 Nos)"/>
    <m/>
    <m/>
    <m/>
    <n v="35370"/>
    <n v="0"/>
    <n v="0"/>
    <n v="35370"/>
    <n v="0.18"/>
    <n v="6366.6"/>
    <n v="0"/>
    <n v="0"/>
    <n v="0"/>
    <n v="41736.6"/>
  </r>
  <r>
    <x v="8"/>
    <d v="2025-12-25T00:00:00"/>
    <s v="301/25-26"/>
    <n v="0"/>
    <m/>
    <s v="RS Form Teknic"/>
    <s v="Supply of Spiral Tube machine Spares, Top Shaft lead screw, Slotted Flange "/>
    <m/>
    <m/>
    <m/>
    <n v="95725"/>
    <n v="4000"/>
    <n v="0"/>
    <n v="99725"/>
    <n v="0.18"/>
    <n v="17950.5"/>
    <n v="0"/>
    <n v="0"/>
    <n v="0"/>
    <n v="117675.5"/>
  </r>
  <r>
    <x v="8"/>
    <d v="2025-12-23T00:00:00"/>
    <s v="302/25-26"/>
    <s v="ID325062409/20-12-2025"/>
    <s v="0152/2025-26"/>
    <s v="MiSumi"/>
    <s v="Toggle Clamps/-STK 3"/>
    <m/>
    <n v="4"/>
    <n v="880.52"/>
    <n v="3522.08"/>
    <n v="0"/>
    <n v="0"/>
    <n v="3522.08"/>
    <n v="0.18"/>
    <n v="0"/>
    <n v="316.98720000000003"/>
    <n v="316.98720000000003"/>
    <n v="0"/>
    <n v="4156.0544"/>
  </r>
  <r>
    <x v="8"/>
    <d v="2025-12-24T00:00:00"/>
    <s v="303/25-26"/>
    <s v="25-26/3245/21-12-2025"/>
    <s v="0006/2025-26"/>
    <s v="Shree Jashraj Insulation Pvt Ltd"/>
    <s v="Armaflex with Microban Sheet Com-19mm/E 1.2(250 Roll) In Sqm"/>
    <m/>
    <n v="3000"/>
    <n v="191"/>
    <n v="573000"/>
    <n v="50000"/>
    <n v="0"/>
    <n v="623000"/>
    <n v="0.18"/>
    <n v="0"/>
    <n v="56070"/>
    <n v="56070"/>
    <n v="0"/>
    <n v="735140"/>
  </r>
  <r>
    <x v="8"/>
    <d v="2025-12-24T00:00:00"/>
    <s v="304/25-26"/>
    <s v="KM/06406/2025-26/23-12-2025"/>
    <s v="0161/2025-26"/>
    <s v="Kothari Metals"/>
    <s v="Aluminium Coils (0.71x1220) in Mts (17.0 Nos )"/>
    <s v="120gsm 22G(Alu)"/>
    <n v="5.08"/>
    <n v="345000"/>
    <n v="1752600"/>
    <n v="8502"/>
    <n v="0"/>
    <n v="1761102"/>
    <n v="0.18"/>
    <n v="0"/>
    <n v="158499.18"/>
    <n v="158499.18"/>
    <n v="0"/>
    <n v="2078100.3599999999"/>
  </r>
  <r>
    <x v="8"/>
    <d v="2025-12-24T00:00:00"/>
    <s v="305/25-26"/>
    <s v="25-26/3273"/>
    <s v="0163/2025-26"/>
    <s v="Shree Jashraj Insulation Pvt Ltd"/>
    <s v="Armasound Super silence Sheets ASD -140-15 (25 Box) 300 Sqmts"/>
    <m/>
    <n v="300"/>
    <n v="635"/>
    <n v="190500"/>
    <n v="3500"/>
    <n v="0"/>
    <n v="194000"/>
    <n v="0.18"/>
    <n v="0"/>
    <n v="17460"/>
    <n v="17460"/>
    <n v="0"/>
    <n v="228920"/>
  </r>
  <r>
    <x v="8"/>
    <d v="2025-12-25T00:00:00"/>
    <s v="306/25-26"/>
    <s v="MVDF/25-26/28246/24-12-2025"/>
    <s v="158/2025-26"/>
    <s v="MVD Fasteners Pvt Ltd "/>
    <s v="Threaded Rod Steel (4.6 M8*445) In Nos"/>
    <m/>
    <n v="199"/>
    <n v="18"/>
    <n v="3582"/>
    <n v="0"/>
    <n v="0"/>
    <n v="3582"/>
    <n v="0.18"/>
    <n v="0"/>
    <n v="322.38"/>
    <n v="322.38"/>
    <n v="0"/>
    <n v="4226.76"/>
  </r>
  <r>
    <x v="8"/>
    <d v="2025-12-25T00:00:00"/>
    <s v="306/25-26"/>
    <s v="MVDF/25-26/28246/24-12-2025"/>
    <s v="158/2025-26"/>
    <s v="MVD Fasteners Pvt Ltd "/>
    <s v="Threaded Rod Steel (4.6 M8*400) In Nos"/>
    <m/>
    <n v="381"/>
    <n v="17"/>
    <n v="6477"/>
    <n v="0"/>
    <n v="0"/>
    <n v="6477"/>
    <n v="0.18"/>
    <n v="0"/>
    <n v="582.92999999999995"/>
    <n v="582.92999999999995"/>
    <n v="0"/>
    <n v="7642.8600000000006"/>
  </r>
  <r>
    <x v="8"/>
    <d v="2025-12-25T00:00:00"/>
    <s v="306/25-26"/>
    <s v="MVDF/25-26/28246/24-12-2025"/>
    <s v="158/2025-26"/>
    <s v="MVD Fasteners Pvt Ltd "/>
    <s v="Threaded Rod Steel (4.6 M8*450) In Nos"/>
    <m/>
    <n v="917"/>
    <n v="19"/>
    <n v="17423"/>
    <n v="0"/>
    <n v="0"/>
    <n v="17423"/>
    <n v="0.18"/>
    <n v="0"/>
    <n v="1568.07"/>
    <n v="1568.07"/>
    <n v="0"/>
    <n v="20559.14"/>
  </r>
  <r>
    <x v="8"/>
    <d v="2025-12-25T00:00:00"/>
    <s v="306/25-26"/>
    <s v="MVDF/25-26/28246/24-12-2025"/>
    <s v="158/2025-26"/>
    <s v="MVD Fasteners Pvt Ltd "/>
    <s v="Threaded Rod Steel (4.6 M8*500) In Nos"/>
    <m/>
    <n v="994"/>
    <n v="20.5"/>
    <n v="20377"/>
    <n v="0"/>
    <n v="0"/>
    <n v="20377"/>
    <n v="0.18"/>
    <n v="0"/>
    <n v="1833.93"/>
    <n v="1833.93"/>
    <n v="0"/>
    <n v="24044.86"/>
  </r>
  <r>
    <x v="8"/>
    <d v="2025-12-26T00:00:00"/>
    <s v="307/25-26"/>
    <s v="SBSI/25-26/140/25-12-2025"/>
    <s v="0154/2025-26"/>
    <s v="SBS Industries"/>
    <s v="Hydraulic Power Pack (1) &amp; Hydraulic Punching Machine Cylinder3(5% Dic on Both)"/>
    <m/>
    <m/>
    <m/>
    <n v="93100"/>
    <n v="0"/>
    <n v="0"/>
    <n v="93100"/>
    <n v="0.18"/>
    <n v="0"/>
    <n v="8379"/>
    <n v="8379"/>
    <n v="0"/>
    <n v="109858"/>
  </r>
  <r>
    <x v="8"/>
    <d v="2025-12-26T00:00:00"/>
    <s v="308/25-26"/>
    <s v="SBSI/25-26/141/25-12-2025"/>
    <s v="0153/2025-26"/>
    <s v="SBS Industries"/>
    <s v="Hydraulic Machine Spare Parts Purchased (10 Nos)"/>
    <m/>
    <m/>
    <m/>
    <n v="77900"/>
    <n v="0"/>
    <n v="0"/>
    <n v="77900"/>
    <n v="0.18"/>
    <n v="0"/>
    <n v="7011"/>
    <n v="7011"/>
    <n v="0"/>
    <n v="91922"/>
  </r>
  <r>
    <x v="8"/>
    <d v="2025-12-26T00:00:00"/>
    <s v="309/25-26"/>
    <s v="758/2025-2026/25-12-2025"/>
    <m/>
    <s v="Sri Raghavendra Industries"/>
    <s v="Goorving Machine Parts 1 Set (1 Nos) "/>
    <m/>
    <n v="1"/>
    <n v="5000"/>
    <n v="5000"/>
    <n v="0"/>
    <n v="0"/>
    <n v="5000"/>
    <n v="0.18"/>
    <n v="0"/>
    <n v="450"/>
    <n v="450"/>
    <n v="0"/>
    <n v="5900"/>
  </r>
  <r>
    <x v="8"/>
    <d v="2025-12-26T00:00:00"/>
    <s v="310/25-26"/>
    <s v="519/25-12-2025"/>
    <m/>
    <s v="Shri Sumukha Industries"/>
    <s v="Ipol Hydropac AW 68 (52 Ltr) "/>
    <m/>
    <n v="52"/>
    <n v="155"/>
    <n v="8060"/>
    <n v="0"/>
    <n v="0"/>
    <n v="8060"/>
    <n v="0.18"/>
    <n v="0"/>
    <n v="725.4"/>
    <n v="725.4"/>
    <n v="0"/>
    <n v="9510.7999999999993"/>
  </r>
  <r>
    <x v="8"/>
    <d v="2025-12-27T00:00:00"/>
    <s v="311/25-26"/>
    <s v="ST/25-26/7463/27-12-2025"/>
    <m/>
    <s v="Silcon Steels Pvt Ltd"/>
    <s v="GI Formed Sections (Brace Angle Thk 2.5mm*25*25) In MTS "/>
    <m/>
    <n v="7800"/>
    <n v="72"/>
    <n v="561600"/>
    <n v="5500"/>
    <n v="1170"/>
    <n v="568270"/>
    <n v="0.18"/>
    <n v="0"/>
    <n v="51144.3"/>
    <n v="51144.3"/>
    <n v="0"/>
    <n v="670558.60000000009"/>
  </r>
  <r>
    <x v="8"/>
    <d v="2025-12-27T00:00:00"/>
    <s v="312/25-26"/>
    <s v="8702/23-12-2025"/>
    <s v="0162/2025-26"/>
    <s v="Thoro Buildcare "/>
    <s v="9mm Thermobreak LS AI Foil 1200mm*50mt (8 Rolls)  In Sqm"/>
    <m/>
    <n v="474"/>
    <n v="320"/>
    <n v="151680"/>
    <n v="14000"/>
    <n v="0"/>
    <n v="165680"/>
    <n v="0.18"/>
    <n v="29822.400000000001"/>
    <n v="0"/>
    <n v="0"/>
    <n v="0"/>
    <n v="195502.4"/>
  </r>
  <r>
    <x v="8"/>
    <d v="2025-12-27T00:00:00"/>
    <s v="313/25-26"/>
    <s v="ME/25-26/338/27-12-2025"/>
    <s v="0165/2025-26"/>
    <s v="Manoj Enterprises "/>
    <s v="80 Gram Blue Cotton Knitted Gloves (In Pairs)"/>
    <m/>
    <n v="500"/>
    <n v="11"/>
    <n v="5500"/>
    <n v="0"/>
    <m/>
    <n v="5500"/>
    <n v="0.05"/>
    <n v="0"/>
    <n v="137.5"/>
    <n v="137.5"/>
    <n v="0"/>
    <n v="5775"/>
  </r>
  <r>
    <x v="8"/>
    <d v="2025-12-27T00:00:00"/>
    <s v="313/25-26"/>
    <s v="ME/25-26/338/27-12-2025"/>
    <s v="0165/2025-26"/>
    <s v="Manoj Enterprises "/>
    <s v="Cloth Waste (In Kg)"/>
    <m/>
    <n v="50"/>
    <n v="58"/>
    <n v="2900"/>
    <n v="0"/>
    <n v="0"/>
    <n v="2900"/>
    <n v="0.05"/>
    <n v="0"/>
    <n v="72.5"/>
    <n v="72.5"/>
    <n v="0"/>
    <n v="3045"/>
  </r>
  <r>
    <x v="8"/>
    <d v="2025-12-27T00:00:00"/>
    <s v="313/25-26"/>
    <s v="ME/25-26/338/27-12-2025"/>
    <s v="0165/2025-26"/>
    <s v="Manoj Enterprises "/>
    <s v="3M Ear Plugs (In Nos)"/>
    <m/>
    <n v="500"/>
    <n v="8.9"/>
    <n v="4450"/>
    <n v="0"/>
    <n v="0"/>
    <n v="4450"/>
    <n v="0.18"/>
    <n v="0"/>
    <n v="400.5"/>
    <n v="400.5"/>
    <n v="0"/>
    <n v="5251"/>
  </r>
  <r>
    <x v="8"/>
    <d v="2025-12-29T00:00:00"/>
    <s v="314/25-26"/>
    <s v="53/29-12-2025"/>
    <m/>
    <s v="SK Tools And Hardware Stores"/>
    <s v="Steel Rule 2000mm (1 Nos)"/>
    <m/>
    <n v="1"/>
    <n v="3746"/>
    <n v="3746"/>
    <n v="0"/>
    <n v="0"/>
    <n v="3746"/>
    <n v="0.18"/>
    <n v="0"/>
    <n v="337.14"/>
    <n v="337.14"/>
    <n v="0"/>
    <n v="4420.28"/>
  </r>
  <r>
    <x v="8"/>
    <d v="2025-12-31T00:00:00"/>
    <s v="315/25-26"/>
    <s v="RSFT/INV/24/2025/27-12-2025"/>
    <s v="014/2025-26"/>
    <s v="RS Form Teknic"/>
    <s v="Supply of Lockformer Auto Guide power Flanging attachment suitable for LK20 Machine"/>
    <m/>
    <n v="2"/>
    <n v="143000"/>
    <n v="286000"/>
    <n v="4000"/>
    <n v="0"/>
    <n v="290000"/>
    <n v="0.18"/>
    <n v="52200"/>
    <n v="0"/>
    <n v="0"/>
    <n v="0"/>
    <n v="342200"/>
  </r>
  <r>
    <x v="8"/>
    <d v="2025-12-29T00:00:00"/>
    <s v="316/25-26"/>
    <s v="15691/29-12-2025"/>
    <m/>
    <s v="Hardwares Junction"/>
    <s v="Consumable Materials"/>
    <m/>
    <m/>
    <m/>
    <n v="5525"/>
    <n v="0"/>
    <n v="0"/>
    <n v="5525"/>
    <n v="0.18"/>
    <n v="0"/>
    <n v="497.25"/>
    <n v="497.25"/>
    <n v="0"/>
    <n v="6519.5"/>
  </r>
  <r>
    <x v="8"/>
    <d v="2025-12-30T00:00:00"/>
    <s v="317/25-26"/>
    <s v="MA6382/30-12-2025"/>
    <m/>
    <s v="Munot Agencies "/>
    <s v="Consumable materials"/>
    <m/>
    <m/>
    <m/>
    <n v="28982"/>
    <n v="0"/>
    <n v="0"/>
    <n v="28982"/>
    <n v="0.18"/>
    <n v="0"/>
    <n v="2608.38"/>
    <n v="2608.38"/>
    <n v="0"/>
    <n v="34198.76"/>
  </r>
  <r>
    <x v="8"/>
    <d v="2025-12-31T00:00:00"/>
    <s v="318/25-26"/>
    <s v="15715/31-12-2025"/>
    <m/>
    <s v="Hardwares Junction"/>
    <s v="Consumable Materials"/>
    <m/>
    <m/>
    <m/>
    <n v="9020"/>
    <n v="0"/>
    <n v="0"/>
    <n v="9020"/>
    <n v="0.18"/>
    <n v="0"/>
    <n v="811.8"/>
    <n v="811.8"/>
    <n v="0"/>
    <n v="10643.599999999999"/>
  </r>
  <r>
    <x v="8"/>
    <d v="2025-12-31T00:00:00"/>
    <s v="319/25-26"/>
    <s v="ST/25-26/7573/31-12-2025"/>
    <m/>
    <s v="Silcon Steels Pvt Ltd"/>
    <s v="GI Formed Sections (Brace Angle 2.5mmX25X25(925-2000 Nos) Etc… In MTS"/>
    <m/>
    <n v="7013"/>
    <n v="72"/>
    <n v="504936"/>
    <n v="5500"/>
    <n v="1400"/>
    <n v="511836"/>
    <n v="0.18"/>
    <n v="0"/>
    <n v="46065.24"/>
    <n v="46065.24"/>
    <n v="0"/>
    <n v="603966.48"/>
  </r>
  <r>
    <x v="8"/>
    <d v="2025-12-31T00:00:00"/>
    <s v="320/25-26"/>
    <s v="HRP/748/25-26/31-12-2025"/>
    <s v="0129/2025-26"/>
    <s v="HR Precisions"/>
    <s v="20g GSS Duct Corner Size-25mm (In Nos)"/>
    <m/>
    <n v="12000"/>
    <n v="4.5"/>
    <n v="54000"/>
    <n v="0"/>
    <n v="0"/>
    <n v="54000"/>
    <n v="0.18"/>
    <n v="0"/>
    <n v="4860"/>
    <n v="4860"/>
    <n v="0"/>
    <n v="63720"/>
  </r>
  <r>
    <x v="8"/>
    <d v="2025-12-31T00:00:00"/>
    <s v="321/25-26"/>
    <s v="HRP/749/25-26/31-12-2025"/>
    <s v="0155/2025-26"/>
    <s v="HR Precisions"/>
    <s v="18g GSS Duct Corner Size-32mm (In Nos)"/>
    <m/>
    <n v="10350"/>
    <n v="7.5"/>
    <n v="77625"/>
    <n v="0"/>
    <n v="0"/>
    <n v="77625"/>
    <n v="0.18"/>
    <n v="0"/>
    <n v="6986.25"/>
    <n v="6986.25"/>
    <n v="0"/>
    <n v="91597.5"/>
  </r>
  <r>
    <x v="8"/>
    <d v="2025-12-31T00:00:00"/>
    <s v="322/25-26"/>
    <s v="MVDF/25-26/285983/27-12-2025"/>
    <s v="158/2025-26"/>
    <s v="MVD Fasteners Pvt Ltd "/>
    <s v="Threaded Rod Steels 4.6 M8x145,195,300,400 and 500 (In Nos) 700+1700+2000+574+2"/>
    <m/>
    <m/>
    <m/>
    <n v="55048"/>
    <n v="0"/>
    <n v="0"/>
    <n v="55048"/>
    <n v="0.18"/>
    <n v="0"/>
    <n v="4954.32"/>
    <n v="4954.32"/>
    <n v="0"/>
    <n v="64956.639999999999"/>
  </r>
  <r>
    <x v="8"/>
    <d v="2025-12-31T00:00:00"/>
    <s v="323/25-26"/>
    <s v="MVDF/25-26/29160/31-12-2025"/>
    <s v="158/2025-26"/>
    <s v="MVD Fasteners Pvt Ltd "/>
    <s v="Threaded Rod steel 4.6 M8x145 and 195 (1268+1281) In Nos"/>
    <m/>
    <m/>
    <m/>
    <n v="16539.169999999998"/>
    <n v="0"/>
    <n v="0"/>
    <n v="16539.169999999998"/>
    <n v="0.18"/>
    <n v="0"/>
    <n v="1488.5252999999998"/>
    <n v="1488.5252999999998"/>
    <n v="0"/>
    <n v="19516.220600000001"/>
  </r>
  <r>
    <x v="9"/>
    <d v="2026-01-02T00:00:00"/>
    <s v="324/25-26"/>
    <s v="MA6400/02-01-2026"/>
    <s v="Naveen Sir"/>
    <s v="Munot Agencies "/>
    <s v="Consumable Materials "/>
    <m/>
    <m/>
    <m/>
    <n v="33773"/>
    <n v="0"/>
    <n v="0"/>
    <n v="33773"/>
    <n v="0.18"/>
    <n v="0"/>
    <n v="3039.57"/>
    <n v="3039.57"/>
    <n v="0"/>
    <n v="39852.14"/>
  </r>
  <r>
    <x v="9"/>
    <d v="2026-01-03T00:00:00"/>
    <s v="325/25-26"/>
    <s v="921/03-01-2026"/>
    <s v="0164/2025-26"/>
    <s v="Sneha Enterprise Self Adhesive Tapes"/>
    <s v="XLPE Gasket (5mm x 20mm x 10Mtr) In Mtr"/>
    <m/>
    <n v="50000"/>
    <n v="4"/>
    <n v="200000"/>
    <n v="0"/>
    <n v="0"/>
    <n v="200000"/>
    <n v="0.18"/>
    <n v="0"/>
    <n v="18000"/>
    <n v="18000"/>
    <n v="0"/>
    <n v="236000"/>
  </r>
  <r>
    <x v="9"/>
    <d v="2026-01-05T00:00:00"/>
    <s v="326/25-26"/>
    <s v="061/05-01-2026"/>
    <m/>
    <s v="DSMJ Steels"/>
    <s v="MS Pipes Random, PPGI Sheet Sky Blue 0.50mm and Bending "/>
    <m/>
    <m/>
    <m/>
    <n v="29183"/>
    <n v="0"/>
    <n v="0"/>
    <n v="29183"/>
    <n v="0.18"/>
    <n v="0"/>
    <n v="2626.47"/>
    <n v="2626.47"/>
    <n v="0"/>
    <n v="34435.94"/>
  </r>
  <r>
    <x v="9"/>
    <d v="2026-01-05T00:00:00"/>
    <s v="327/25-26"/>
    <s v="2744/25-26/05-01-2026"/>
    <s v="0168/2025-26"/>
    <s v="Izzy Agencies "/>
    <s v="Consumable materials "/>
    <m/>
    <m/>
    <m/>
    <n v="129582"/>
    <n v="2100"/>
    <n v="0"/>
    <n v="131682"/>
    <n v="0.18"/>
    <n v="0"/>
    <n v="11851.38"/>
    <n v="11851.38"/>
    <n v="0"/>
    <n v="155384.76"/>
  </r>
  <r>
    <x v="9"/>
    <d v="2026-01-05T00:00:00"/>
    <s v="328/25-26"/>
    <s v="INV358/25-26/06-12-2025"/>
    <s v="0141/2025-26"/>
    <s v="PSI Global"/>
    <s v="2000 Hrs Kit CPA (1 Set)"/>
    <m/>
    <n v="1"/>
    <n v="7963.32"/>
    <n v="7963.32"/>
    <n v="0"/>
    <n v="0"/>
    <n v="7963.32"/>
    <n v="0.18"/>
    <n v="1433.3976"/>
    <n v="0"/>
    <n v="0"/>
    <n v="0"/>
    <n v="9396.7175999999999"/>
  </r>
  <r>
    <x v="9"/>
    <d v="2026-01-06T00:00:00"/>
    <s v="329/25-26"/>
    <s v="062/06-01-2026"/>
    <m/>
    <s v="DSMJ Steels"/>
    <s v="MS Pipes Random "/>
    <m/>
    <m/>
    <m/>
    <n v="10412.5"/>
    <n v="0"/>
    <n v="0"/>
    <n v="10412.5"/>
    <n v="0.18"/>
    <n v="0"/>
    <n v="937.125"/>
    <n v="937.125"/>
    <n v="0"/>
    <n v="12286.75"/>
  </r>
  <r>
    <x v="9"/>
    <d v="2026-01-06T00:00:00"/>
    <s v="330/25-26"/>
    <s v="UNI-25-26-020/22-12-2025"/>
    <m/>
    <s v="Universal Energy Solutions"/>
    <s v="Hydraulic Punch Machine Electrical PLC Control Panel ( In Set)"/>
    <m/>
    <n v="1"/>
    <n v="36000"/>
    <n v="36000"/>
    <n v="0"/>
    <n v="0"/>
    <n v="36000"/>
    <n v="0.18"/>
    <n v="0"/>
    <n v="3240"/>
    <n v="3240"/>
    <n v="0"/>
    <n v="42480"/>
  </r>
  <r>
    <x v="9"/>
    <d v="2026-01-09T00:00:00"/>
    <s v="331/25-26"/>
    <s v="802/2025-26/09-01-2026"/>
    <s v="0171/2025-26"/>
    <s v="Sri Raghavendra Industries"/>
    <s v="Consumable Materials (Machine Spare parts)"/>
    <m/>
    <m/>
    <m/>
    <n v="31200"/>
    <n v="0"/>
    <n v="0"/>
    <n v="31200"/>
    <n v="0.18"/>
    <n v="0"/>
    <n v="2808"/>
    <n v="2808"/>
    <n v="0"/>
    <n v="36816"/>
  </r>
  <r>
    <x v="9"/>
    <d v="2026-01-13T00:00:00"/>
    <s v="332/25-26"/>
    <s v="MS25-26/IN/28396/13-01-2026"/>
    <s v="0172/2025-26"/>
    <s v="Mandot Steel"/>
    <s v="GP/GI Coil 120 Coil (0.80x1220) In Kgs"/>
    <s v="120gsm 22G"/>
    <n v="5000"/>
    <n v="68.5"/>
    <n v="342500"/>
    <n v="4900"/>
    <n v="0"/>
    <n v="347400"/>
    <n v="0.18"/>
    <n v="0"/>
    <n v="31266"/>
    <n v="31266"/>
    <m/>
    <n v="409932"/>
  </r>
  <r>
    <x v="9"/>
    <d v="2026-01-13T00:00:00"/>
    <s v="332/25-26"/>
    <s v="MS25-26/IN/28396/13-01-2026"/>
    <s v="0172/2025-26"/>
    <s v="Mandot Steel"/>
    <s v="GP/GI Coil 120 Coil (0.80x1220) In Kgs"/>
    <s v="120gsm 22G"/>
    <n v="4824"/>
    <n v="68.5"/>
    <n v="330444"/>
    <n v="0"/>
    <n v="0"/>
    <n v="330444"/>
    <n v="0.18"/>
    <n v="0"/>
    <n v="29739.96"/>
    <n v="29739.96"/>
    <m/>
    <n v="389923.92000000004"/>
  </r>
  <r>
    <x v="9"/>
    <d v="2026-01-13T00:00:00"/>
    <s v="333/25-26"/>
    <s v="MS25-26/IN/28397/13-01-2026"/>
    <s v="0172/2025-26"/>
    <s v="Mandot Steel"/>
    <s v="GP/GI Coil 120 STL (0.50 x 1250) In Kgs"/>
    <s v="120gsm 26G"/>
    <n v="5810"/>
    <n v="71.5"/>
    <n v="415415"/>
    <n v="8300"/>
    <n v="0"/>
    <n v="423715"/>
    <n v="0.18"/>
    <n v="0"/>
    <n v="38134.35"/>
    <n v="38134.35"/>
    <n v="0"/>
    <n v="499983.69999999995"/>
  </r>
  <r>
    <x v="9"/>
    <d v="2026-01-13T00:00:00"/>
    <s v="333/25-26"/>
    <s v="MS25-26/IN/28397/13-01-2026"/>
    <s v="0172/2025-26"/>
    <s v="Mandot Steel"/>
    <s v="GP/GI Coil 120 STL (0.50 x 1250) In Kgs"/>
    <s v="120gsm 26G"/>
    <n v="5810"/>
    <n v="71.5"/>
    <n v="415415"/>
    <n v="0"/>
    <n v="0"/>
    <n v="415415"/>
    <n v="0.18"/>
    <n v="0"/>
    <n v="37387.35"/>
    <n v="37387.35"/>
    <m/>
    <n v="490189.69999999995"/>
  </r>
  <r>
    <x v="9"/>
    <d v="2026-01-13T00:00:00"/>
    <s v="333/25-26"/>
    <s v="MS25-26/IN/28397/13-01-2026"/>
    <s v="0172/2025-26"/>
    <s v="Mandot Steel"/>
    <s v="GP/GI Coil 120 STL (0.60 x 1220) In Kgs"/>
    <s v="120gsm 24G"/>
    <n v="5005"/>
    <n v="70.5"/>
    <n v="352852.5"/>
    <n v="0"/>
    <n v="0"/>
    <n v="352852.5"/>
    <n v="0.18"/>
    <n v="0"/>
    <n v="31756.724999999999"/>
    <n v="31756.724999999999"/>
    <n v="0"/>
    <n v="416365.94999999995"/>
  </r>
  <r>
    <x v="9"/>
    <d v="2026-01-13T00:00:00"/>
    <s v="334/25-26"/>
    <s v="HRP/784/25-26/13-01-2026"/>
    <s v="0155/2025-26"/>
    <s v="HR Precisions"/>
    <s v="18G GSS Duct Corner Size - 32 mm ( In Nos)"/>
    <m/>
    <n v="12000"/>
    <n v="7.5"/>
    <n v="90000"/>
    <n v="0"/>
    <n v="0"/>
    <n v="90000"/>
    <n v="0.18"/>
    <n v="0"/>
    <n v="8100"/>
    <n v="8100"/>
    <n v="0"/>
    <n v="106200"/>
  </r>
  <r>
    <x v="9"/>
    <d v="2026-01-13T00:00:00"/>
    <s v="335/25-26"/>
    <s v="HRP/785/25-26/13-01-2026"/>
    <s v="0129/2025-26"/>
    <s v="HR Precisions"/>
    <s v="20G GSS Duct Corner Size - 32 mm ( In Nos)"/>
    <m/>
    <n v="9500"/>
    <n v="6.5"/>
    <n v="61750"/>
    <n v="0"/>
    <n v="0"/>
    <n v="61750"/>
    <n v="0.18"/>
    <n v="0"/>
    <n v="5557.5"/>
    <n v="5557.5"/>
    <n v="0"/>
    <n v="72865"/>
  </r>
  <r>
    <x v="9"/>
    <d v="2026-01-14T00:00:00"/>
    <s v="336/25-26"/>
    <s v="568/14-01-2026"/>
    <m/>
    <s v="Shri Sumukha Industries"/>
    <s v="Whisper Lock Blade"/>
    <m/>
    <n v="1"/>
    <n v="10250"/>
    <n v="10250"/>
    <n v="0"/>
    <n v="0"/>
    <n v="10250"/>
    <n v="0.18"/>
    <n v="0"/>
    <n v="922.5"/>
    <n v="922.5"/>
    <n v="0"/>
    <n v="12095"/>
  </r>
  <r>
    <x v="9"/>
    <d v="2026-01-14T00:00:00"/>
    <s v="337/25-26"/>
    <s v="GST/25-26/007689/14-01-2026"/>
    <s v="0170/2025-26"/>
    <s v="Metal Work Pneumatic India Pvt Ltd"/>
    <s v="Intermediate Equal Elbow Connector RL21 0 6 (Consumable materials )"/>
    <m/>
    <m/>
    <m/>
    <n v="10170"/>
    <n v="0"/>
    <n v="0"/>
    <n v="10170"/>
    <n v="0.18"/>
    <n v="0"/>
    <n v="915.3"/>
    <n v="915.3"/>
    <n v="0"/>
    <n v="12000.599999999999"/>
  </r>
  <r>
    <x v="9"/>
    <d v="2026-01-16T00:00:00"/>
    <s v="338/25-26"/>
    <s v="AVK/493/25-26/16-01-2026"/>
    <s v="0167/2025-26"/>
    <s v="AVK Industrial Supplies"/>
    <s v="Consumable Materials "/>
    <m/>
    <m/>
    <m/>
    <n v="122505"/>
    <n v="0"/>
    <n v="0"/>
    <n v="122505"/>
    <n v="0.18"/>
    <n v="0"/>
    <n v="11025.45"/>
    <n v="11025.45"/>
    <m/>
    <n v="144555.90000000002"/>
  </r>
  <r>
    <x v="9"/>
    <d v="2026-01-16T00:00:00"/>
    <s v="338/25-26"/>
    <s v="AVK/493/25-26/16-01-2026"/>
    <s v="0167/2025-26"/>
    <s v="AVK Industrial Supplies"/>
    <s v="Consumable Materials ( Crane Belt ) 5% GST"/>
    <m/>
    <m/>
    <m/>
    <n v="5592"/>
    <m/>
    <m/>
    <n v="5592"/>
    <n v="0.05"/>
    <n v="0"/>
    <n v="139.80000000000001"/>
    <n v="139.80000000000001"/>
    <m/>
    <n v="5871.6"/>
  </r>
  <r>
    <x v="9"/>
    <d v="2026-01-16T00:00:00"/>
    <s v="338/25-26"/>
    <s v="AVK/493/25-26/16-01-2026"/>
    <s v="0167/2025-26"/>
    <s v="AVK Industrial Supplies"/>
    <s v="Consumable Materials (Wood Hammer Stick ) 0% GST"/>
    <m/>
    <m/>
    <m/>
    <n v="10800"/>
    <n v="0"/>
    <n v="0"/>
    <n v="10800"/>
    <n v="0"/>
    <n v="0"/>
    <n v="0"/>
    <n v="0"/>
    <n v="0"/>
    <n v="10800"/>
  </r>
  <r>
    <x v="9"/>
    <d v="2026-01-17T00:00:00"/>
    <s v="339/25-26"/>
    <s v="MS25-26/IN/28462/16-01-2026"/>
    <s v="0172/25-26"/>
    <s v="Mandot Steel"/>
    <s v="GP/GI Slitting Coil 120 STL 100x12 (1.00 x1220) In Kgs"/>
    <s v="120gsm Slit 20G"/>
    <n v="5385"/>
    <n v="69.5"/>
    <n v="374257.5"/>
    <n v="13500"/>
    <n v="0"/>
    <n v="387757.5"/>
    <n v="0.18"/>
    <n v="0"/>
    <n v="34898.175000000003"/>
    <n v="34898.175000000003"/>
    <n v="0"/>
    <n v="457553.85"/>
  </r>
  <r>
    <x v="9"/>
    <d v="2026-01-17T00:00:00"/>
    <s v="339/25-26"/>
    <s v="MS25-26/IN/28462/16-01-2026"/>
    <s v="0172/25-26"/>
    <s v="Mandot Steel"/>
    <s v="GP/GI  Coil 120 STL (1.00 x1220) In Kgs"/>
    <s v="120gsm 20G"/>
    <n v="6085"/>
    <n v="68.5"/>
    <n v="416822.5"/>
    <n v="0"/>
    <n v="0"/>
    <n v="416822.5"/>
    <n v="0.18"/>
    <n v="0"/>
    <n v="37514.025000000001"/>
    <n v="37514.025000000001"/>
    <n v="0"/>
    <n v="491850.55000000005"/>
  </r>
  <r>
    <x v="9"/>
    <d v="2026-01-17T00:00:00"/>
    <s v="339/25-26"/>
    <s v="MS25-26/IN/28462/16-01-2026"/>
    <s v="0172/25-26"/>
    <s v="Mandot Steel"/>
    <s v="GP/GI  Coil 120 STL (0.60 x1220) In Kgs"/>
    <s v="120gsm 24G"/>
    <n v="5310"/>
    <n v="70.5"/>
    <n v="374355"/>
    <n v="0"/>
    <n v="0"/>
    <n v="374355"/>
    <n v="0.18"/>
    <n v="0"/>
    <n v="33691.949999999997"/>
    <n v="33691.949999999997"/>
    <n v="0"/>
    <n v="441738.9"/>
  </r>
  <r>
    <x v="9"/>
    <d v="2026-01-17T00:00:00"/>
    <s v="339/25-26"/>
    <s v="MS25-26/IN/28462/16-01-2026"/>
    <s v="0172/25-26"/>
    <s v="Mandot Steel"/>
    <s v="GP/GI  Coil 120 STL (0.60 x1220) In Kgs"/>
    <s v="120gsm 24G"/>
    <n v="5705"/>
    <n v="70.5"/>
    <n v="402202.5"/>
    <n v="0"/>
    <n v="0"/>
    <n v="402202.5"/>
    <n v="0.18"/>
    <n v="0"/>
    <n v="36198.224999999999"/>
    <n v="36198.224999999999"/>
    <n v="0"/>
    <n v="474598.94999999995"/>
  </r>
  <r>
    <x v="9"/>
    <d v="2026-01-17T00:00:00"/>
    <s v="340/25-26"/>
    <s v="MS25-26/IN/28463/16-01-2026"/>
    <s v="0172/25-26"/>
    <s v="Mandot Steel"/>
    <s v="GP/GI  Coil 120 STL (0.60 x1220) In Kgs"/>
    <s v="120gsm 24G"/>
    <n v="5680"/>
    <n v="70.5"/>
    <n v="400440"/>
    <n v="6600"/>
    <n v="150"/>
    <n v="407190"/>
    <n v="0.18"/>
    <n v="0"/>
    <n v="36647.1"/>
    <n v="36647.1"/>
    <m/>
    <n v="480484.19999999995"/>
  </r>
  <r>
    <x v="9"/>
    <d v="2026-01-17T00:00:00"/>
    <s v="340/25-26"/>
    <s v="MS25-26/IN/28463/16-01-2026"/>
    <s v="0172/25-26"/>
    <s v="Mandot Steel"/>
    <s v="GP/GI Slitting Coil 600x2 (0.60x1220) "/>
    <s v="120gsm Slit 24G"/>
    <n v="5535"/>
    <n v="71.5"/>
    <n v="395752.5"/>
    <n v="0"/>
    <n v="0"/>
    <n v="395752.5"/>
    <n v="0.18"/>
    <n v="0"/>
    <n v="35617.724999999999"/>
    <n v="35617.724999999999"/>
    <n v="0"/>
    <n v="466987.94999999995"/>
  </r>
  <r>
    <x v="9"/>
    <d v="2026-01-17T00:00:00"/>
    <s v="341/25-26"/>
    <s v="SAI10491/25-26/17-01-2026"/>
    <s v="0175/2025-26"/>
    <s v="Sri Arihant Industries"/>
    <s v="Kflex Kfonik 10mm Open Cell CL-1 Plain (10  Box) In Sqm"/>
    <m/>
    <n v="200"/>
    <n v="430"/>
    <n v="86000"/>
    <n v="3000"/>
    <n v="0"/>
    <n v="89000"/>
    <n v="0.18"/>
    <n v="0"/>
    <n v="8010"/>
    <n v="8010"/>
    <n v="0"/>
    <n v="105020"/>
  </r>
  <r>
    <x v="9"/>
    <d v="2026-01-19T00:00:00"/>
    <s v="342/25-26"/>
    <s v="HA4787/19-01-2026"/>
    <s v="0176/2025-26"/>
    <s v="Aloukik Agencies"/>
    <s v="13mm x 1200mm x 14MTRS BLK Class O (60 Rolls) In Sqm"/>
    <m/>
    <n v="1008"/>
    <n v="169"/>
    <n v="170352"/>
    <n v="4000"/>
    <n v="0"/>
    <n v="174352"/>
    <n v="0.18"/>
    <n v="31383.360000000001"/>
    <n v="0"/>
    <n v="0"/>
    <n v="0"/>
    <n v="205735.36"/>
  </r>
  <r>
    <x v="9"/>
    <d v="2026-01-19T00:00:00"/>
    <s v="343/25-26"/>
    <s v="MSP-U/0221/25-26/19-01-2026"/>
    <s v="0174/2025-26"/>
    <s v="Multi Speciality Products"/>
    <s v="Stretch Film (Manual Grade) 500mm (In Kgs)"/>
    <m/>
    <n v="513.29"/>
    <n v="127"/>
    <n v="65187.829999999994"/>
    <n v="0"/>
    <n v="0"/>
    <n v="65187.829999999994"/>
    <n v="0.18"/>
    <n v="0"/>
    <n v="5866.9047"/>
    <n v="5866.9047"/>
    <n v="0"/>
    <n v="76921.6394"/>
  </r>
  <r>
    <x v="9"/>
    <d v="2026-01-19T00:00:00"/>
    <s v="344/25-26"/>
    <s v="ML25262156/19-01-2026"/>
    <s v="0178/2025-26"/>
    <s v="Cauvery Petrochemicals Pvt Ltd"/>
    <s v="BSY 68-H-N-210 (Best System 68) 210L Drum (Hydraulic Oil) In Ltrs"/>
    <m/>
    <n v="420"/>
    <n v="130"/>
    <n v="54600"/>
    <n v="0"/>
    <n v="0"/>
    <n v="54600"/>
    <n v="0.18"/>
    <n v="0"/>
    <n v="4914"/>
    <n v="4914"/>
    <n v="0"/>
    <n v="64428"/>
  </r>
  <r>
    <x v="9"/>
    <d v="2026-01-21T00:00:00"/>
    <s v="345/25-26"/>
    <s v="T92500004779/20-01-2026"/>
    <s v="0092/2025-26"/>
    <s v="The Supreme Industries Ltd"/>
    <s v="Insuflex 09mm 1200mm*Class O (69 Pkg) In Sqm"/>
    <m/>
    <n v="1656"/>
    <n v="96"/>
    <n v="158976"/>
    <n v="20000"/>
    <n v="0"/>
    <n v="178976"/>
    <n v="0.18"/>
    <n v="32215.68"/>
    <n v="0"/>
    <n v="0"/>
    <n v="0"/>
    <n v="211191.67999999999"/>
  </r>
  <r>
    <x v="9"/>
    <d v="2026-01-21T00:00:00"/>
    <s v="346/25-26"/>
    <s v="25-26/3620/21-01-2026"/>
    <s v="0182/2025-26"/>
    <s v="Shree Jashraj Insulation Pvt Ltd"/>
    <s v="Armasound Super Silence Sheets ASD -140-15 (25 Box) 300 Sqmts"/>
    <m/>
    <n v="300"/>
    <n v="635"/>
    <n v="190500"/>
    <n v="3500"/>
    <n v="0"/>
    <n v="194000"/>
    <n v="0.18"/>
    <n v="0"/>
    <n v="17460"/>
    <n v="17460"/>
    <n v="0"/>
    <n v="228920"/>
  </r>
  <r>
    <x v="9"/>
    <d v="2026-01-21T00:00:00"/>
    <s v="347/25-26"/>
    <s v="ME/25-26/355/21-01-2026"/>
    <s v="0179/2025-26"/>
    <s v="Manoj Enterprises "/>
    <s v="80 Gram Blue Cotton Knitted Gloves (In Pairs) "/>
    <m/>
    <n v="1000"/>
    <n v="11"/>
    <n v="11000"/>
    <n v="0"/>
    <n v="0"/>
    <n v="11000"/>
    <n v="0.05"/>
    <n v="0"/>
    <n v="275"/>
    <n v="275"/>
    <n v="0"/>
    <n v="11550"/>
  </r>
  <r>
    <x v="9"/>
    <d v="2026-01-21T00:00:00"/>
    <s v="347/25-26"/>
    <s v="ME/25-26/355/21-01-2026"/>
    <s v="0179/2025-26"/>
    <s v="Manoj Enterprises "/>
    <s v="Cloth Waste (In Kg)"/>
    <m/>
    <n v="100"/>
    <n v="58"/>
    <n v="5800"/>
    <n v="0"/>
    <n v="0"/>
    <n v="5800"/>
    <n v="0.05"/>
    <n v="0"/>
    <n v="145"/>
    <n v="145"/>
    <n v="0"/>
    <n v="6090"/>
  </r>
  <r>
    <x v="9"/>
    <d v="2026-01-21T00:00:00"/>
    <s v="348/25-26"/>
    <s v="Winarc25-26/2245/21-01-2026"/>
    <s v="0180/2025-26"/>
    <s v="Winarc Cutting System"/>
    <s v="HPMX 220842 Electrode (50 Pcs)"/>
    <m/>
    <n v="50"/>
    <n v="900"/>
    <n v="45000"/>
    <n v="0"/>
    <n v="0"/>
    <n v="45000"/>
    <n v="0.18"/>
    <n v="0"/>
    <n v="4050"/>
    <n v="4050"/>
    <n v="0"/>
    <n v="53100"/>
  </r>
  <r>
    <x v="9"/>
    <d v="2026-01-21T00:00:00"/>
    <s v="348/25-26"/>
    <s v="Winarc25-26/2245/21-01-2026"/>
    <s v="0180/2025-26"/>
    <s v="Winarc Cutting System"/>
    <s v="HPMX 220941 Nozzle 45A (40 Pcs)"/>
    <m/>
    <n v="40"/>
    <n v="664.2"/>
    <n v="26568"/>
    <n v="0"/>
    <n v="0"/>
    <n v="26568"/>
    <n v="0.18"/>
    <n v="0"/>
    <n v="2391.12"/>
    <n v="2391.12"/>
    <n v="0"/>
    <n v="31350.239999999998"/>
  </r>
  <r>
    <x v="9"/>
    <d v="2026-01-23T00:00:00"/>
    <s v="349/25-26"/>
    <s v="SAI10721/25-26/23-01-2026"/>
    <s v="0184/2025-26"/>
    <s v="Sri Arihant Industries"/>
    <s v="Kflex ST Sheet 13mm CL-O Alufoil (50 Roll) In Sqm"/>
    <m/>
    <n v="840"/>
    <n v="228"/>
    <n v="191520"/>
    <n v="0"/>
    <n v="0"/>
    <n v="191520"/>
    <n v="0.18"/>
    <n v="0"/>
    <n v="17236.8"/>
    <n v="17236.8"/>
    <n v="0"/>
    <n v="225993.59999999998"/>
  </r>
  <r>
    <x v="9"/>
    <d v="2026-01-23T00:00:00"/>
    <s v="349/25-26"/>
    <s v="SAI10721/25-26/23-01-2026"/>
    <s v="0184/2025-26"/>
    <s v="Sri Arihant Industries"/>
    <s v="Kflex ST Sheet 25mm CL-O Alufoil (21 Roll) In Sqm"/>
    <m/>
    <n v="201.6"/>
    <n v="418"/>
    <n v="84268.800000000003"/>
    <n v="0"/>
    <n v="0"/>
    <n v="84268.800000000003"/>
    <n v="0.18"/>
    <n v="0"/>
    <n v="7584.1920000000009"/>
    <n v="7584.1920000000009"/>
    <n v="0"/>
    <n v="99437.183999999994"/>
  </r>
  <r>
    <x v="9"/>
    <d v="2026-01-23T00:00:00"/>
    <s v="350/25-26"/>
    <s v="331/2025-26/23-01-2026"/>
    <m/>
    <s v="Raman Engineering Corporation "/>
    <s v="ARC Welding Machine "/>
    <m/>
    <n v="1"/>
    <n v="37500"/>
    <n v="37500"/>
    <n v="0"/>
    <n v="0"/>
    <n v="37500"/>
    <n v="0.18"/>
    <n v="0"/>
    <n v="3375"/>
    <n v="3375"/>
    <n v="0"/>
    <n v="44250"/>
  </r>
  <r>
    <x v="9"/>
    <d v="2026-01-23T00:00:00"/>
    <s v="350/25-26"/>
    <s v="331/2025-26/23-01-2026"/>
    <m/>
    <s v="Raman Engineering Corporation "/>
    <s v="Shearing Machine "/>
    <m/>
    <n v="1"/>
    <n v="18800"/>
    <n v="18800"/>
    <n v="0"/>
    <n v="0"/>
    <n v="18800"/>
    <n v="0.18"/>
    <n v="0"/>
    <n v="1692"/>
    <n v="1692"/>
    <m/>
    <n v="22184"/>
  </r>
  <r>
    <x v="9"/>
    <d v="2026-01-23T00:00:00"/>
    <s v="351/25-26"/>
    <s v="509/23-01-2026"/>
    <m/>
    <s v="A V Power Technologies"/>
    <s v="AV Servo Controlled Voltage Stabilizer with Lcd Module"/>
    <m/>
    <n v="1"/>
    <n v="39900"/>
    <n v="39900"/>
    <n v="0"/>
    <n v="0"/>
    <n v="39900"/>
    <n v="0.18"/>
    <n v="0"/>
    <n v="3591"/>
    <n v="3591"/>
    <m/>
    <n v="47082"/>
  </r>
  <r>
    <x v="9"/>
    <d v="2026-01-27T00:00:00"/>
    <s v="352/25-26"/>
    <s v="HRP/814/25-26/27-01-2026"/>
    <s v="0129/2025-26"/>
    <s v="HR Precisions"/>
    <s v="20G GSS Duct Corner Size - 32 mm ( In Nos)"/>
    <m/>
    <n v="12000"/>
    <n v="6.5"/>
    <n v="78000"/>
    <n v="0"/>
    <n v="0"/>
    <n v="78000"/>
    <n v="0.18"/>
    <n v="0"/>
    <n v="7020"/>
    <n v="7020"/>
    <m/>
    <n v="92040"/>
  </r>
  <r>
    <x v="9"/>
    <d v="2026-01-27T00:00:00"/>
    <s v="353/25-26"/>
    <s v="HRP/815/25-26/27-01-2026"/>
    <s v="0155/2025-26"/>
    <s v="HR Precisions"/>
    <s v="18G GSS Duct Corner Size - 32 mm ( In Nos)"/>
    <m/>
    <n v="11500"/>
    <n v="7.5"/>
    <n v="86250"/>
    <n v="0"/>
    <n v="0"/>
    <n v="86250"/>
    <n v="0.18"/>
    <n v="0"/>
    <n v="7762.5"/>
    <n v="7762.5"/>
    <m/>
    <n v="101775"/>
  </r>
  <r>
    <x v="9"/>
    <d v="2026-01-19T00:00:00"/>
    <s v="354/25-26"/>
    <s v="2870/25-56/19-01-2026"/>
    <n v="168"/>
    <s v="Izzy Agencies "/>
    <s v="Angle Grinder (M9509B 4&quot; Makita)"/>
    <m/>
    <n v="2"/>
    <n v="3890"/>
    <n v="7780"/>
    <n v="0"/>
    <n v="0"/>
    <n v="7780"/>
    <n v="0.18"/>
    <n v="0"/>
    <n v="700.2"/>
    <n v="700.2"/>
    <n v="0"/>
    <n v="9180.4000000000015"/>
  </r>
  <r>
    <x v="9"/>
    <d v="2026-01-26T00:00:00"/>
    <s v="355/25-26"/>
    <s v="15883/26-01-2026"/>
    <m/>
    <s v="Hardwares Junction"/>
    <s v="Consumable Materials"/>
    <m/>
    <m/>
    <m/>
    <n v="6275"/>
    <n v="0"/>
    <n v="0"/>
    <n v="6275"/>
    <n v="0.18"/>
    <n v="0"/>
    <n v="564.75"/>
    <n v="564.75"/>
    <n v="0"/>
    <n v="7404.5"/>
  </r>
  <r>
    <x v="9"/>
    <d v="2026-01-28T00:00:00"/>
    <s v="356/25-26"/>
    <s v="15896/28-01-2026"/>
    <m/>
    <s v="Hardwares Junction"/>
    <s v="Consumable Materials"/>
    <m/>
    <m/>
    <m/>
    <n v="1352"/>
    <n v="0"/>
    <n v="0"/>
    <n v="1352"/>
    <n v="0.18"/>
    <n v="0"/>
    <n v="121.68"/>
    <n v="121.68"/>
    <n v="0"/>
    <n v="1595.3600000000001"/>
  </r>
  <r>
    <x v="9"/>
    <d v="2026-01-31T00:00:00"/>
    <s v="357/25-26"/>
    <s v="25-26/3749/31-01-2026"/>
    <s v="0186/2025-26"/>
    <s v="Shree Jashraj Insulation Pvt Ltd"/>
    <s v="Armasound Super Silence Sheets ASD-140-15 (23 Box) In Sqm"/>
    <m/>
    <n v="276"/>
    <n v="635"/>
    <n v="175260"/>
    <n v="3500"/>
    <n v="0"/>
    <n v="178760"/>
    <n v="0.18"/>
    <n v="0"/>
    <n v="16088.4"/>
    <n v="16088.4"/>
    <n v="0"/>
    <n v="210936.8"/>
  </r>
  <r>
    <x v="9"/>
    <d v="2026-01-30T00:00:00"/>
    <s v="358/25-26"/>
    <s v="Winarc25-26/2316/30-01-2026"/>
    <s v="0185/2025-26"/>
    <s v="Winarc Cutting System"/>
    <s v="HPMX 220817 Shield 45A-85A (5 Pcs) HPMX 220857 SWIRL Ring 45A-85A (5 PCS)"/>
    <m/>
    <m/>
    <m/>
    <n v="18510"/>
    <n v="0"/>
    <n v="0"/>
    <n v="18510"/>
    <n v="0.18"/>
    <n v="0"/>
    <n v="1665.9"/>
    <n v="1665.9"/>
    <n v="0"/>
    <n v="21841.800000000003"/>
  </r>
  <r>
    <x v="10"/>
    <d v="2026-02-04T00:00:00"/>
    <s v="359/25-26"/>
    <s v="HA5072/04-02-2026"/>
    <s v="0187/2025-26"/>
    <s v="Aloukik Agencies"/>
    <s v="Insusound 10mmX1000mmX1000mm BLK (30 Box) In Sqm"/>
    <m/>
    <n v="360"/>
    <n v="395"/>
    <n v="142200"/>
    <n v="4000"/>
    <n v="0"/>
    <n v="146200"/>
    <n v="0.18"/>
    <n v="26316"/>
    <n v="0"/>
    <n v="0"/>
    <n v="0"/>
    <n v="172516"/>
  </r>
  <r>
    <x v="10"/>
    <d v="2026-02-04T00:00:00"/>
    <s v="359/25-26"/>
    <s v="HA5072/04-02-2026"/>
    <s v="0187/2025-26"/>
    <s v="Aloukik Agencies"/>
    <s v="Insusound 15mmX1000mmX1000mm BLK (30 Box) In Sqm"/>
    <m/>
    <n v="240"/>
    <n v="585"/>
    <n v="140400"/>
    <n v="0"/>
    <n v="0"/>
    <n v="140400"/>
    <n v="0.18"/>
    <n v="25272"/>
    <n v="0"/>
    <n v="0"/>
    <n v="0"/>
    <n v="165672"/>
  </r>
  <r>
    <x v="10"/>
    <d v="2026-02-06T00:00:00"/>
    <s v="360/25-26"/>
    <s v="HRP/839/25-26/06-02-2026"/>
    <s v="0129/2025-26"/>
    <s v="HR Precisions"/>
    <s v="20G GSS Duct Corner Size -32mm (In Nos)"/>
    <m/>
    <n v="7350"/>
    <n v="6.5"/>
    <n v="47775"/>
    <n v="0"/>
    <n v="0"/>
    <n v="47775"/>
    <n v="0.18"/>
    <n v="0"/>
    <n v="4299.75"/>
    <n v="4299.75"/>
    <n v="0"/>
    <n v="56374.5"/>
  </r>
  <r>
    <x v="10"/>
    <d v="2026-02-06T00:00:00"/>
    <s v="361/25-26"/>
    <s v="HRP/840/25-26/06-02-2026"/>
    <s v="0181/2025-26"/>
    <s v="HR Precisions"/>
    <s v="20G GSS Duct Corner Size -32mm (In Nos)"/>
    <m/>
    <n v="10650"/>
    <n v="6.5"/>
    <n v="69225"/>
    <n v="0"/>
    <n v="0"/>
    <n v="69225"/>
    <n v="0.18"/>
    <n v="0"/>
    <n v="6230.25"/>
    <n v="6230.25"/>
    <n v="0"/>
    <n v="81685.5"/>
  </r>
  <r>
    <x v="10"/>
    <d v="2026-02-06T00:00:00"/>
    <s v="362/25-26"/>
    <s v="WINARC25-26/2382/06-02-2026"/>
    <s v="0180/2025-26"/>
    <s v="Winarc Cutting System"/>
    <s v="HPMX 220941 Nozzle 45A (10 Pcs)"/>
    <m/>
    <n v="10"/>
    <n v="664.2"/>
    <n v="6642"/>
    <n v="0"/>
    <n v="0"/>
    <n v="6642"/>
    <n v="0.18"/>
    <n v="0"/>
    <n v="597.78"/>
    <n v="597.78"/>
    <n v="0"/>
    <n v="7837.5599999999995"/>
  </r>
  <r>
    <x v="10"/>
    <d v="2026-02-09T00:00:00"/>
    <s v="363/25-26"/>
    <s v="25-26/3842/09-02-2026"/>
    <s v="0190/2025-26"/>
    <s v="Shree Jashraj Insulation Pvt Ltd"/>
    <s v="Armasound Super silence Sheets ASD-140-15 (25 Box) In Sqm"/>
    <m/>
    <n v="300"/>
    <n v="635"/>
    <n v="190500"/>
    <n v="3500"/>
    <n v="0"/>
    <n v="194000"/>
    <n v="0.18"/>
    <n v="0"/>
    <n v="17460"/>
    <n v="17460"/>
    <n v="0"/>
    <n v="228920"/>
  </r>
  <r>
    <x v="10"/>
    <d v="2026-02-09T00:00:00"/>
    <s v="364/25-26"/>
    <s v="ME/25-26/368/09-02-2026"/>
    <m/>
    <s v="Manoj Enterprises "/>
    <s v="80 Gram Blue Cotton Knitted Gloves  (In Prs)"/>
    <m/>
    <n v="500"/>
    <n v="11"/>
    <n v="5500"/>
    <n v="0"/>
    <n v="0"/>
    <n v="5500"/>
    <n v="0.18"/>
    <n v="0"/>
    <n v="137.5"/>
    <n v="137.5"/>
    <m/>
    <n v="5775"/>
  </r>
  <r>
    <x v="10"/>
    <d v="2026-02-10T00:00:00"/>
    <s v="365/25-26"/>
    <s v="49900/10-02-2026"/>
    <s v="0189/2025-26"/>
    <s v="J.R &amp; Company"/>
    <s v="GP Coil (0.60 x 1220 x C ) In Nos 2 Nos "/>
    <s v="120gsm 24G"/>
    <n v="10174"/>
    <n v="78"/>
    <n v="793572"/>
    <n v="12600"/>
    <n v="0"/>
    <n v="806172"/>
    <n v="0.18"/>
    <n v="0"/>
    <n v="72555.48"/>
    <n v="72555.48"/>
    <n v="0"/>
    <n v="951282.96"/>
  </r>
  <r>
    <x v="10"/>
    <d v="2026-02-10T00:00:00"/>
    <s v="365/25-26"/>
    <s v="49900/10-02-2026"/>
    <s v="0189/2025-26"/>
    <s v="J.R &amp; Company"/>
    <s v="GP Coil (0.60 x 1220 x C ) In Nos  2 Nos "/>
    <s v="120gsm 24G"/>
    <n v="10784"/>
    <n v="78"/>
    <n v="841152"/>
    <n v="0"/>
    <n v="0"/>
    <n v="841152"/>
    <n v="0.18"/>
    <n v="0"/>
    <n v="75703.679999999993"/>
    <n v="75703.679999999993"/>
    <n v="0"/>
    <n v="992559.35999999987"/>
  </r>
  <r>
    <x v="10"/>
    <d v="2026-02-11T00:00:00"/>
    <s v="366/25-26"/>
    <s v="24539/10-02-2026"/>
    <s v="0193/2025-26"/>
    <s v="Lunia Exim Pvt Ltd"/>
    <s v="Aluminium Coil / Sheet (232 Guage - 4ft width-362.4+290.30+297.8 Etc)"/>
    <s v="120gsm 22G(Alu)"/>
    <n v="5166.8999999999996"/>
    <n v="370"/>
    <n v="1911752.9999999998"/>
    <n v="9500"/>
    <n v="0"/>
    <n v="1921252.9999999998"/>
    <n v="0.18"/>
    <n v="0"/>
    <n v="172912.76999999996"/>
    <n v="172912.76999999996"/>
    <n v="0"/>
    <n v="2267078.5399999996"/>
  </r>
  <r>
    <x v="10"/>
    <d v="2026-02-11T00:00:00"/>
    <s v="367/25-26"/>
    <s v="KM/06596/2025-26/11-02-2026"/>
    <s v="0192/2025-26"/>
    <s v="Kothari Metals"/>
    <s v="Aluminium Coils (0.71 x 1220) 17 Nos "/>
    <s v="120gsm 22G(Alu)"/>
    <n v="5065.2"/>
    <n v="370"/>
    <n v="1874124"/>
    <n v="8503"/>
    <n v="0"/>
    <n v="1882627"/>
    <n v="0.18"/>
    <n v="0"/>
    <n v="169436.43"/>
    <n v="169436.43"/>
    <n v="0"/>
    <n v="2221499.86"/>
  </r>
  <r>
    <x v="10"/>
    <d v="2026-02-13T00:00:00"/>
    <s v="368/25-26"/>
    <s v="49925/13-02-2026"/>
    <s v="0189/2025-26"/>
    <s v="J.R &amp; Company"/>
    <s v="GP Coil (0.80 x 1220 x C) Qty in MT (1 Nos)"/>
    <s v="120gsm 22G"/>
    <n v="4520"/>
    <n v="77"/>
    <n v="348040"/>
    <n v="10509"/>
    <n v="0"/>
    <n v="358549"/>
    <n v="0.18"/>
    <n v="0"/>
    <n v="32269.41"/>
    <n v="32269.41"/>
    <n v="0"/>
    <n v="423087.81999999995"/>
  </r>
  <r>
    <x v="10"/>
    <d v="2026-02-13T00:00:00"/>
    <s v="368/25-26"/>
    <s v="49925/13-02-2026"/>
    <s v="0189/2025-26"/>
    <s v="J.R &amp; Company"/>
    <s v="GP Coil (0.80 x 1220 x C) Qty in MT (1 Nos)"/>
    <s v="120gsm 22G"/>
    <n v="4575"/>
    <n v="77"/>
    <n v="352275"/>
    <n v="0"/>
    <n v="0"/>
    <n v="352275"/>
    <n v="0.18"/>
    <n v="0"/>
    <n v="31704.75"/>
    <n v="31704.75"/>
    <n v="0"/>
    <n v="415684.5"/>
  </r>
  <r>
    <x v="10"/>
    <d v="2026-02-13T00:00:00"/>
    <s v="368/25-26"/>
    <s v="49925/13-02-2026"/>
    <s v="0189/2025-26"/>
    <s v="J.R &amp; Company"/>
    <s v="GP Coil (0.80 x 1220 x C) Qty in MT (1 Nos)"/>
    <s v="120gsm 22G"/>
    <n v="4655"/>
    <n v="77"/>
    <n v="358435"/>
    <n v="0"/>
    <n v="0"/>
    <n v="358435"/>
    <n v="0.18"/>
    <n v="0"/>
    <n v="32259.15"/>
    <n v="32259.15"/>
    <n v="0"/>
    <n v="422953.30000000005"/>
  </r>
  <r>
    <x v="10"/>
    <d v="2026-02-13T00:00:00"/>
    <s v="368/25-26"/>
    <s v="49925/13-02-2026"/>
    <s v="0189/2025-26"/>
    <s v="J.R &amp; Company"/>
    <s v="GP Coil (0.80 x 1220 x C) Qty in MT (1 Nos)"/>
    <s v="120gsm 22G"/>
    <n v="3765"/>
    <n v="77"/>
    <n v="289905"/>
    <n v="0"/>
    <n v="0"/>
    <n v="289905"/>
    <n v="0.18"/>
    <n v="0"/>
    <n v="26091.45"/>
    <n v="26091.45"/>
    <n v="0"/>
    <n v="342087.9"/>
  </r>
  <r>
    <x v="10"/>
    <d v="2026-02-16T00:00:00"/>
    <s v="369/25-26"/>
    <s v="T92500005268/15-02-2026"/>
    <s v="0191/2025-26"/>
    <s v="The Supreme Industries Ltd"/>
    <s v="Insuflex 13mm 1200mm*Class O Alu (125 Pkg) In Sqm"/>
    <m/>
    <n v="2100"/>
    <n v="207"/>
    <n v="434700"/>
    <n v="0"/>
    <n v="0"/>
    <n v="434700"/>
    <n v="0.18"/>
    <n v="78246"/>
    <n v="0"/>
    <n v="0"/>
    <n v="0"/>
    <n v="512946"/>
  </r>
  <r>
    <x v="10"/>
    <d v="2026-02-16T00:00:00"/>
    <s v="369/25-26"/>
    <s v="T92500005268/15-02-2026"/>
    <s v="0191/2025-26"/>
    <s v="The Supreme Industries Ltd"/>
    <s v="Insuflex 13mm 1200mm*Class O GC  (57 Pkg) In Sqm"/>
    <m/>
    <n v="957.6"/>
    <n v="304"/>
    <n v="291110.40000000002"/>
    <n v="0"/>
    <n v="0"/>
    <n v="291110.40000000002"/>
    <n v="0.18"/>
    <n v="52399.872000000003"/>
    <n v="0"/>
    <n v="0"/>
    <n v="0"/>
    <n v="343510.272"/>
  </r>
  <r>
    <x v="10"/>
    <d v="2026-02-16T00:00:00"/>
    <s v="369/25-26"/>
    <s v="T92500005268/15-02-2026"/>
    <s v="0191/2025-26"/>
    <s v="The Supreme Industries Ltd"/>
    <s v="Insuflex 19mm 1200mm*Class O GC  (35 Pkg) In Sqm"/>
    <m/>
    <n v="420"/>
    <n v="375"/>
    <n v="157500"/>
    <n v="0"/>
    <n v="0"/>
    <n v="157500"/>
    <n v="0.18"/>
    <n v="28350"/>
    <n v="0"/>
    <n v="0"/>
    <n v="0"/>
    <n v="185850"/>
  </r>
  <r>
    <x v="10"/>
    <d v="2026-02-16T00:00:00"/>
    <s v="370/25-26"/>
    <s v="948/2025-2026/16-02-2026"/>
    <s v="0197/2025-26"/>
    <s v="Sri Raghavendra Industries"/>
    <s v="Bending Machine Spare parts (Total 31 Nos)"/>
    <m/>
    <m/>
    <m/>
    <n v="197936.26"/>
    <n v="0"/>
    <n v="0"/>
    <n v="197936.26"/>
    <n v="0.18"/>
    <n v="0"/>
    <n v="17814.2634"/>
    <n v="17814.2634"/>
    <n v="0"/>
    <n v="233564.7868"/>
  </r>
  <r>
    <x v="10"/>
    <d v="2026-02-21T00:00:00"/>
    <s v="371/25-26"/>
    <s v="1801/05-02-2026"/>
    <s v="0188/2025-26"/>
    <s v="Urja Sealants Pvt Ltd"/>
    <s v="Urja Duct Sealant Grey KG (25Kg Per 4 Bucket)"/>
    <m/>
    <n v="100"/>
    <n v="180"/>
    <n v="18000"/>
    <n v="0"/>
    <n v="0"/>
    <n v="18000"/>
    <n v="0.18"/>
    <n v="3240"/>
    <n v="0"/>
    <n v="0"/>
    <n v="0"/>
    <n v="21240"/>
  </r>
  <r>
    <x v="10"/>
    <d v="2026-02-23T00:00:00"/>
    <s v="372/25-26"/>
    <s v="T92500005387/20-02-2026"/>
    <s v="0191/2025-26"/>
    <s v="The Supreme Industries Ltd"/>
    <s v="Insuflex 13mm 1200mm*Class O Alu (27 Pkg) In Sqm"/>
    <m/>
    <n v="453.6"/>
    <n v="207"/>
    <n v="93895.200000000012"/>
    <n v="28000"/>
    <n v="0"/>
    <n v="121895.20000000001"/>
    <n v="0.18"/>
    <n v="21941.136000000002"/>
    <n v="0"/>
    <n v="0"/>
    <n v="0"/>
    <n v="143836.33600000001"/>
  </r>
  <r>
    <x v="10"/>
    <d v="2026-02-23T00:00:00"/>
    <s v="372/25-26"/>
    <s v="T92500005387/20-02-2026"/>
    <s v="0191/2025-26"/>
    <s v="The Supreme Industries Ltd"/>
    <s v="Insuflex 13mm  1200mm*Class O (GC) 61 Pkg"/>
    <m/>
    <n v="1024.8"/>
    <n v="304"/>
    <n v="311539.20000000001"/>
    <n v="0"/>
    <n v="0"/>
    <n v="311539.20000000001"/>
    <n v="0.18"/>
    <n v="56077.056000000004"/>
    <n v="0"/>
    <n v="0"/>
    <n v="0"/>
    <n v="367616.25599999999"/>
  </r>
  <r>
    <x v="10"/>
    <d v="2026-02-23T00:00:00"/>
    <s v="372/25-26"/>
    <s v="T92500005387/20-02-2026"/>
    <s v="0191/2025-26"/>
    <s v="The Supreme Industries Ltd"/>
    <s v="Insuflex 19mm 1200mm*Class O GC (108 Pkg)"/>
    <m/>
    <n v="1296"/>
    <n v="375"/>
    <n v="486000"/>
    <n v="0"/>
    <n v="0"/>
    <n v="486000"/>
    <n v="0.18"/>
    <n v="87480"/>
    <n v="0"/>
    <n v="0"/>
    <n v="0"/>
    <n v="573480"/>
  </r>
  <r>
    <x v="10"/>
    <d v="2026-02-23T00:00:00"/>
    <s v="373/25-26"/>
    <s v="KM/06626/2025-26/20-02-2026"/>
    <s v="0198/2025-26"/>
    <s v="Kothari Metals"/>
    <s v="GP  Coil (0.60mm X 1220 /1250) 2 Nos (In MT)"/>
    <s v="120gsm 24G"/>
    <n v="10700"/>
    <n v="78.999719999999996"/>
    <n v="845297.00399999996"/>
    <n v="0"/>
    <n v="0"/>
    <n v="845297.00399999996"/>
    <n v="0.18"/>
    <n v="0"/>
    <n v="76076.730359999987"/>
    <n v="76076.730359999987"/>
    <n v="0"/>
    <n v="997450.46471999981"/>
  </r>
  <r>
    <x v="10"/>
    <d v="2026-02-23T00:00:00"/>
    <s v="374/25-26"/>
    <s v="T92500005398/21-02-2026"/>
    <s v="0191/2025-26"/>
    <s v="The Supreme Industries Ltd"/>
    <s v="Insuflex 13mm 1200mm*Class O Alu (27 Pkg) In Sqm"/>
    <m/>
    <n v="453.6"/>
    <n v="207"/>
    <n v="93895.200000000012"/>
    <n v="28000"/>
    <n v="0"/>
    <n v="121895.20000000001"/>
    <n v="0.18"/>
    <n v="21941.136000000002"/>
    <n v="0"/>
    <n v="0"/>
    <n v="0"/>
    <n v="143836.33600000001"/>
  </r>
  <r>
    <x v="10"/>
    <d v="2026-02-23T00:00:00"/>
    <s v="374/25-26"/>
    <s v="T92500005398/21-02-2026"/>
    <s v="0191/2025-26"/>
    <s v="The Supreme Industries Ltd"/>
    <s v="Insuflex 13mm  1200mm*Class O (GC) 55 Pkg"/>
    <m/>
    <n v="924"/>
    <n v="304"/>
    <n v="280896"/>
    <n v="0"/>
    <n v="0"/>
    <n v="280896"/>
    <n v="0.18"/>
    <n v="50561.279999999999"/>
    <n v="0"/>
    <n v="0"/>
    <n v="0"/>
    <n v="331457.28000000003"/>
  </r>
  <r>
    <x v="10"/>
    <d v="2026-02-23T00:00:00"/>
    <s v="374/25-26"/>
    <s v="T92500005398/21-02-2026"/>
    <s v="0191/2025-26"/>
    <s v="The Supreme Industries Ltd"/>
    <s v="Insuflex 19mm 1200mm*Class O GC (65 Pkg)"/>
    <m/>
    <n v="780"/>
    <n v="375"/>
    <n v="292500"/>
    <n v="0"/>
    <n v="0"/>
    <n v="292500"/>
    <n v="0.18"/>
    <n v="52650"/>
    <n v="0"/>
    <n v="0"/>
    <n v="0"/>
    <n v="345150"/>
  </r>
  <r>
    <x v="10"/>
    <d v="2026-02-25T00:00:00"/>
    <s v="375/25-26"/>
    <s v=" SAI11789/25-26/21-02-2026"/>
    <s v="0056/2025-26_2"/>
    <s v="Sri Arihant Industries"/>
    <s v="Kflex St Sheet 13mm CL-O AluFoil (240 Roll) In Sqm"/>
    <m/>
    <n v="4032"/>
    <n v="187"/>
    <n v="753984"/>
    <n v="57000"/>
    <n v="0"/>
    <n v="810984"/>
    <n v="0.18"/>
    <n v="145977.12"/>
    <n v="0"/>
    <n v="0"/>
    <n v="0"/>
    <n v="956961.12"/>
  </r>
  <r>
    <x v="10"/>
    <d v="2026-02-25T00:00:00"/>
    <s v="375/25-26"/>
    <s v=" SAI11789/25-26/21-02-2026"/>
    <s v="0056/2025-26_2"/>
    <s v="Sri Arihant Industries"/>
    <s v="Kflex Kfonik 10mm Open Cell -1 Plain (10 Box)"/>
    <m/>
    <n v="200"/>
    <n v="346"/>
    <n v="69200"/>
    <n v="0"/>
    <n v="0"/>
    <n v="69200"/>
    <n v="0.18"/>
    <n v="12456"/>
    <n v="0"/>
    <n v="0"/>
    <n v="0"/>
    <n v="81656"/>
  </r>
  <r>
    <x v="10"/>
    <d v="2026-02-25T00:00:00"/>
    <s v="376/25-26"/>
    <s v="49977/22-02-2026"/>
    <s v="0189/2025-26"/>
    <s v="J.R &amp; Company"/>
    <s v="Galvanised Sheets/Coils (0.50x1220xC) 1 Nos (In MT)"/>
    <s v="120gsm 26G"/>
    <n v="4765"/>
    <n v="82"/>
    <n v="390730"/>
    <n v="20073"/>
    <n v="0"/>
    <n v="410803"/>
    <n v="0.18"/>
    <n v="0"/>
    <n v="36972.269999999997"/>
    <n v="36972.269999999997"/>
    <n v="0"/>
    <n v="484747.54000000004"/>
  </r>
  <r>
    <x v="10"/>
    <d v="2026-02-25T00:00:00"/>
    <s v="376/25-26"/>
    <s v="49977/22-02-2026"/>
    <s v="0189/2025-26"/>
    <s v="J.R &amp; Company"/>
    <s v="(0.50x1220xC) 1 Nos (In MT)"/>
    <s v="120gsm 26G"/>
    <n v="4780"/>
    <n v="82"/>
    <n v="391960"/>
    <n v="0"/>
    <n v="0"/>
    <n v="391960"/>
    <n v="0.18"/>
    <n v="0"/>
    <n v="35276.400000000001"/>
    <n v="35276.400000000001"/>
    <n v="0"/>
    <n v="462512.80000000005"/>
  </r>
  <r>
    <x v="10"/>
    <d v="2026-02-25T00:00:00"/>
    <s v="376/25-26"/>
    <s v="49977/22-02-2026"/>
    <s v="0189/2025-26"/>
    <s v="J.R &amp; Company"/>
    <s v="(0.50x1220xC) 1 Nos (In MT)"/>
    <s v="120gsm 26G"/>
    <n v="5995"/>
    <n v="82"/>
    <n v="491590"/>
    <n v="0"/>
    <n v="0"/>
    <n v="491590"/>
    <n v="0.18"/>
    <n v="0"/>
    <n v="44243.1"/>
    <n v="44243.1"/>
    <m/>
    <n v="580076.19999999995"/>
  </r>
  <r>
    <x v="10"/>
    <d v="2026-02-25T00:00:00"/>
    <s v="376/25-26"/>
    <s v="49977/22-02-2026"/>
    <s v="0189/2025-26"/>
    <s v="J.R &amp; Company"/>
    <s v="(0.50x1220xC) 1 Nos (In MT)"/>
    <s v="120gsm 26G"/>
    <n v="6135"/>
    <n v="82"/>
    <n v="503070"/>
    <n v="0"/>
    <n v="0"/>
    <n v="503070"/>
    <n v="0.18"/>
    <n v="0"/>
    <n v="45276.3"/>
    <n v="45276.3"/>
    <m/>
    <n v="593622.60000000009"/>
  </r>
  <r>
    <x v="10"/>
    <d v="2026-02-25T00:00:00"/>
    <s v="376/25-26"/>
    <s v="49977/22-02-2026"/>
    <s v="0189/2025-26"/>
    <s v="J.R &amp; Company"/>
    <s v="0.80x1220xC (1 Nos) In MT"/>
    <s v="120gsm 22G"/>
    <n v="5785"/>
    <n v="77"/>
    <n v="445445"/>
    <n v="0"/>
    <n v="0"/>
    <n v="445445"/>
    <n v="0.18"/>
    <n v="0"/>
    <n v="40090.050000000003"/>
    <n v="40090.050000000003"/>
    <n v="0"/>
    <n v="525625.1"/>
  </r>
  <r>
    <x v="10"/>
    <d v="2026-02-25T00:00:00"/>
    <s v="376/25-26"/>
    <s v="49977/22-02-2026"/>
    <s v="0189/2025-26"/>
    <s v="J.R &amp; Company"/>
    <s v="0.80x1220xC (1 Nos) In MT"/>
    <s v="120gsm 22G"/>
    <n v="5995"/>
    <n v="77"/>
    <n v="461615"/>
    <n v="0"/>
    <n v="0"/>
    <n v="461615"/>
    <n v="0.18"/>
    <n v="0"/>
    <n v="41545.35"/>
    <n v="41545.35"/>
    <n v="0"/>
    <n v="544705.69999999995"/>
  </r>
  <r>
    <x v="10"/>
    <d v="2026-02-25T00:00:00"/>
    <s v="377/25-26"/>
    <s v="24656/23-02-2026"/>
    <s v="0193/2025-26"/>
    <s v="Lunia Exim Pvt Ltd"/>
    <s v="Aluminium coil/Sheet (Nalco Make) (0.70mm - 1220mm ) In Kgs"/>
    <s v="120gsm 22G(Alu)"/>
    <n v="3911"/>
    <n v="370"/>
    <n v="1447070"/>
    <n v="0"/>
    <n v="0"/>
    <n v="1447070"/>
    <n v="0.18"/>
    <n v="0"/>
    <n v="130236.3"/>
    <n v="130236.3"/>
    <n v="0"/>
    <n v="1707542.6"/>
  </r>
  <r>
    <x v="10"/>
    <d v="2026-02-26T00:00:00"/>
    <s v="378/25-26"/>
    <s v="SBSI/25-26/153/26-02-2026"/>
    <m/>
    <s v="SBS Industries"/>
    <s v="Hydraulic Piston U Cup Seal (4 Nos)"/>
    <m/>
    <n v="4"/>
    <n v="1680"/>
    <n v="6720"/>
    <n v="0"/>
    <n v="0"/>
    <n v="6720"/>
    <n v="0.18"/>
    <n v="0"/>
    <n v="604.79999999999995"/>
    <n v="604.79999999999995"/>
    <n v="0"/>
    <n v="7929.6"/>
  </r>
  <r>
    <x v="10"/>
    <d v="2026-02-26T00:00:00"/>
    <s v="379/25-26"/>
    <s v="GPLB/25-26/87/26-02-2026"/>
    <s v="0199/2025-26"/>
    <s v="Global Polyurethanes LLP"/>
    <s v="Polyol (Geopol GP 1023/PL) In Kgs"/>
    <m/>
    <n v="420"/>
    <n v="180"/>
    <n v="75600"/>
    <n v="0"/>
    <n v="0"/>
    <n v="75600"/>
    <n v="0.18"/>
    <n v="0"/>
    <n v="6804"/>
    <n v="6804"/>
    <n v="0"/>
    <n v="89208"/>
  </r>
  <r>
    <x v="10"/>
    <d v="2026-02-26T00:00:00"/>
    <s v="379/25-26"/>
    <s v="GPLB/25-26/87/26-02-2026"/>
    <s v="0199/2025-26"/>
    <s v="Global Polyurethanes LLP"/>
    <s v="Isocynate (Geonate GP 1023/PL)"/>
    <m/>
    <n v="250"/>
    <n v="185"/>
    <n v="46250"/>
    <n v="0"/>
    <n v="0"/>
    <n v="46250"/>
    <n v="0.18"/>
    <n v="0"/>
    <n v="4162.5"/>
    <n v="4162.5"/>
    <n v="0"/>
    <n v="54575"/>
  </r>
  <r>
    <x v="10"/>
    <d v="2026-02-26T00:00:00"/>
    <s v="379/25-26"/>
    <s v="GPLB/25-26/87/26-02-2026"/>
    <s v="0199/2025-26"/>
    <s v="Global Polyurethanes LLP"/>
    <s v="Reliz(mould reliz) In Ltr"/>
    <m/>
    <n v="25"/>
    <n v="295"/>
    <n v="7375"/>
    <n v="0"/>
    <n v="0"/>
    <n v="7375"/>
    <n v="0.18"/>
    <n v="0"/>
    <n v="663.75"/>
    <n v="663.75"/>
    <n v="0"/>
    <n v="8702.5"/>
  </r>
  <r>
    <x v="10"/>
    <d v="2026-02-28T00:00:00"/>
    <s v="380/25-26"/>
    <s v="HRP/895/25-26/28-02-2026"/>
    <s v="0098/2025-26"/>
    <s v="HR Precisions"/>
    <s v="20g GSS Duct Corner Size - 25mm (In Nos)"/>
    <m/>
    <n v="8650"/>
    <n v="6.5"/>
    <n v="56225"/>
    <n v="0"/>
    <n v="0"/>
    <n v="56225"/>
    <n v="0.18"/>
    <n v="0"/>
    <n v="5060.25"/>
    <n v="5060.25"/>
    <n v="0"/>
    <n v="66345.5"/>
  </r>
  <r>
    <x v="10"/>
    <d v="2026-02-28T00:00:00"/>
    <s v="381/25-26"/>
    <s v="HRP/896/25-26/28-02-2026"/>
    <s v="0181/2025-26"/>
    <s v="HR Precisions"/>
    <s v="20g GSS Duct Corner Size - 32mm (In Nos)"/>
    <m/>
    <n v="6350"/>
    <n v="6.5"/>
    <n v="41275"/>
    <n v="0"/>
    <n v="0"/>
    <n v="41275"/>
    <n v="0.18"/>
    <n v="0"/>
    <n v="3714.75"/>
    <n v="3714.75"/>
    <n v="0"/>
    <n v="48704.5"/>
  </r>
  <r>
    <x v="10"/>
    <d v="2026-02-28T00:00:00"/>
    <s v="382/25-26"/>
    <s v="16113/28-02-2026"/>
    <m/>
    <s v="Hardwares Junction"/>
    <s v="Consumable Materials"/>
    <m/>
    <m/>
    <m/>
    <n v="1880"/>
    <n v="0"/>
    <n v="0"/>
    <n v="1880"/>
    <n v="0.18"/>
    <n v="0"/>
    <n v="169.2"/>
    <n v="169.2"/>
    <n v="0"/>
    <n v="2218.3999999999996"/>
  </r>
  <r>
    <x v="11"/>
    <d v="2026-03-09T00:00:00"/>
    <s v="383/25-26"/>
    <s v="25-26/4169/05-03-2026"/>
    <s v="0200/2025-26"/>
    <s v="Shree Jashraj Insulation Pvt Ltd"/>
    <s v="Armasound Super Silence Sheets ASD-140-15 (83 Box) In Sqm"/>
    <m/>
    <n v="996"/>
    <n v="532"/>
    <n v="529872"/>
    <n v="45000"/>
    <n v="0"/>
    <n v="574872"/>
    <n v="0.18"/>
    <n v="0"/>
    <n v="51738.48"/>
    <n v="51738.48"/>
    <n v="0"/>
    <n v="678348.96"/>
  </r>
  <r>
    <x v="11"/>
    <d v="2026-03-09T00:00:00"/>
    <s v="383/25-26"/>
    <s v="25-26/4169/05-03-2026"/>
    <s v="0200/2025-26"/>
    <s v="Shree Jashraj Insulation Pvt Ltd"/>
    <s v="Aramflex with Microban Sheet Com-09mm/E 1.2 (138 Roll)"/>
    <m/>
    <n v="3312"/>
    <n v="115"/>
    <n v="380880"/>
    <n v="0"/>
    <n v="0"/>
    <n v="380880"/>
    <n v="0.18"/>
    <n v="0"/>
    <n v="34279.199999999997"/>
    <n v="34279.199999999997"/>
    <n v="0"/>
    <n v="449438.4"/>
  </r>
  <r>
    <x v="11"/>
    <d v="2026-03-07T00:00:00"/>
    <s v="384/25-26"/>
    <s v="AVK-570-25-26/07-03-2026"/>
    <s v="Verbal (Mr.Deepak)"/>
    <s v="AVK Industrial Supplies"/>
    <s v="Janatics Solenoid Valve (5/3,1/2&quot; Model: DS267SC63 With Coil 220v AC)"/>
    <m/>
    <n v="1"/>
    <n v="5522"/>
    <n v="5522"/>
    <n v="850"/>
    <n v="0"/>
    <n v="6372"/>
    <n v="0.18"/>
    <n v="0"/>
    <n v="573.48"/>
    <n v="573.48"/>
    <n v="0"/>
    <n v="7518.9599999999991"/>
  </r>
  <r>
    <x v="11"/>
    <d v="2026-03-10T00:00:00"/>
    <s v="385/25-26"/>
    <s v="2526MSC3481/10-03-2026"/>
    <s v="0201/2025-26"/>
    <s v="Meenakshi Steel Corporation"/>
    <s v="Gi Coil / Sheet (0.50x1220-1-120 GSM) In Kg"/>
    <s v="120gsm 26G"/>
    <n v="6424"/>
    <n v="82.6"/>
    <n v="530622.39999999991"/>
    <n v="16575"/>
    <n v="0"/>
    <n v="547197.39999999991"/>
    <n v="0.18"/>
    <n v="0"/>
    <n v="49247.765999999996"/>
    <n v="49247.765999999996"/>
    <n v="0"/>
    <n v="645692.9319999998"/>
  </r>
  <r>
    <x v="11"/>
    <d v="2026-03-10T00:00:00"/>
    <s v="385/25-26"/>
    <s v="2526MSC3481/10-03-2026"/>
    <s v="0201/2025-26"/>
    <s v="Meenakshi Steel Corporation"/>
    <s v="Gi Coil / Sheet (0.60x1220-2-120 GSM) In Kg"/>
    <s v="120gsm 24G"/>
    <n v="10956"/>
    <n v="80.55"/>
    <n v="882505.79999999993"/>
    <n v="0"/>
    <n v="0"/>
    <n v="882505.79999999993"/>
    <n v="0.18"/>
    <n v="0"/>
    <n v="79425.521999999997"/>
    <n v="79425.521999999997"/>
    <n v="0"/>
    <n v="1041356.8439999999"/>
  </r>
  <r>
    <x v="11"/>
    <d v="2026-03-10T00:00:00"/>
    <s v="385/25-26"/>
    <s v="2526MSC3481/10-03-2026"/>
    <s v="0201/2025-26"/>
    <s v="Meenakshi Steel Corporation"/>
    <s v="Gi Coil / Sheet (1.00x1250-1-120 GSM) In Kg"/>
    <s v="120gsm 20G"/>
    <n v="6300"/>
    <n v="78.5"/>
    <n v="494550"/>
    <n v="0"/>
    <n v="0"/>
    <n v="494550"/>
    <n v="0.18"/>
    <n v="0"/>
    <n v="44509.5"/>
    <n v="44509.5"/>
    <n v="0"/>
    <n v="583569"/>
  </r>
  <r>
    <x v="11"/>
    <d v="2026-03-12T00:00:00"/>
    <s v="386/25-26"/>
    <s v="25-26/4246/10-03-2026"/>
    <s v="0200/2025-26"/>
    <s v="Shree Jashraj Insulation Pvt Ltd"/>
    <s v="Armasound Super silence Sheets ASD -140-25 (200 Box) In Sqm"/>
    <m/>
    <n v="1400"/>
    <n v="890"/>
    <n v="1246000"/>
    <n v="45000"/>
    <n v="0"/>
    <n v="1291000"/>
    <n v="0.18"/>
    <n v="0"/>
    <n v="116190"/>
    <n v="116190"/>
    <n v="0"/>
    <n v="1523380"/>
  </r>
  <r>
    <x v="11"/>
    <d v="2026-03-12T00:00:00"/>
    <s v="387/25-26"/>
    <s v="25-26/4259/12-03-2026"/>
    <s v="0200/2025-26"/>
    <s v="Shree Jashraj Insulation Pvt Ltd"/>
    <s v="Aramflex with Microban sheet COM-09mm/E 1.2 (40 Roll) In Sqm"/>
    <m/>
    <n v="960"/>
    <n v="115"/>
    <n v="110400"/>
    <n v="22787"/>
    <n v="0"/>
    <n v="133187"/>
    <n v="0.18"/>
    <n v="0"/>
    <n v="11986.83"/>
    <n v="11986.83"/>
    <n v="0"/>
    <n v="157160.65999999997"/>
  </r>
  <r>
    <x v="11"/>
    <d v="2026-03-12T00:00:00"/>
    <s v="387/25-26"/>
    <s v="25-26/4259/12-03-2026"/>
    <s v="0200/2025-26"/>
    <s v="Shree Jashraj Insulation Pvt Ltd"/>
    <s v="Armasound Super silence sheets ASD-140-25 (28 Box) "/>
    <m/>
    <n v="196"/>
    <n v="890"/>
    <n v="174440"/>
    <n v="0"/>
    <n v="0"/>
    <n v="174440"/>
    <n v="0.18"/>
    <n v="0"/>
    <n v="15699.6"/>
    <n v="15699.6"/>
    <n v="0"/>
    <n v="205839.2"/>
  </r>
  <r>
    <x v="11"/>
    <d v="2026-03-13T00:00:00"/>
    <s v="388/25-26"/>
    <s v=" 2526MSC3514/12-03-2026"/>
    <s v="0201/202526"/>
    <s v="Meenakshi Steel Corporation"/>
    <s v="GI Coil / Sheet (0.50 x 1250 - 120 GSM) In Kgs"/>
    <s v="120gsm 26G"/>
    <n v="6547"/>
    <n v="82.6"/>
    <n v="540782.19999999995"/>
    <n v="20010"/>
    <n v="0"/>
    <n v="560792.19999999995"/>
    <n v="0.18"/>
    <n v="0"/>
    <n v="50471.297999999995"/>
    <n v="50471.297999999995"/>
    <n v="0"/>
    <n v="661734.79599999986"/>
  </r>
  <r>
    <x v="11"/>
    <d v="2026-03-13T00:00:00"/>
    <s v="388/25-26"/>
    <s v=" 2526MSC3514/12-03-2026"/>
    <s v="0201/202526"/>
    <s v="Meenakshi Steel Corporation"/>
    <s v="(0.50 x 1250 - 120 GSM) "/>
    <s v="120gsm 26G"/>
    <n v="6390"/>
    <n v="82.6"/>
    <n v="527814"/>
    <n v="0"/>
    <n v="0"/>
    <n v="527814"/>
    <n v="0.18"/>
    <n v="0"/>
    <n v="47503.26"/>
    <n v="47503.26"/>
    <n v="0"/>
    <n v="622820.52"/>
  </r>
  <r>
    <x v="11"/>
    <d v="2026-03-13T00:00:00"/>
    <s v="388/25-26"/>
    <s v=" 2526MSC3514/12-03-2026"/>
    <s v="0201/202526"/>
    <s v="Meenakshi Steel Corporation"/>
    <s v="(1.20 x 1250 - 120 GSM) "/>
    <s v="120gsm 18G"/>
    <n v="4765"/>
    <n v="78.5"/>
    <n v="374052.5"/>
    <n v="0"/>
    <n v="0"/>
    <n v="374052.5"/>
    <n v="0.18"/>
    <n v="0"/>
    <n v="33664.724999999999"/>
    <n v="33664.724999999999"/>
    <n v="0"/>
    <n v="441381.94999999995"/>
  </r>
  <r>
    <x v="11"/>
    <d v="2026-03-13T00:00:00"/>
    <s v="388/25-26"/>
    <s v=" 2526MSC3514/12-03-2026"/>
    <s v="0201/202526"/>
    <s v="Meenakshi Steel Corporation"/>
    <s v="(0.80 x 1220 - 2- 120 GSM) "/>
    <s v="120gsm 22G"/>
    <n v="10888"/>
    <n v="78.5"/>
    <n v="854708"/>
    <n v="0"/>
    <n v="0"/>
    <n v="854708"/>
    <n v="0.18"/>
    <n v="0"/>
    <n v="76923.72"/>
    <n v="76923.72"/>
    <n v="0"/>
    <n v="1008555.44"/>
  </r>
  <r>
    <x v="11"/>
    <d v="2026-03-13T00:00:00"/>
    <s v="389/25-26"/>
    <s v="HRP/928/25-26/13-03-2026"/>
    <s v="0181/2025-26"/>
    <s v="HR Precisions"/>
    <s v="20G GSS Duct Corner Size -32mm (In Nos)"/>
    <m/>
    <n v="18500"/>
    <n v="6.5"/>
    <n v="120250"/>
    <n v="0"/>
    <n v="0"/>
    <n v="120250"/>
    <n v="0.18"/>
    <n v="0"/>
    <n v="10822.5"/>
    <n v="10822.5"/>
    <n v="0"/>
    <n v="141895"/>
  </r>
  <r>
    <x v="11"/>
    <d v="2026-03-13T00:00:00"/>
    <s v="390/25-26"/>
    <s v="ME/25-26/389/13-03-2026"/>
    <m/>
    <s v="Manoj Enterprises "/>
    <s v="Cloth Waste (In Kg)"/>
    <m/>
    <n v="50"/>
    <n v="58"/>
    <n v="2900"/>
    <n v="0"/>
    <n v="0"/>
    <n v="2900"/>
    <n v="0.18"/>
    <n v="0"/>
    <n v="72.5"/>
    <n v="72.5"/>
    <n v="0"/>
    <n v="3045"/>
  </r>
  <r>
    <x v="11"/>
    <d v="2026-03-16T00:00:00"/>
    <s v="391/25-26"/>
    <s v="T92500005874/13-03-2026"/>
    <s v="0191/2025-26"/>
    <s v="The Supreme Industries Ltd"/>
    <s v="Insuflex 13mm 1200mm*Class O (GC) 6 Pkg (In Sqm)"/>
    <m/>
    <n v="100.8"/>
    <n v="304"/>
    <n v="30643.200000000001"/>
    <n v="0"/>
    <n v="0"/>
    <n v="30643.200000000001"/>
    <n v="0.18"/>
    <n v="5515.7759999999998"/>
    <n v="0"/>
    <n v="0"/>
    <n v="0"/>
    <n v="36158.976000000002"/>
  </r>
  <r>
    <x v="11"/>
    <d v="2026-03-16T00:00:00"/>
    <s v="391/25-26"/>
    <s v="T92500005874/13-03-2026"/>
    <s v="0191/2025-26"/>
    <s v="The Supreme Industries Ltd"/>
    <s v="Insuflex 19mm 1200mm*Class O (GC) 42 Pkg"/>
    <m/>
    <n v="504"/>
    <n v="375"/>
    <n v="189000"/>
    <n v="0"/>
    <n v="0"/>
    <n v="189000"/>
    <n v="0.18"/>
    <n v="34020"/>
    <n v="0"/>
    <n v="0"/>
    <n v="0"/>
    <n v="223020"/>
  </r>
  <r>
    <x v="11"/>
    <d v="2026-03-16T00:00:00"/>
    <s v="392/25-26"/>
    <s v="25-26/4291/16-03-2026"/>
    <s v="0200/2025-26"/>
    <s v="Shree Jashraj Insulation Pvt Ltd"/>
    <s v="Armaflex with Microban Sheet COM-09MM/E 1.2 (27 Roll) In Sqm"/>
    <m/>
    <n v="648"/>
    <n v="115"/>
    <n v="74520"/>
    <n v="7493.76"/>
    <n v="0"/>
    <n v="82013.759999999995"/>
    <n v="0.18"/>
    <n v="0"/>
    <n v="7381.2383999999993"/>
    <n v="7381.2383999999993"/>
    <n v="0"/>
    <n v="96776.236799999999"/>
  </r>
  <r>
    <x v="11"/>
    <d v="2026-03-16T00:00:00"/>
    <s v="392/25-26"/>
    <s v="25-26/4291/16-03-2026"/>
    <s v="0200/2025-26"/>
    <s v="Shree Jashraj Insulation Pvt Ltd"/>
    <s v="Armasound super silence sheets ASD-140-15 (3 Box) "/>
    <m/>
    <n v="36"/>
    <n v="532"/>
    <n v="19152"/>
    <n v="0"/>
    <n v="0"/>
    <n v="19152"/>
    <n v="0.18"/>
    <n v="0"/>
    <n v="1723.68"/>
    <n v="1723.68"/>
    <n v="0"/>
    <n v="22599.360000000001"/>
  </r>
  <r>
    <x v="11"/>
    <d v="2026-03-17T00:00:00"/>
    <s v="393/25-26"/>
    <s v="1043/2025-26/17-03-2026"/>
    <m/>
    <s v="Sri Raghavendra Industries"/>
    <s v="Beeding machine and Pinching machine Spares "/>
    <m/>
    <m/>
    <m/>
    <n v="80055"/>
    <n v="0"/>
    <n v="0"/>
    <n v="80055"/>
    <n v="0.18"/>
    <n v="0"/>
    <n v="7204.95"/>
    <n v="7204.95"/>
    <n v="0"/>
    <n v="94464.9"/>
  </r>
  <r>
    <x v="11"/>
    <d v="2026-03-17T00:00:00"/>
    <s v="394/25-26"/>
    <s v="179/25-26/17-03-2026"/>
    <s v="0196/2025-26-025/25-26"/>
    <s v="RHA Technologies"/>
    <s v="Hydraulic Power pack &amp; Electrical Control pannel and Polyhose 1/2&quot; 4MTR"/>
    <m/>
    <m/>
    <m/>
    <n v="103300"/>
    <n v="0"/>
    <n v="0"/>
    <n v="103300"/>
    <n v="0.18"/>
    <n v="0"/>
    <n v="9297"/>
    <n v="9297"/>
    <n v="0"/>
    <n v="121894"/>
  </r>
  <r>
    <x v="11"/>
    <d v="2026-03-18T00:00:00"/>
    <s v="395/25-26"/>
    <s v="50142/18-03-2026"/>
    <s v="0205/2025-26"/>
    <s v="J.R &amp; Company"/>
    <s v="GI Coil (1.00 x1220 xC ) In MTS "/>
    <s v="120gsm 20G"/>
    <n v="6445"/>
    <n v="81"/>
    <n v="522045"/>
    <n v="7500"/>
    <n v="0"/>
    <n v="529545"/>
    <n v="0.18"/>
    <n v="0"/>
    <n v="47659.05"/>
    <n v="47659.05"/>
    <n v="0"/>
    <n v="624863.10000000009"/>
  </r>
  <r>
    <x v="11"/>
    <d v="2026-03-18T00:00:00"/>
    <s v="395/25-26"/>
    <s v="50142/18-03-2026"/>
    <s v="0205/2025-26"/>
    <s v="J.R &amp; Company"/>
    <s v="GI Coil (1.00 x1220 xC ) In MTS "/>
    <s v="120gsm 20G"/>
    <n v="5835"/>
    <n v="81"/>
    <n v="472635"/>
    <n v="0"/>
    <n v="0"/>
    <n v="472635"/>
    <n v="0.18"/>
    <n v="0"/>
    <n v="42537.15"/>
    <n v="42537.15"/>
    <n v="0"/>
    <n v="557709.30000000005"/>
  </r>
  <r>
    <x v="11"/>
    <d v="2026-03-20T00:00:00"/>
    <s v="396/25-26"/>
    <s v="HH/25-26/0145/20-03-2026"/>
    <s v="0195/2025-26-HHQ0956-A"/>
    <s v="Hystra Hydropneumatics Pvt Ltd"/>
    <s v="Hydraulic Cylinder, HHP0956, WP/: 100 Bar Size:080x056x1490 Stroke."/>
    <m/>
    <n v="1"/>
    <n v="25137"/>
    <n v="25137"/>
    <n v="0"/>
    <n v="0"/>
    <n v="25137"/>
    <n v="0.18"/>
    <n v="0"/>
    <n v="2262.33"/>
    <n v="2262.33"/>
    <n v="0"/>
    <n v="29661.660000000003"/>
  </r>
  <r>
    <x v="11"/>
    <d v="2026-03-25T00:00:00"/>
    <s v="397/25-26"/>
    <s v="555/2025-26/25-03-2026"/>
    <s v="0204-25-26"/>
    <s v="Emmanuels Electricals "/>
    <s v="Consumable materials"/>
    <m/>
    <m/>
    <m/>
    <n v="37520"/>
    <n v="0"/>
    <n v="0"/>
    <n v="37520"/>
    <n v="0.18"/>
    <n v="0"/>
    <n v="3376.8"/>
    <n v="3376.8"/>
    <n v="0"/>
    <n v="44273.600000000006"/>
  </r>
  <r>
    <x v="11"/>
    <d v="2026-03-25T00:00:00"/>
    <s v="398/25-26"/>
    <s v="HRP/962/25-26/25-03-2026"/>
    <s v="0181/2025-26"/>
    <s v="HR Precisions"/>
    <s v="20g GSS Duct Corner Size - 32mm (In Nos)"/>
    <s v=" "/>
    <n v="14500"/>
    <n v="6.5"/>
    <n v="94250"/>
    <n v="0"/>
    <n v="0"/>
    <n v="94250"/>
    <n v="0.18"/>
    <n v="0"/>
    <n v="8482.5"/>
    <n v="8482.5"/>
    <n v="0"/>
    <n v="111215"/>
  </r>
  <r>
    <x v="11"/>
    <d v="2026-03-25T00:00:00"/>
    <s v="399/25-26"/>
    <s v="HRP/963/25-26/25-03-2026"/>
    <s v="0203/2025-26"/>
    <s v="HR Precisions"/>
    <s v="20g GSS Duct Corner Size - 32mm (In Nos)"/>
    <m/>
    <n v="4000"/>
    <n v="6.5"/>
    <n v="26000"/>
    <n v="0"/>
    <n v="0"/>
    <n v="26000"/>
    <n v="0.18"/>
    <n v="0"/>
    <n v="2340"/>
    <n v="2340"/>
    <n v="0"/>
    <n v="30680"/>
  </r>
  <r>
    <x v="11"/>
    <d v="2026-03-25T00:00:00"/>
    <s v="400/25-26"/>
    <s v="SAI12894/25-26/25-03-2026"/>
    <s v="0206/2025-26_1"/>
    <s v="Sri Arihant Industries"/>
    <s v="Kflex ST Sheet 13mm CL - O + AM (28 Roll) In Sqm"/>
    <m/>
    <n v="470.4"/>
    <n v="192"/>
    <n v="90316.799999999988"/>
    <n v="4500"/>
    <n v="0"/>
    <n v="94816.799999999988"/>
    <n v="0.18"/>
    <n v="0"/>
    <n v="8533.5119999999988"/>
    <n v="8533.5119999999988"/>
    <n v="0"/>
    <n v="111883.82399999999"/>
  </r>
  <r>
    <x v="11"/>
    <d v="2026-03-25T00:00:00"/>
    <s v="400/25-26"/>
    <s v="SAI12894/25-26/25-03-2026"/>
    <s v="0206/2025-26_1"/>
    <s v="Sri Arihant Industries"/>
    <s v="Kflex 3x50x09.10 Nitrile Rubber SA Tape "/>
    <m/>
    <n v="50"/>
    <n v="140"/>
    <n v="7000"/>
    <n v="0"/>
    <n v="0"/>
    <n v="7000"/>
    <n v="0.18"/>
    <n v="0"/>
    <n v="630"/>
    <n v="630"/>
    <n v="0"/>
    <n v="8260"/>
  </r>
  <r>
    <x v="11"/>
    <d v="2026-03-26T00:00:00"/>
    <s v="401/25-26"/>
    <s v="24888/26-03-2026"/>
    <s v="0193/2025-26"/>
    <s v="Lunia Exim Pvt Ltd"/>
    <s v="Aluminium Coil/Sheet (Grade 1100) In Kgs (4 Nos Coil)"/>
    <s v="120gsm 22G(Alu)"/>
    <n v="1291"/>
    <n v="370"/>
    <n v="477670"/>
    <n v="3500"/>
    <n v="0"/>
    <n v="481170"/>
    <n v="0.18"/>
    <n v="0"/>
    <n v="43305.3"/>
    <n v="43305.3"/>
    <n v="0"/>
    <n v="567780.60000000009"/>
  </r>
  <r>
    <x v="11"/>
    <d v="2026-03-28T00:00:00"/>
    <s v="402/25-26"/>
    <s v="1257/24-03-2026"/>
    <s v="0194/2025-26"/>
    <s v="Dynavac India Pvt Ltd"/>
    <s v="Hydra 5.0 SL Industrial Vacuum Cleaner"/>
    <m/>
    <n v="1"/>
    <n v="130000"/>
    <n v="130000"/>
    <n v="0"/>
    <n v="0"/>
    <n v="130000"/>
    <n v="0.18"/>
    <n v="23400"/>
    <n v="0"/>
    <n v="0"/>
    <n v="0"/>
    <n v="153400"/>
  </r>
  <r>
    <x v="11"/>
    <d v="2026-03-30T00:00:00"/>
    <s v="403/25-26"/>
    <s v="SAI13038/25-26/30-03-2026"/>
    <s v="0206/2025-26_1"/>
    <s v="Sri Arihant Industries"/>
    <s v="Kflex ST Sheet 13mm CL-O + AM (1 Roll)"/>
    <m/>
    <n v="16.8"/>
    <n v="192"/>
    <n v="3225.6000000000004"/>
    <n v="8500"/>
    <n v="0"/>
    <n v="11725.6"/>
    <n v="0.18"/>
    <n v="0"/>
    <n v="1055.3040000000001"/>
    <n v="1055.3040000000001"/>
    <n v="0"/>
    <n v="13836.208000000001"/>
  </r>
  <r>
    <x v="11"/>
    <d v="2026-03-30T00:00:00"/>
    <s v="403/25-26"/>
    <s v="SAI13038/25-26/30-03-2026"/>
    <s v="0206/2025-26_1"/>
    <s v="Sri Arihant Industries"/>
    <s v="Kflex ST Sheet 19mm  CL-O IC -Clad Black + AM (63 Roll)"/>
    <m/>
    <n v="756"/>
    <n v="454"/>
    <n v="343224"/>
    <n v="0"/>
    <n v="0"/>
    <n v="343224"/>
    <n v="0.18"/>
    <n v="0"/>
    <n v="30890.16"/>
    <n v="30890.16"/>
    <n v="0"/>
    <n v="405004.31999999995"/>
  </r>
  <r>
    <x v="11"/>
    <d v="2026-03-30T00:00:00"/>
    <s v="403/25-26"/>
    <s v="SAI13038/25-26/30-03-2026"/>
    <s v="0206/2025-26_1"/>
    <s v="Sri Arihant Industries"/>
    <s v="Kflex Kfonik 25mm Open Cell Cl-1 +AM (35 Box)"/>
    <m/>
    <n v="280"/>
    <n v="1196"/>
    <n v="334880"/>
    <n v="0"/>
    <n v="0"/>
    <n v="334880"/>
    <n v="0.18"/>
    <n v="0"/>
    <n v="30139.200000000001"/>
    <n v="30139.200000000001"/>
    <n v="0"/>
    <n v="395158.4"/>
  </r>
  <r>
    <x v="11"/>
    <d v="2026-03-30T00:00:00"/>
    <s v="404/25-26"/>
    <s v="25-S-8834/30-03-2026"/>
    <s v="0021/2024-25_1"/>
    <s v="Sian Tek Solutions"/>
    <s v="Electrical Accessories, Hardware, Panel Testing charges &amp; panel Design &amp; PLC Programming"/>
    <m/>
    <m/>
    <m/>
    <n v="805084.9"/>
    <n v="0"/>
    <n v="0"/>
    <n v="805084.9"/>
    <n v="0.18"/>
    <n v="0"/>
    <n v="72457.641000000003"/>
    <n v="72457.641000000003"/>
    <n v="0"/>
    <n v="950000.18200000003"/>
  </r>
  <r>
    <x v="11"/>
    <d v="2026-03-31T00:00:00"/>
    <s v="405/25-26"/>
    <s v="25-S-8835/31-03-2026"/>
    <s v="0207/2025-26"/>
    <s v="Sian Tek Solutions"/>
    <s v="Metronix Make Rotary Encoder and Polycab Cable"/>
    <m/>
    <m/>
    <m/>
    <n v="39720"/>
    <n v="0"/>
    <n v="0"/>
    <n v="39720"/>
    <n v="0.18"/>
    <n v="0"/>
    <n v="3574.8"/>
    <n v="3574.8"/>
    <n v="0"/>
    <n v="46869.600000000006"/>
  </r>
  <r>
    <x v="11"/>
    <d v="2026-03-31T00:00:00"/>
    <s v="406/25-26"/>
    <s v="25-S-8836/31-03-2026"/>
    <s v="0090/2024-25_1"/>
    <s v="Sian Tek Solutions"/>
    <s v="Servo Drive Incremental 400v 3 phase, Cable &amp; Accessories and Rotery Encoder"/>
    <m/>
    <m/>
    <m/>
    <n v="494000"/>
    <n v="0"/>
    <n v="0"/>
    <n v="494000"/>
    <n v="0.18"/>
    <n v="0"/>
    <n v="44460"/>
    <n v="44460"/>
    <n v="0"/>
    <n v="582920"/>
  </r>
  <r>
    <x v="11"/>
    <d v="2026-03-31T00:00:00"/>
    <s v="407/25-26"/>
    <s v="1101/2025-2026/31-03-2026"/>
    <m/>
    <s v="Sri Raghavendra Industries"/>
    <s v="Machine assemble Spare parts"/>
    <m/>
    <m/>
    <m/>
    <n v="56800"/>
    <n v="0"/>
    <n v="0"/>
    <n v="56800"/>
    <n v="0.18"/>
    <n v="0"/>
    <n v="5112"/>
    <n v="5112"/>
    <n v="0"/>
    <n v="67024"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</r>
  <r>
    <x v="13"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x v="0"/>
    <d v="2025-04-02T00:00:00"/>
    <s v="APR-001/25-26"/>
    <s v="Bangalore Electricity Supply Company"/>
    <n v="1243199003929"/>
    <s v="Power charges "/>
    <s v="For the month of APR-2025"/>
    <n v="197441"/>
    <n v="0"/>
    <n v="0"/>
    <n v="0"/>
    <n v="0"/>
    <n v="197441"/>
    <m/>
  </r>
  <r>
    <x v="0"/>
    <d v="2025-04-04T00:00:00"/>
    <s v="APR-002/25-26"/>
    <s v="Sri Venkateshwara Electricals &amp; Rewinding Works"/>
    <n v="2015"/>
    <s v="Job Work "/>
    <s v="maknita Cutting Machine Armature &amp; Dewalt Armature Coil"/>
    <n v="10600"/>
    <n v="0.18"/>
    <n v="0"/>
    <n v="954"/>
    <n v="954"/>
    <n v="12508"/>
    <m/>
  </r>
  <r>
    <x v="0"/>
    <d v="2025-04-15T00:00:00"/>
    <s v="APR-003/25-26"/>
    <s v="M.S Auto Components "/>
    <n v="16"/>
    <s v="Job Work "/>
    <s v="For Camo12 GSS Corner 25 mm"/>
    <n v="66969"/>
    <n v="0.18"/>
    <n v="0"/>
    <n v="6027.21"/>
    <n v="6027.21"/>
    <n v="79023.420000000013"/>
    <m/>
  </r>
  <r>
    <x v="0"/>
    <d v="2025-04-15T00:00:00"/>
    <s v="APR-004/25-26"/>
    <s v="Maruthi Service Station"/>
    <n v="13"/>
    <s v="Diesel Charges "/>
    <s v="Diesel 120 Ltr"/>
    <n v="10884"/>
    <n v="0"/>
    <n v="0"/>
    <n v="0"/>
    <n v="0"/>
    <n v="10884"/>
    <m/>
  </r>
  <r>
    <x v="0"/>
    <d v="2025-04-17T00:00:00"/>
    <s v="APR-005/25-26"/>
    <s v="Sanjana Enterprises"/>
    <n v="1"/>
    <s v="Service Charges"/>
    <s v="Repairs and Service Charges of Transformers"/>
    <n v="15900"/>
    <n v="0.18"/>
    <n v="0"/>
    <n v="1431"/>
    <n v="1431"/>
    <n v="18762"/>
    <m/>
  </r>
  <r>
    <x v="0"/>
    <d v="2025-04-18T00:00:00"/>
    <s v="APR-006/25-26"/>
    <s v="PSI Global "/>
    <s v="INV028/25-26"/>
    <s v="Service Charges"/>
    <s v="Repairs and Service Charges of Compressor"/>
    <n v="30138"/>
    <n v="0.18"/>
    <n v="5424.84"/>
    <n v="0"/>
    <n v="0"/>
    <n v="35562.839999999997"/>
    <m/>
  </r>
  <r>
    <x v="0"/>
    <d v="2025-04-22T00:00:00"/>
    <s v="APR-007/25-26"/>
    <s v="Cartridge Plus "/>
    <n v="3334"/>
    <s v="Printing Charges "/>
    <s v="Cartridge Refilling 3 Nos"/>
    <n v="3100"/>
    <n v="0.18"/>
    <n v="0"/>
    <n v="279"/>
    <n v="279"/>
    <n v="3658"/>
    <m/>
  </r>
  <r>
    <x v="0"/>
    <d v="2025-04-21T00:00:00"/>
    <s v="APR-008/25-26"/>
    <s v="Sharp Welding Systems"/>
    <n v="3"/>
    <s v="Service Charges"/>
    <s v="Service Charges for Serviced CO2 Mig Welding Machine "/>
    <n v="18000"/>
    <n v="0.18"/>
    <n v="3240"/>
    <n v="0"/>
    <n v="0"/>
    <n v="21240"/>
    <m/>
  </r>
  <r>
    <x v="0"/>
    <d v="2025-04-24T00:00:00"/>
    <s v="APR-009/25-26"/>
    <s v="P Venkatesh &amp; Associates "/>
    <n v="25"/>
    <s v="Professional fees "/>
    <s v="For Filling of MSME Form-1 as on 31.3.2025"/>
    <n v="2000"/>
    <n v="0.18"/>
    <n v="0"/>
    <n v="180"/>
    <n v="180"/>
    <n v="2360"/>
    <m/>
  </r>
  <r>
    <x v="0"/>
    <d v="2025-04-18T00:00:00"/>
    <s v="APR-010/25-26"/>
    <s v="R.G Hotels &amp; Resort"/>
    <n v="226"/>
    <s v="Lodging Charges"/>
    <s v="Hotel and Room Rent"/>
    <n v="2804.46"/>
    <n v="0.12"/>
    <n v="0"/>
    <n v="168.26760000000002"/>
    <n v="168.26760000000002"/>
    <n v="3560.9952000000003"/>
    <m/>
  </r>
  <r>
    <x v="0"/>
    <d v="2025-04-28T00:00:00"/>
    <s v="APR-011/25-26"/>
    <s v="Armstrong International Consultants"/>
    <s v="BLR/2025-26/0514"/>
    <s v="Consulting Fees "/>
    <s v="For the actuarial valuation of Grauity and issuance of report as per the AS-15(R) Standerds."/>
    <n v="7500"/>
    <n v="0.18"/>
    <n v="0"/>
    <n v="675"/>
    <n v="675"/>
    <n v="8850"/>
    <m/>
  </r>
  <r>
    <x v="0"/>
    <d v="2025-04-27T00:00:00"/>
    <s v="APR-012/25-26"/>
    <s v="R.G Hotels &amp; Resort"/>
    <n v="374"/>
    <s v="Lodging Charges"/>
    <s v="Hotel and Room Rent"/>
    <n v="2975"/>
    <n v="0.12"/>
    <n v="0"/>
    <n v="178.5"/>
    <n v="178.5"/>
    <n v="3921"/>
    <m/>
  </r>
  <r>
    <x v="0"/>
    <d v="2025-04-28T00:00:00"/>
    <s v="APR-013/25-26"/>
    <s v="Sri Venkateshwara Enterprises"/>
    <s v="SVE/0474/25-26"/>
    <s v="Carbon-Di-Oxide Full Cylinder"/>
    <s v="107 Kgs"/>
    <n v="3210"/>
    <n v="0.18"/>
    <n v="0"/>
    <n v="288.89999999999998"/>
    <n v="288.89999999999998"/>
    <n v="3787.8"/>
    <m/>
  </r>
  <r>
    <x v="0"/>
    <d v="2025-04-30T00:00:00"/>
    <s v="APR-014/25-26"/>
    <s v="Maruthi Service Station"/>
    <n v="56"/>
    <s v="Diesel Charges"/>
    <s v="Diesel 360 Ltr"/>
    <n v="32652"/>
    <n v="0"/>
    <n v="0"/>
    <n v="0"/>
    <n v="0"/>
    <n v="32652"/>
    <m/>
  </r>
  <r>
    <x v="0"/>
    <d v="2025-04-02T00:00:00"/>
    <s v="APR-015/25-26"/>
    <s v="Chiru Catering"/>
    <n v="158"/>
    <s v="Catering Service charges "/>
    <s v="Morning, Evening and Night Dinner "/>
    <n v="25145"/>
    <n v="0"/>
    <n v="0"/>
    <n v="0"/>
    <n v="0"/>
    <n v="25145"/>
    <m/>
  </r>
  <r>
    <x v="0"/>
    <d v="2025-04-30T00:00:00"/>
    <s v="APR-016/25-26"/>
    <s v="Chiru Catering"/>
    <n v="161"/>
    <s v="Catering Service charges "/>
    <s v="Morning, Evening and Night Dinner "/>
    <n v="26035"/>
    <n v="0"/>
    <n v="0"/>
    <n v="0"/>
    <n v="0"/>
    <n v="26035"/>
    <m/>
  </r>
  <r>
    <x v="0"/>
    <d v="2025-04-30T00:00:00"/>
    <s v="APR-017/25-26"/>
    <s v="Chiru Catering"/>
    <n v="162"/>
    <s v="Catering Service charges "/>
    <s v="Morning, Evening and Night Dinner "/>
    <n v="22535"/>
    <n v="0"/>
    <n v="0"/>
    <n v="0"/>
    <n v="0"/>
    <n v="22535"/>
    <m/>
  </r>
  <r>
    <x v="0"/>
    <d v="2025-04-30T00:00:00"/>
    <s v="APR-018/25-26"/>
    <s v="Kumar Auto Electrical Works"/>
    <n v="1254"/>
    <s v="Repair Charges "/>
    <s v="Exide Xpresss(XP 1800) A3C5G2403723C54"/>
    <n v="14843.75"/>
    <n v="0.28000000000000003"/>
    <n v="0"/>
    <n v="2078.125"/>
    <n v="2078.125"/>
    <n v="19000"/>
    <m/>
  </r>
  <r>
    <x v="0"/>
    <d v="2025-04-30T00:00:00"/>
    <s v="APR-019/25-26"/>
    <s v="Nandini Milk Parlour"/>
    <n v="897"/>
    <s v="Refreshment Charges "/>
    <s v="Butter Milk "/>
    <n v="15703"/>
    <n v="0"/>
    <n v="0"/>
    <n v="0"/>
    <n v="0"/>
    <n v="15703"/>
    <m/>
  </r>
  <r>
    <x v="0"/>
    <d v="2025-04-29T00:00:00"/>
    <s v="APR-020/25-26"/>
    <s v="Industrial Bearing House"/>
    <s v="25-26/138"/>
    <s v="Job Work "/>
    <s v="LMF30LUU THK (2 Nos)"/>
    <n v="12840"/>
    <n v="0.18"/>
    <n v="0"/>
    <n v="1155.5999999999999"/>
    <n v="1155.5999999999999"/>
    <n v="15151.2"/>
    <m/>
  </r>
  <r>
    <x v="0"/>
    <d v="2025-04-30T00:00:00"/>
    <s v="APR-021/25-26"/>
    <s v="Sri Veerabhadraswamy Transport"/>
    <n v="116"/>
    <s v="Transportation Charges "/>
    <s v="For the month of APR-2025"/>
    <n v="80800"/>
    <n v="0"/>
    <n v="0"/>
    <n v="0"/>
    <n v="0"/>
    <n v="80800"/>
    <m/>
  </r>
  <r>
    <x v="0"/>
    <d v="2025-04-30T00:00:00"/>
    <s v="APR-022/25-26"/>
    <s v="Sri Veerabhadraswamy Transport"/>
    <n v="117"/>
    <s v="Transportation Charges "/>
    <s v="For the month of APR-2025"/>
    <n v="20050"/>
    <n v="0"/>
    <n v="0"/>
    <n v="0"/>
    <n v="0"/>
    <n v="20050"/>
    <m/>
  </r>
  <r>
    <x v="0"/>
    <d v="2025-04-30T00:00:00"/>
    <s v="APR-023/25-26"/>
    <s v="The Professional Couriers "/>
    <s v="HRD25559"/>
    <s v="Couriers Charges "/>
    <s v="For the month of APR-2025"/>
    <n v="1166.0999999999999"/>
    <n v="0.18"/>
    <n v="0"/>
    <n v="104.949"/>
    <n v="104.949"/>
    <n v="1375.998"/>
    <m/>
  </r>
  <r>
    <x v="0"/>
    <d v="2025-04-30T00:00:00"/>
    <s v="APR-024/25-26"/>
    <s v="Jupiter &amp; Company"/>
    <s v="0017/2025-26"/>
    <s v="Proffessional Fees "/>
    <s v="Fees towards Preparation of EPF and ESI Challans During Calendar Month Apr-2025"/>
    <n v="1500"/>
    <n v="0.18"/>
    <n v="0"/>
    <n v="135"/>
    <n v="135"/>
    <n v="1770"/>
    <m/>
  </r>
  <r>
    <x v="0"/>
    <d v="2025-04-30T00:00:00"/>
    <s v="APR-025/25-26"/>
    <s v="Suresh Travels"/>
    <s v="45/25-26"/>
    <s v="Taxi Hire Charges "/>
    <s v="For the month of APR-2025"/>
    <n v="19124"/>
    <n v="0"/>
    <n v="0"/>
    <n v="0"/>
    <n v="0"/>
    <n v="19124"/>
    <m/>
  </r>
  <r>
    <x v="0"/>
    <d v="2025-04-30T00:00:00"/>
    <s v="APR-026/25-26"/>
    <s v="Nikhila Engineering"/>
    <n v="1253"/>
    <s v="Job Work "/>
    <s v="Thermal Insulation and Acoustic Insulation "/>
    <n v="27160.39"/>
    <n v="0.18"/>
    <n v="0"/>
    <n v="2444.4351000000001"/>
    <n v="2444.4351000000001"/>
    <n v="32049.260199999997"/>
    <m/>
  </r>
  <r>
    <x v="0"/>
    <d v="2025-04-30T00:00:00"/>
    <s v="APR-027/25-26"/>
    <s v="Nikhila Engineering"/>
    <n v="1254"/>
    <s v="Job Work "/>
    <s v="Thermal Insulation, Acoustic Insulation and Acoustic insulation (without beading )"/>
    <n v="16636.04"/>
    <n v="0.18"/>
    <n v="0"/>
    <n v="1497.2436000000002"/>
    <n v="1497.2436000000002"/>
    <n v="19630.527200000004"/>
    <m/>
  </r>
  <r>
    <x v="0"/>
    <d v="2025-04-30T00:00:00"/>
    <s v="APR-028/25-26"/>
    <s v="Nikhila Engineering"/>
    <n v="1255"/>
    <s v="Job Work "/>
    <s v="Thermal Insulation"/>
    <n v="13046.5"/>
    <n v="0.18"/>
    <n v="0"/>
    <n v="1174.1849999999999"/>
    <n v="1174.1849999999999"/>
    <n v="15394.869999999999"/>
    <m/>
  </r>
  <r>
    <x v="0"/>
    <d v="2025-04-30T00:00:00"/>
    <s v="APR-029/25-26"/>
    <s v="Nikhila Engineering"/>
    <n v="1256"/>
    <s v="Job Work "/>
    <s v="Thermal Insulation, Acoustic Insulation and Acoustic insulation (without beading )"/>
    <n v="28861.01"/>
    <n v="0.18"/>
    <n v="0"/>
    <n v="2597.4908999999998"/>
    <n v="2597.4908999999998"/>
    <n v="34055.991799999996"/>
    <m/>
  </r>
  <r>
    <x v="0"/>
    <d v="2025-04-30T00:00:00"/>
    <s v="APR-030/25-26"/>
    <s v="Nikhila Engineering"/>
    <n v="1257"/>
    <s v="Job Work "/>
    <s v="Thermal Insulation and Acoustic Insulation "/>
    <n v="15019.88"/>
    <n v="0.18"/>
    <n v="0"/>
    <n v="1351.7891999999999"/>
    <n v="1351.7891999999999"/>
    <n v="17723.4584"/>
    <m/>
  </r>
  <r>
    <x v="0"/>
    <d v="2025-04-30T00:00:00"/>
    <s v="APR-031/25-26"/>
    <s v="Nikhila Engineering"/>
    <n v="1258"/>
    <s v="Job Work "/>
    <s v="Thermal Insulation and Acoustic Insulation "/>
    <n v="72802.16"/>
    <n v="0.18"/>
    <n v="0"/>
    <n v="6552.1944000000003"/>
    <n v="6552.1944000000003"/>
    <n v="85906.548800000019"/>
    <m/>
  </r>
  <r>
    <x v="0"/>
    <d v="2025-04-30T00:00:00"/>
    <s v="APR-032/25-26"/>
    <s v="Nikhila Engineering"/>
    <n v="1259"/>
    <s v="Job Work "/>
    <s v="Thermal Insulation and Acoustic Insulation "/>
    <n v="68356.13"/>
    <n v="0.18"/>
    <n v="0"/>
    <n v="6152.0517"/>
    <n v="6152.0517"/>
    <n v="80660.233399999997"/>
    <m/>
  </r>
  <r>
    <x v="0"/>
    <d v="2025-04-30T00:00:00"/>
    <s v="APR-033/25-26"/>
    <s v="Nikhila Engineering"/>
    <n v="1260"/>
    <s v="Job Work "/>
    <s v="Thermal Insulation  "/>
    <n v="4035"/>
    <n v="0.18"/>
    <n v="0"/>
    <n v="363.15"/>
    <n v="363.15"/>
    <n v="4761.2999999999993"/>
    <m/>
  </r>
  <r>
    <x v="0"/>
    <d v="2025-04-30T00:00:00"/>
    <s v="APR-034/25-26"/>
    <s v="Nikhila Engineering"/>
    <n v="1261"/>
    <s v="Job Work "/>
    <s v="Acoustic Insulation"/>
    <n v="741.36"/>
    <n v="0.18"/>
    <n v="0"/>
    <n v="66.722399999999993"/>
    <n v="66.722399999999993"/>
    <n v="874.8048"/>
    <m/>
  </r>
  <r>
    <x v="0"/>
    <d v="2025-04-30T00:00:00"/>
    <s v="APR-035/25-26"/>
    <s v="Nikhila Engineering"/>
    <n v="1262"/>
    <s v="Job Work "/>
    <s v="Thermal Insulation, Acoustic Insulation and Acoustic Insulation (without beading)"/>
    <n v="323168.53000000003"/>
    <n v="0.18"/>
    <n v="0"/>
    <n v="29085.167700000005"/>
    <n v="29085.167700000005"/>
    <n v="381338.86540000001"/>
    <m/>
  </r>
  <r>
    <x v="0"/>
    <d v="2025-04-30T00:00:00"/>
    <s v="APR-036/25-26"/>
    <s v="Nikhila Engineering"/>
    <n v="1263"/>
    <s v="Job Work "/>
    <s v="Thermal Insulation "/>
    <n v="16812.5"/>
    <n v="0.18"/>
    <n v="0"/>
    <n v="1513.125"/>
    <n v="1513.125"/>
    <n v="19838.75"/>
    <m/>
  </r>
  <r>
    <x v="0"/>
    <d v="2025-04-30T00:00:00"/>
    <s v="APR-037/25-26"/>
    <s v="Nikhila Engineering"/>
    <n v="1264"/>
    <s v="Job Work "/>
    <s v="Thermal Insulation"/>
    <n v="4021.55"/>
    <n v="0.18"/>
    <n v="0"/>
    <n v="361.93950000000007"/>
    <n v="361.93950000000007"/>
    <n v="4745.429000000001"/>
    <m/>
  </r>
  <r>
    <x v="0"/>
    <d v="2025-04-30T00:00:00"/>
    <s v="APR-038/25-26"/>
    <s v="Nikhila Engineering"/>
    <n v="1265"/>
    <s v="Job Work "/>
    <s v="Thermal Insulation and Acoustic Insulation "/>
    <n v="217410.64"/>
    <n v="0.18"/>
    <n v="0"/>
    <n v="19566.957600000002"/>
    <n v="19566.957600000002"/>
    <n v="256544.5552"/>
    <m/>
  </r>
  <r>
    <x v="0"/>
    <d v="2025-04-30T00:00:00"/>
    <s v="APR-039/25-26"/>
    <s v="Nikhila Engineering"/>
    <n v="1266"/>
    <s v="Job Work "/>
    <s v="Thermal Insulation"/>
    <n v="24828.7"/>
    <n v="0.18"/>
    <n v="0"/>
    <n v="2234.5830000000001"/>
    <n v="2234.5830000000001"/>
    <n v="29297.865999999998"/>
    <m/>
  </r>
  <r>
    <x v="0"/>
    <d v="2025-04-23T00:00:00"/>
    <s v="APR-040/25-26"/>
    <s v="Misumi India Pvt Ltd"/>
    <s v="ID325004268"/>
    <s v="Job Work "/>
    <s v="THT Spring TB/Ecal 2 and THT Spring TF/Ecal 2 and "/>
    <n v="615.57999999999993"/>
    <n v="0.18"/>
    <n v="0"/>
    <n v="55.402199999999993"/>
    <n v="55.402199999999993"/>
    <n v="726.38439999999991"/>
    <m/>
  </r>
  <r>
    <x v="1"/>
    <d v="2025-05-01T00:00:00"/>
    <s v="MAY-001/25-26"/>
    <s v="Aishwarya Security Services"/>
    <s v="Aiss/25-26/14"/>
    <s v="Security Service Charges "/>
    <s v="For the month of APR-2025"/>
    <n v="60442"/>
    <n v="0"/>
    <n v="0"/>
    <n v="0"/>
    <n v="0"/>
    <n v="60442"/>
    <m/>
  </r>
  <r>
    <x v="1"/>
    <d v="2025-05-01T00:00:00"/>
    <s v="MAY-002/25-26"/>
    <s v="SME Network"/>
    <s v="180/GST/25-26"/>
    <s v="Consultancy Fees"/>
    <s v="Management Consultancy - IEC Modification"/>
    <n v="3500"/>
    <n v="0.18"/>
    <n v="0"/>
    <n v="315"/>
    <n v="315"/>
    <n v="4130"/>
    <m/>
  </r>
  <r>
    <x v="1"/>
    <d v="2025-05-05T00:00:00"/>
    <s v="MAY-003/25-26"/>
    <s v="Industrial Bearing House"/>
    <s v="25-26/159"/>
    <s v="Job Work "/>
    <s v="LM 30 UU IKO (1 Ns )"/>
    <n v="1350"/>
    <n v="0.18"/>
    <n v="0"/>
    <n v="121.5"/>
    <n v="121.5"/>
    <n v="1593"/>
    <m/>
  </r>
  <r>
    <x v="1"/>
    <d v="2025-05-02T00:00:00"/>
    <s v="MAY-004/25-26"/>
    <s v="Bangalore Electricity Supply Company"/>
    <n v="1243199005950"/>
    <s v="Electricity Power charges "/>
    <s v="For the month of APR-2025"/>
    <n v="55990"/>
    <n v="0"/>
    <n v="0"/>
    <n v="0"/>
    <n v="0"/>
    <n v="55990"/>
    <m/>
  </r>
  <r>
    <x v="1"/>
    <d v="2025-05-05T00:00:00"/>
    <s v="MAY-005/25-26"/>
    <s v="Likith Enterprises"/>
    <s v="L004"/>
    <s v="Job Work "/>
    <s v="Shed Fabrication work "/>
    <n v="122889"/>
    <n v="0.18"/>
    <n v="0"/>
    <n v="11060.01"/>
    <n v="11060.01"/>
    <n v="145009.02000000002"/>
    <m/>
  </r>
  <r>
    <x v="1"/>
    <d v="2025-05-14T00:00:00"/>
    <s v="MAY-006/25-26"/>
    <s v="Sri Udyog Integrated Services Pvt Ltd "/>
    <s v="SUI/1020"/>
    <s v="Salary Maintenance Charges "/>
    <s v="For the month of APR-2025"/>
    <n v="495767.52"/>
    <n v="0.18"/>
    <n v="0"/>
    <n v="44619.076799999995"/>
    <n v="44619.076799999995"/>
    <n v="585005.6736000001"/>
    <m/>
  </r>
  <r>
    <x v="1"/>
    <d v="2025-05-14T00:00:00"/>
    <s v="MAY-007/25-26"/>
    <s v="Sri Udyog Integrated Services Pvt Ltd "/>
    <s v="SUI/1021"/>
    <s v="Over Time Wages "/>
    <s v="For the month of APR-2025"/>
    <n v="328073.92"/>
    <n v="0.18"/>
    <n v="0"/>
    <n v="29526.652799999996"/>
    <n v="29526.652799999996"/>
    <n v="387127.22559999995"/>
    <m/>
  </r>
  <r>
    <x v="1"/>
    <d v="2025-05-15T00:00:00"/>
    <s v="MAY-008/25-26"/>
    <s v="Maruthi Service Station"/>
    <n v="109"/>
    <s v="Diesel Charges"/>
    <s v="120 Ltrs"/>
    <n v="21768"/>
    <n v="0"/>
    <n v="0"/>
    <n v="0"/>
    <n v="0"/>
    <n v="21768"/>
    <m/>
  </r>
  <r>
    <x v="1"/>
    <d v="2025-05-16T00:00:00"/>
    <s v="MAY-009/25-26"/>
    <s v="Bangalore Electricity Supply Company"/>
    <s v="1243199007262"/>
    <s v="Electricity Power charges "/>
    <s v="For the month of APR-2025"/>
    <n v="56851"/>
    <n v="0"/>
    <m/>
    <n v="0"/>
    <n v="0"/>
    <n v="56851"/>
    <m/>
  </r>
  <r>
    <x v="1"/>
    <d v="2025-05-16T00:00:00"/>
    <s v="MAY-010/25-26"/>
    <s v="RS Form Teknic"/>
    <s v="RSFT/INV/03/2025"/>
    <s v="Repair &amp; Service Maintenance Charges "/>
    <s v="Servicing of Plasma Cutting Machines and Old Spiral tube Former machine "/>
    <n v="11833"/>
    <n v="0.18"/>
    <n v="2129.94"/>
    <n v="0"/>
    <n v="0"/>
    <n v="13962.94"/>
    <m/>
  </r>
  <r>
    <x v="1"/>
    <d v="2025-05-16T00:00:00"/>
    <s v="MAY-011/25-26"/>
    <s v="SAMS Industrial Products"/>
    <s v="0339-25-26"/>
    <s v="Job Work "/>
    <s v="Leveling Base Straight ,Levelling Base Solid and Anti Vibration Rubber Pad Purchased "/>
    <n v="1960"/>
    <n v="0.18"/>
    <n v="0"/>
    <n v="176.4"/>
    <n v="176.4"/>
    <n v="2312.8000000000002"/>
    <m/>
  </r>
  <r>
    <x v="1"/>
    <d v="2025-05-17T00:00:00"/>
    <s v="MAY-012/25-26"/>
    <s v="Neha Graphics "/>
    <n v="19"/>
    <s v="Printing Charges "/>
    <s v="Product Brochures - 6 Pages - 3 Fold (10-10=20 Nos)"/>
    <n v="2000"/>
    <n v="0"/>
    <n v="0"/>
    <n v="0"/>
    <n v="0"/>
    <n v="2000"/>
    <m/>
  </r>
  <r>
    <x v="1"/>
    <d v="2025-05-20T00:00:00"/>
    <s v="MAY-013/25-26"/>
    <s v="Metal Work Pneumatic India Pvt Ltd "/>
    <s v="GST/25-26/001194"/>
    <s v="Repair &amp; Maintenance Charges "/>
    <s v="Mini Valve Mech/Hand Operated VME 1-01 NC "/>
    <n v="1602"/>
    <n v="0.18"/>
    <n v="0"/>
    <n v="144.18"/>
    <n v="144.18"/>
    <n v="1890.3600000000001"/>
    <m/>
  </r>
  <r>
    <x v="1"/>
    <d v="2025-05-19T00:00:00"/>
    <s v="MAY-014/25-26"/>
    <s v="Shriram Institute For Industrial Research"/>
    <s v="25-26/02/185"/>
    <s v="Laboratory Charges "/>
    <s v="Polyurethane Foam Testing "/>
    <n v="25500"/>
    <n v="0.18"/>
    <n v="0"/>
    <n v="2295"/>
    <n v="2295"/>
    <n v="30090"/>
    <m/>
  </r>
  <r>
    <x v="1"/>
    <d v="2025-05-17T00:00:00"/>
    <s v="MAY-015/25-26"/>
    <s v="Asho Business Service India Pvt Ltd"/>
    <s v="ABSIPL/25-26/018"/>
    <s v="Manpower Services Charges "/>
    <s v="For the month of APR-2025"/>
    <n v="528746"/>
    <n v="0.18"/>
    <n v="0"/>
    <n v="47587.14"/>
    <n v="47587.14"/>
    <n v="623920.28"/>
    <m/>
  </r>
  <r>
    <x v="1"/>
    <d v="2025-05-21T00:00:00"/>
    <s v="MAY-016/25-26"/>
    <s v="R.G Hotels &amp; Resort"/>
    <s v="671/672"/>
    <s v="Lodging Charges"/>
    <s v="Hotel and Room Rent (4188+915) 6% Tax"/>
    <n v="5103"/>
    <n v="0"/>
    <n v="0"/>
    <n v="0"/>
    <n v="0"/>
    <n v="5103"/>
    <m/>
  </r>
  <r>
    <x v="1"/>
    <d v="2025-05-21T00:00:00"/>
    <s v="MAY-017/25-26"/>
    <s v="Cartridge Plus "/>
    <n v="3453"/>
    <s v="Printing Charges "/>
    <s v="Cartridge Refilling 5 Nos"/>
    <n v="5200"/>
    <n v="0.18"/>
    <n v="0"/>
    <n v="468"/>
    <n v="468"/>
    <n v="6136"/>
    <m/>
  </r>
  <r>
    <x v="1"/>
    <d v="2025-05-26T00:00:00"/>
    <s v="MAY-018/25-26"/>
    <s v="Shri Sumukha Industries"/>
    <n v="110"/>
    <s v="Job Work "/>
    <s v="Job Work (Die Holder, Clinch Die,Press Tool Etc)"/>
    <n v="18226.3"/>
    <n v="0.18"/>
    <n v="0"/>
    <n v="1640.3669999999997"/>
    <n v="1640.3669999999997"/>
    <n v="21507.033999999996"/>
    <m/>
  </r>
  <r>
    <x v="1"/>
    <d v="2025-05-26T00:00:00"/>
    <s v="MAY-019/25-26"/>
    <s v="Shri Sumukha Industries"/>
    <n v="111"/>
    <s v="Job Work "/>
    <s v="2024-12-00-16 LM Bush Mtg Plate"/>
    <n v="10592.5"/>
    <n v="0.18"/>
    <n v="0"/>
    <n v="953.32500000000005"/>
    <n v="953.32500000000005"/>
    <n v="12499.150000000001"/>
    <m/>
  </r>
  <r>
    <x v="1"/>
    <d v="2025-05-26T00:00:00"/>
    <s v="MAY-020/25-26"/>
    <s v="M.S Auto Components "/>
    <n v="72"/>
    <s v="Job Work "/>
    <s v="For Camo12 GSS Corner 25 mm"/>
    <n v="88498.8"/>
    <n v="0.28000000000000003"/>
    <n v="0"/>
    <n v="12389.832"/>
    <n v="12389.832"/>
    <n v="113278.46399999999"/>
    <m/>
  </r>
  <r>
    <x v="1"/>
    <d v="2025-05-27T00:00:00"/>
    <s v="MAY-021/25-26"/>
    <s v="Sri Venkateshwara Enterprises"/>
    <s v="SVE/0970/25-26"/>
    <s v="Carbon-Di-Oxide Full Cylinder"/>
    <s v="107 Kgs"/>
    <n v="3210"/>
    <n v="0.18"/>
    <n v="0"/>
    <n v="288.89999999999998"/>
    <n v="288.89999999999998"/>
    <n v="3787.8"/>
    <m/>
  </r>
  <r>
    <x v="1"/>
    <d v="2025-05-27T00:00:00"/>
    <s v="MAY-022/25-26"/>
    <s v="PSI Global "/>
    <s v="INV081/25-26"/>
    <s v="Service Charges"/>
    <s v="Repairs and Service Charges of Compressor"/>
    <n v="13015"/>
    <n v="0.18"/>
    <n v="2342.6999999999998"/>
    <n v="0"/>
    <n v="0"/>
    <n v="15357.7"/>
    <m/>
  </r>
  <r>
    <x v="1"/>
    <d v="2025-05-31T00:00:00"/>
    <s v="MAY-023/25-26"/>
    <s v="Maruthi Service Station"/>
    <n v="151"/>
    <s v="Diesel Charges "/>
    <s v="Diesel 240 Ltr"/>
    <n v="21768"/>
    <n v="0"/>
    <n v="0"/>
    <n v="0"/>
    <n v="0"/>
    <n v="21768"/>
    <m/>
  </r>
  <r>
    <x v="1"/>
    <d v="2025-05-31T00:00:00"/>
    <s v="MAY-024/25-26"/>
    <s v="Suresh Travels"/>
    <s v="86/25-26"/>
    <s v="Taxi Hire Charges "/>
    <s v="For the month of May-2025"/>
    <n v="7160"/>
    <n v="0"/>
    <n v="0"/>
    <n v="0"/>
    <n v="0"/>
    <n v="7160"/>
    <m/>
  </r>
  <r>
    <x v="1"/>
    <d v="2025-05-31T00:00:00"/>
    <s v="MAY-025/25-26"/>
    <s v="Jupiter &amp; Company"/>
    <s v="0128/2025-26"/>
    <s v="Proffessional Fees "/>
    <s v="Fees towards Preparation of EPF and ESI Challans During Calendar Month May-2025"/>
    <n v="1500"/>
    <n v="0.18"/>
    <n v="0"/>
    <n v="135"/>
    <n v="135"/>
    <n v="1770"/>
    <m/>
  </r>
  <r>
    <x v="1"/>
    <d v="2025-05-28T00:00:00"/>
    <s v="MAY-026/25-26"/>
    <s v="Trade Wings Limited"/>
    <s v="K2503299"/>
    <s v="Travel Expences"/>
    <s v="Flight Ticket Expenses Blr to Bom (10374) and 600*18% GST ( Mr. Deepak KV )"/>
    <n v="11082"/>
    <n v="0"/>
    <n v="0"/>
    <n v="0"/>
    <n v="0"/>
    <n v="11082"/>
    <m/>
  </r>
  <r>
    <x v="1"/>
    <d v="2025-05-28T00:00:00"/>
    <s v="MAY-027/25-26"/>
    <s v="Trade Wings Limited"/>
    <s v="K2503300"/>
    <s v="Travel Expences"/>
    <s v="Flight Ticket Expenses Blr to Bom (10374) and 600*18% GST ( Mr. Mani N )"/>
    <n v="11082"/>
    <n v="0"/>
    <n v="0"/>
    <n v="0"/>
    <n v="0"/>
    <n v="11082"/>
    <m/>
  </r>
  <r>
    <x v="1"/>
    <d v="2025-05-31T00:00:00"/>
    <s v="MAY-028/25-26"/>
    <s v="The Professional Couriers "/>
    <s v="HRD254881"/>
    <s v="Couriers Charges "/>
    <s v="For the month of May-2025"/>
    <n v="1300.6500000000001"/>
    <n v="0.18"/>
    <n v="0"/>
    <n v="117.05850000000001"/>
    <n v="117.05850000000001"/>
    <n v="1534.7670000000003"/>
    <m/>
  </r>
  <r>
    <x v="1"/>
    <d v="2025-05-30T00:00:00"/>
    <s v="MAY-029/25-26"/>
    <s v="Nandini Milk Parlour"/>
    <n v="214"/>
    <s v="Refreshment Charges "/>
    <s v="Butter Milk and Milk"/>
    <n v="10740"/>
    <n v="0"/>
    <n v="0"/>
    <n v="0"/>
    <n v="0"/>
    <n v="10740"/>
    <m/>
  </r>
  <r>
    <x v="1"/>
    <d v="2025-05-31T00:00:00"/>
    <s v="MAY-030/25-26"/>
    <s v="Nikhila Engineering"/>
    <n v="1269"/>
    <s v="Job Work "/>
    <s v="Thermal Insulation "/>
    <n v="29092.35"/>
    <n v="0.18"/>
    <n v="0"/>
    <n v="2618.3114999999998"/>
    <n v="2618.3114999999998"/>
    <n v="34328.972999999998"/>
    <m/>
  </r>
  <r>
    <x v="1"/>
    <d v="2025-05-31T00:00:00"/>
    <s v="MAY-031/25-26"/>
    <s v="Nikhila Engineering"/>
    <n v="1270"/>
    <s v="Job Work "/>
    <s v="Thermal Insulation "/>
    <n v="23981.35"/>
    <n v="0.18"/>
    <n v="0"/>
    <n v="2158.3215"/>
    <n v="2158.3215"/>
    <n v="28297.992999999995"/>
    <m/>
  </r>
  <r>
    <x v="1"/>
    <d v="2025-05-31T00:00:00"/>
    <s v="MAY-032/25-26"/>
    <s v="Nikhila Engineering"/>
    <n v="1271"/>
    <s v="Job Work "/>
    <s v="Thermal Insulation "/>
    <n v="20578.5"/>
    <n v="0.18"/>
    <n v="0"/>
    <n v="1852.0650000000001"/>
    <n v="1852.0650000000001"/>
    <n v="24282.629999999997"/>
    <m/>
  </r>
  <r>
    <x v="1"/>
    <d v="2025-05-31T00:00:00"/>
    <s v="MAY-033/25-26"/>
    <s v="Nikhila Engineering"/>
    <n v="1272"/>
    <s v="Job Work "/>
    <s v="Thermal Insulation and Acoustic Insulation "/>
    <n v="362518.93"/>
    <n v="0.18"/>
    <n v="0"/>
    <n v="32626.703700000002"/>
    <n v="32626.703700000002"/>
    <n v="427772.33740000002"/>
    <m/>
  </r>
  <r>
    <x v="1"/>
    <d v="2025-05-31T00:00:00"/>
    <s v="MAY-034/25-26"/>
    <s v="Nikhila Engineering"/>
    <n v="1273"/>
    <s v="Job Work "/>
    <s v="Thermal Insulation and Acoustic Insulation "/>
    <n v="148095.79999999999"/>
    <n v="0.18"/>
    <n v="0"/>
    <n v="13328.621999999999"/>
    <n v="13328.621999999999"/>
    <n v="174753.04399999999"/>
    <m/>
  </r>
  <r>
    <x v="1"/>
    <d v="2025-05-31T00:00:00"/>
    <s v="MAY-035/25-26"/>
    <s v="Nikhila Engineering"/>
    <n v="1274"/>
    <s v="Job Work "/>
    <s v="Acoustic Insulation"/>
    <n v="2336"/>
    <n v="0.18"/>
    <n v="0"/>
    <n v="210.24"/>
    <n v="210.24"/>
    <n v="2756.4799999999996"/>
    <m/>
  </r>
  <r>
    <x v="1"/>
    <d v="2025-05-31T00:00:00"/>
    <s v="MAY-036/25-26"/>
    <s v="Nikhila Engineering"/>
    <n v="1275"/>
    <s v="Job Work "/>
    <s v="Acoustic Insulation without beading "/>
    <n v="7841.35"/>
    <n v="0.18"/>
    <n v="0"/>
    <n v="705.72150000000011"/>
    <n v="705.72150000000011"/>
    <n v="9252.7929999999997"/>
    <m/>
  </r>
  <r>
    <x v="1"/>
    <d v="2025-05-31T00:00:00"/>
    <s v="MAY-037/25-26"/>
    <s v="Nikhila Engineering"/>
    <n v="1276"/>
    <s v="Job Work "/>
    <s v="Thermal Insulation "/>
    <n v="9267.0499999999993"/>
    <n v="0.18"/>
    <n v="0"/>
    <n v="834.03449999999998"/>
    <n v="834.03449999999998"/>
    <n v="10935.118999999999"/>
    <m/>
  </r>
  <r>
    <x v="1"/>
    <d v="2025-05-31T00:00:00"/>
    <s v="MAY-038/25-26"/>
    <s v="Nikhila Engineering"/>
    <n v="1277"/>
    <s v="Job Work "/>
    <s v="Thermal Insulation And Acoustic Insulation without beading "/>
    <n v="13450"/>
    <n v="0.18"/>
    <n v="0"/>
    <n v="1210.5"/>
    <n v="1210.5"/>
    <n v="15871"/>
    <m/>
  </r>
  <r>
    <x v="1"/>
    <d v="2025-05-31T00:00:00"/>
    <s v="MAY-039/25-26"/>
    <s v="Nikhila Engineering"/>
    <n v="1278"/>
    <s v="Job Work "/>
    <s v="Thermal Insulation "/>
    <n v="1573.65"/>
    <n v="0.18"/>
    <n v="0"/>
    <n v="141.6285"/>
    <n v="141.6285"/>
    <n v="1856.9070000000002"/>
    <m/>
  </r>
  <r>
    <x v="1"/>
    <d v="2025-05-31T00:00:00"/>
    <s v="MAY-040/25-26"/>
    <s v="Nikhila Engineering"/>
    <n v="1279"/>
    <s v="Job Work "/>
    <s v="Thermal Insulation "/>
    <n v="3806.35"/>
    <n v="0.18"/>
    <n v="0"/>
    <n v="342.57150000000001"/>
    <n v="342.57150000000001"/>
    <n v="4491.4930000000004"/>
    <m/>
  </r>
  <r>
    <x v="1"/>
    <d v="2025-05-31T00:00:00"/>
    <s v="MAY-041/25-26"/>
    <s v="Nikhila Engineering"/>
    <n v="1280"/>
    <s v="Job Work "/>
    <s v="Thermal Insulation and Acoustic Insulation "/>
    <n v="274722.17"/>
    <n v="0.18"/>
    <n v="0"/>
    <n v="24724.995299999999"/>
    <n v="24724.995299999999"/>
    <n v="324172.1606"/>
    <m/>
  </r>
  <r>
    <x v="1"/>
    <d v="2025-05-31T00:00:00"/>
    <s v="MAY-042/25-26"/>
    <s v="Nikhila Engineering"/>
    <n v="1281"/>
    <s v="Job Work "/>
    <s v="Thermal Insulation and Acoustic Insulation "/>
    <n v="349373.97"/>
    <n v="0.18"/>
    <n v="0"/>
    <n v="31443.657299999995"/>
    <n v="31443.657299999995"/>
    <n v="412261.28460000001"/>
    <m/>
  </r>
  <r>
    <x v="1"/>
    <d v="2025-05-31T00:00:00"/>
    <s v="MAY-043/25-26"/>
    <s v="Nikhila Engineering"/>
    <n v="1282"/>
    <s v="Job Work "/>
    <s v="Thermal Insulation "/>
    <n v="32427.95"/>
    <n v="0.18"/>
    <n v="0"/>
    <n v="2918.5155"/>
    <n v="2918.5155"/>
    <n v="38264.981"/>
    <m/>
  </r>
  <r>
    <x v="1"/>
    <d v="2025-05-31T00:00:00"/>
    <s v="MAY-044/25-26"/>
    <s v="Nikhila Engineering"/>
    <n v="1283"/>
    <s v="Job Work "/>
    <s v="Thermal Insulation "/>
    <n v="13167.55"/>
    <n v="0.18"/>
    <n v="0"/>
    <n v="1185.0795000000001"/>
    <n v="1185.0795000000001"/>
    <n v="15537.708999999999"/>
    <m/>
  </r>
  <r>
    <x v="1"/>
    <d v="2025-05-31T00:00:00"/>
    <s v="MAY-045/25-26"/>
    <s v="Nikhila Engineering"/>
    <n v="1284"/>
    <s v="Job Work "/>
    <s v="Thermal Insulation, Acoustic Insulation and Acoustic Insulation without beading "/>
    <n v="607868.98"/>
    <n v="0.18"/>
    <n v="0"/>
    <n v="54708.208200000001"/>
    <n v="54708.208200000001"/>
    <n v="717285.39639999997"/>
    <m/>
  </r>
  <r>
    <x v="1"/>
    <d v="2025-05-31T00:00:00"/>
    <s v="MAY-046/25-26"/>
    <s v="Nikhila Engineering"/>
    <n v="1285"/>
    <s v="Job Work "/>
    <s v="Thermal Insulation"/>
    <n v="954.95"/>
    <n v="0.18"/>
    <n v="0"/>
    <n v="85.94550000000001"/>
    <n v="85.94550000000001"/>
    <n v="1126.8410000000001"/>
    <m/>
  </r>
  <r>
    <x v="1"/>
    <d v="2025-05-31T00:00:00"/>
    <s v="MAY-047/25-26"/>
    <s v="Sri Veerabhadraswamy Transport"/>
    <n v="153"/>
    <s v="Transportation Charges "/>
    <s v="For the month of May-2025"/>
    <n v="85050"/>
    <n v="0"/>
    <n v="0"/>
    <n v="0"/>
    <n v="0"/>
    <n v="85050"/>
    <m/>
  </r>
  <r>
    <x v="1"/>
    <d v="2025-05-31T00:00:00"/>
    <s v="MAY-048/25-26"/>
    <s v="Sri Veerabhadraswamy Transport"/>
    <n v="154"/>
    <s v="Transportation Charges "/>
    <s v="For the month of May-2025"/>
    <n v="58300"/>
    <n v="0"/>
    <n v="0"/>
    <n v="0"/>
    <n v="0"/>
    <n v="58300"/>
    <m/>
  </r>
  <r>
    <x v="2"/>
    <d v="2025-06-01T00:00:00"/>
    <s v="JUN-001/25-26"/>
    <s v="Aishwarya Security Services"/>
    <s v="Aiss/25-26/193"/>
    <s v="Security Service Charges "/>
    <s v="For the month of May-2025"/>
    <n v="60442"/>
    <n v="0"/>
    <n v="0"/>
    <n v="0"/>
    <n v="0"/>
    <n v="60442"/>
    <m/>
  </r>
  <r>
    <x v="2"/>
    <d v="2025-06-02T00:00:00"/>
    <s v="JUN-002/25-26"/>
    <s v="Neha Graphics "/>
    <n v="32"/>
    <s v="Printing Charges "/>
    <s v="A4 Size Die Punched Stickers - 10,000 Nos"/>
    <n v="40000"/>
    <n v="0"/>
    <n v="0"/>
    <n v="0"/>
    <n v="0"/>
    <n v="40000"/>
    <m/>
  </r>
  <r>
    <x v="2"/>
    <d v="2025-06-03T00:00:00"/>
    <s v="JUN-003/25-26"/>
    <s v="Bangalore Electricity Supply Company"/>
    <s v="1243199007980"/>
    <s v="Electricity Power charges "/>
    <s v="For the month of May-2025"/>
    <n v="86644.69"/>
    <n v="0"/>
    <n v="0"/>
    <n v="0"/>
    <n v="0"/>
    <n v="86644.69"/>
    <m/>
  </r>
  <r>
    <x v="2"/>
    <d v="2025-06-05T00:00:00"/>
    <s v="JUN-004/25-26"/>
    <s v="Chiru Catering"/>
    <n v="163"/>
    <s v="Catering Service charges "/>
    <s v="Evening Snacks for the month of May-25"/>
    <n v="21520"/>
    <n v="0"/>
    <n v="0"/>
    <n v="0"/>
    <n v="0"/>
    <n v="21520"/>
    <m/>
  </r>
  <r>
    <x v="2"/>
    <d v="2025-06-05T00:00:00"/>
    <s v="JUN-005/25-26"/>
    <s v="Chiru Catering"/>
    <n v="164"/>
    <s v="Catering Service charges "/>
    <s v="Evening Snacks for the month of May-25"/>
    <n v="26690"/>
    <n v="0"/>
    <n v="0"/>
    <n v="0"/>
    <n v="0"/>
    <n v="26690"/>
    <m/>
  </r>
  <r>
    <x v="2"/>
    <d v="2025-06-14T00:00:00"/>
    <s v="JUNE-006/25-26"/>
    <s v="Sri Venkateshwara Enterprises"/>
    <s v="SVE/1330/25-26"/>
    <s v="Carbon-Di-Oxide Full Cylinder"/>
    <s v="93 Kgs"/>
    <n v="2790"/>
    <n v="0.18"/>
    <n v="0"/>
    <n v="251.1"/>
    <n v="251.1"/>
    <n v="3292.2"/>
    <m/>
  </r>
  <r>
    <x v="2"/>
    <d v="2025-06-14T00:00:00"/>
    <s v="JUNE-007/25-26"/>
    <s v="Sri Udyog Integrated Services Pvt Ltd "/>
    <s v="SUI/1054"/>
    <s v="Manpower Services Charges "/>
    <s v="For the month of May-2025"/>
    <n v="493018.93"/>
    <n v="0.18"/>
    <n v="0"/>
    <n v="44371.703699999998"/>
    <n v="44371.703699999998"/>
    <n v="581762.33739999996"/>
    <m/>
  </r>
  <r>
    <x v="2"/>
    <d v="2025-06-14T00:00:00"/>
    <s v="JUNE-008/25-26"/>
    <s v="Sri Udyog Integrated Services Pvt Ltd "/>
    <s v="SUI/1055"/>
    <s v="Over Time Wages "/>
    <s v="For the month of May-2025"/>
    <n v="271985.3"/>
    <n v="0.18"/>
    <n v="0"/>
    <n v="24478.676999999996"/>
    <n v="24478.676999999996"/>
    <n v="320942.65399999998"/>
    <m/>
  </r>
  <r>
    <x v="2"/>
    <d v="2025-06-15T00:00:00"/>
    <s v="JUNE-009/25-26"/>
    <s v="Maruthi Service Station"/>
    <n v="208"/>
    <s v="Petrol Charges"/>
    <s v="Petrol 10 Ltr"/>
    <n v="1026"/>
    <n v="0"/>
    <n v="0"/>
    <n v="0"/>
    <n v="0"/>
    <n v="1026"/>
    <m/>
  </r>
  <r>
    <x v="2"/>
    <d v="2025-06-16T00:00:00"/>
    <s v="JUNE-010/25-26"/>
    <s v="Ashok Business Service India Pvt Ltd"/>
    <s v="ABSIPL/25-26/042"/>
    <s v="Manpower Services Charges "/>
    <s v="For the month of May-2025"/>
    <n v="688841"/>
    <n v="0.18"/>
    <n v="0"/>
    <n v="61995.69"/>
    <n v="61995.69"/>
    <n v="812832.37999999989"/>
    <m/>
  </r>
  <r>
    <x v="2"/>
    <d v="2025-06-20T00:00:00"/>
    <s v="JUNE-011/25-26"/>
    <s v="Shandilya Softech Pvt Ltd "/>
    <s v="INV0047-25"/>
    <s v="Legal and Law Charges"/>
    <s v="Form 26Q2, Form 24Q2 and Form"/>
    <n v="4600"/>
    <n v="0.18"/>
    <n v="0"/>
    <n v="414"/>
    <n v="414"/>
    <n v="5739"/>
    <m/>
  </r>
  <r>
    <x v="2"/>
    <d v="2025-06-21T00:00:00"/>
    <s v="JUNE-012/25-26"/>
    <s v="Sanjana Enterprises"/>
    <n v="6"/>
    <s v="Service Charges"/>
    <s v="3 Phase HTETV Meter, KGF and Malur Office expencess and Contractor fees ( Transformers )"/>
    <n v="55000"/>
    <n v="0.18"/>
    <n v="0"/>
    <n v="4950"/>
    <n v="4950"/>
    <n v="64900"/>
    <m/>
  </r>
  <r>
    <x v="2"/>
    <d v="2025-06-21T00:00:00"/>
    <s v="JUNE-013/25-26"/>
    <s v="M.S Auto Components "/>
    <n v="125"/>
    <s v="Job Work "/>
    <s v="CAM012 GSS Corner 25 MM (In Nos)"/>
    <n v="89515.8"/>
    <n v="0.28000000000000003"/>
    <n v="0"/>
    <n v="12532.212"/>
    <n v="12532.212"/>
    <n v="114580.224"/>
    <m/>
  </r>
  <r>
    <x v="2"/>
    <d v="2025-06-28T00:00:00"/>
    <s v="JUNE-014/25-26"/>
    <s v="SBM Engineering Works"/>
    <n v="374"/>
    <s v="Engineering works"/>
    <s v="Materials purchased ( MS Plates 650x310x32mm,200x50x32mm,300x200x12mm, Etc)"/>
    <n v="15000"/>
    <n v="0.18"/>
    <n v="0"/>
    <n v="1350"/>
    <n v="1350"/>
    <n v="17700"/>
    <m/>
  </r>
  <r>
    <x v="2"/>
    <d v="2025-06-28T00:00:00"/>
    <s v="JUNE-015/25-26"/>
    <s v="SBM Engineering Works"/>
    <n v="375"/>
    <s v="Engineering works"/>
    <s v="Materials purchased"/>
    <n v="21155"/>
    <n v="0.18"/>
    <n v="0"/>
    <n v="1903.95"/>
    <n v="1903.95"/>
    <n v="24962.9"/>
    <m/>
  </r>
  <r>
    <x v="2"/>
    <d v="2025-06-28T00:00:00"/>
    <s v="JUNE-016/25-26"/>
    <s v="SBM Engineering Works"/>
    <n v="376"/>
    <s v="Engineering works"/>
    <s v="Spot Welding Machine (Copper Rod Turning )"/>
    <n v="5600"/>
    <n v="0.18"/>
    <n v="0"/>
    <n v="504"/>
    <n v="504"/>
    <n v="6608"/>
    <m/>
  </r>
  <r>
    <x v="2"/>
    <d v="2025-06-30T00:00:00"/>
    <s v="JUNE-017/25-26"/>
    <s v="Suresh Travels"/>
    <s v="123/25-26"/>
    <s v="Taxi Hire Charges "/>
    <s v="For the month of June-2025"/>
    <n v="11091"/>
    <n v="0"/>
    <n v="0"/>
    <n v="0"/>
    <n v="0"/>
    <n v="11091"/>
    <m/>
  </r>
  <r>
    <x v="2"/>
    <d v="2025-06-30T00:00:00"/>
    <s v="JUNE-018/25-26"/>
    <s v="Maruthi Service Station"/>
    <n v="257"/>
    <s v="Diesel Charges "/>
    <s v="Diesel 240 Ltr"/>
    <n v="10884"/>
    <n v="0"/>
    <n v="0"/>
    <n v="0"/>
    <n v="0"/>
    <n v="10884"/>
    <m/>
  </r>
  <r>
    <x v="2"/>
    <d v="2025-06-30T00:00:00"/>
    <s v="JUNE-019/25-26"/>
    <s v="Jupiter &amp; Company"/>
    <s v="0238/2025-26"/>
    <s v="Proffessional Fees "/>
    <s v="Fees towards Preparation of EPF and ESI Challans During Calendar Month June-2025"/>
    <n v="1500"/>
    <n v="0.18"/>
    <n v="0"/>
    <n v="135"/>
    <n v="135"/>
    <n v="1770"/>
    <m/>
  </r>
  <r>
    <x v="2"/>
    <d v="2025-06-30T00:00:00"/>
    <s v="JUNE-020/25-26"/>
    <s v="Sri Venkateshwara Electricals &amp; Rewinding Works"/>
    <n v="2142"/>
    <s v="Repair Charges "/>
    <s v="2 Hp Motor Rewinding Charges"/>
    <n v="2100"/>
    <n v="0.18"/>
    <n v="0"/>
    <n v="189"/>
    <n v="189"/>
    <n v="2478"/>
    <m/>
  </r>
  <r>
    <x v="2"/>
    <d v="2025-06-30T00:00:00"/>
    <s v="JUNE-021/25-26"/>
    <s v="Sri Veerabhadraswamy Transport"/>
    <n v="166"/>
    <s v="Transportation Charges "/>
    <s v="For the month of June-2025"/>
    <n v="91200"/>
    <n v="0"/>
    <n v="0"/>
    <n v="0"/>
    <n v="0"/>
    <n v="91200"/>
    <m/>
  </r>
  <r>
    <x v="2"/>
    <d v="2025-06-30T00:00:00"/>
    <s v="JUNE-022/25-26"/>
    <s v="Sri Veerabhadraswamy Transport"/>
    <n v="167"/>
    <s v="Transportation Charges "/>
    <s v="For the month of June-2025"/>
    <n v="45450"/>
    <n v="0"/>
    <n v="0"/>
    <n v="0"/>
    <n v="0"/>
    <n v="45450"/>
    <m/>
  </r>
  <r>
    <x v="2"/>
    <d v="2025-06-30T00:00:00"/>
    <s v="JUNE-023/25-26"/>
    <s v="Sri Veerabhadraswamy Transport"/>
    <n v="168"/>
    <s v="Transportation Charges "/>
    <s v="For the month of June-2025"/>
    <n v="39800"/>
    <n v="0"/>
    <n v="0"/>
    <n v="0"/>
    <n v="0"/>
    <n v="39800"/>
    <m/>
  </r>
  <r>
    <x v="2"/>
    <d v="2025-06-30T00:00:00"/>
    <s v="JUNE-024/25-26"/>
    <s v="The Professional Couriers "/>
    <s v="HRD258689"/>
    <s v="Couriers Charges "/>
    <s v="For the month of June-2025"/>
    <n v="1749.15"/>
    <n v="0.18"/>
    <n v="0"/>
    <n v="157.42349999999999"/>
    <n v="157.42349999999999"/>
    <n v="2063.9969999999998"/>
    <m/>
  </r>
  <r>
    <x v="2"/>
    <d v="2025-06-30T00:00:00"/>
    <s v="JUNE-025/25-26"/>
    <s v="Sri Raghavendra Industries"/>
    <s v="188/2025-2026"/>
    <s v="Job Work "/>
    <s v="Material Purchased (Cyl Arm Pin, Cyl Adaptor Block and ARM MTG Weldment)"/>
    <n v="120959"/>
    <n v="0.18"/>
    <n v="0"/>
    <n v="10886.31"/>
    <n v="10886.31"/>
    <n v="142731.62"/>
    <m/>
  </r>
  <r>
    <x v="2"/>
    <d v="2025-06-30T00:00:00"/>
    <s v="JUNE-026/25-26"/>
    <s v="Nikhila Engineering"/>
    <n v="1288"/>
    <s v="Job Work "/>
    <s v="Thermal Insulation, Acoustic Insulation and Insulation without beading (In Sqm)"/>
    <n v="181336.67"/>
    <n v="0.18"/>
    <n v="0"/>
    <n v="16320.300300000001"/>
    <n v="16320.300300000001"/>
    <n v="213977.27060000002"/>
    <m/>
  </r>
  <r>
    <x v="2"/>
    <d v="2025-06-30T00:00:00"/>
    <s v="JUNE-027/25-26"/>
    <s v="Nikhila Engineering"/>
    <n v="1289"/>
    <s v="Job Work "/>
    <s v="Thermal Insulation "/>
    <n v="6953.65"/>
    <n v="0.18"/>
    <n v="0"/>
    <n v="625.82849999999996"/>
    <n v="625.82849999999996"/>
    <n v="8205.3069999999989"/>
    <m/>
  </r>
  <r>
    <x v="2"/>
    <d v="2025-06-30T00:00:00"/>
    <s v="JUNE-028/25-26"/>
    <s v="Nikhila Engineering"/>
    <n v="1290"/>
    <s v="Job Work "/>
    <s v="Thermal Insulation and Acoustic Insulation "/>
    <n v="960.33"/>
    <n v="0.18"/>
    <n v="0"/>
    <n v="86.429700000000011"/>
    <n v="86.429700000000011"/>
    <n v="1133.1894"/>
    <m/>
  </r>
  <r>
    <x v="2"/>
    <d v="2025-06-30T00:00:00"/>
    <s v="JUNE-029/25-26"/>
    <s v="Nikhila Engineering"/>
    <n v="1291"/>
    <s v="Job Work "/>
    <s v="Thermal Insulation and Acoustic Insulation "/>
    <n v="3868.22"/>
    <n v="0.18"/>
    <n v="0"/>
    <n v="348.13979999999998"/>
    <n v="348.13979999999998"/>
    <n v="4564.4996000000001"/>
    <m/>
  </r>
  <r>
    <x v="2"/>
    <d v="2025-06-30T00:00:00"/>
    <s v="JUNE-030/25-26"/>
    <s v="Nikhila Engineering"/>
    <n v="1292"/>
    <s v="Job Work "/>
    <s v="Thermal Insulation , Acoustic Insualtio and Acoustic Insualtion without beading "/>
    <n v="156445.01999999999"/>
    <n v="0.18"/>
    <n v="0"/>
    <n v="14080.051799999999"/>
    <n v="14080.051799999999"/>
    <n v="184605.12359999996"/>
    <m/>
  </r>
  <r>
    <x v="2"/>
    <d v="2025-06-30T00:00:00"/>
    <s v="JUNE-031/25-26"/>
    <s v="Nikhila Engineering"/>
    <n v="1293"/>
    <s v="Job Work "/>
    <s v="Thermal Insulation , Acoustic Insualtio and Acoustic Insualtion without beading "/>
    <n v="365880.35"/>
    <n v="0.18"/>
    <n v="0"/>
    <n v="32929.231500000002"/>
    <n v="32929.231500000002"/>
    <n v="431738.81299999997"/>
    <m/>
  </r>
  <r>
    <x v="2"/>
    <d v="2025-06-30T00:00:00"/>
    <s v="JUNE-032/25-26"/>
    <s v="Nikhila Engineering"/>
    <n v="1294"/>
    <s v="Job Work "/>
    <s v="Thermal Insulation, Acoustic Insulation and Acoustic Insulation without beading "/>
    <n v="154976.28"/>
    <n v="0.18"/>
    <n v="0"/>
    <n v="13947.8652"/>
    <n v="13947.8652"/>
    <n v="182872.0104"/>
    <m/>
  </r>
  <r>
    <x v="2"/>
    <d v="2025-06-30T00:00:00"/>
    <s v="JUNE-033/25-26"/>
    <s v="Nikhila Engineering"/>
    <n v="1295"/>
    <s v="Job Work "/>
    <s v="Thermal Insulatin and Acoustic Insulation "/>
    <n v="14998.9"/>
    <n v="0.18"/>
    <n v="0"/>
    <n v="1349.9010000000001"/>
    <n v="1349.9010000000001"/>
    <n v="17698.702000000001"/>
    <m/>
  </r>
  <r>
    <x v="2"/>
    <d v="2025-06-30T00:00:00"/>
    <s v="JUNE-034/25-26"/>
    <s v="Nikhila Engineering"/>
    <n v="1296"/>
    <s v="Job Work "/>
    <s v="Thermal Insulation "/>
    <n v="12414.35"/>
    <n v="0.18"/>
    <n v="0"/>
    <n v="1117.2915"/>
    <n v="1117.2915"/>
    <n v="14648.932999999999"/>
    <m/>
  </r>
  <r>
    <x v="2"/>
    <d v="2025-06-30T00:00:00"/>
    <s v="JUNE-035/25-26"/>
    <s v="Nikhila Engineering"/>
    <n v="1297"/>
    <s v="Job Work "/>
    <s v="Thermal Insulatin and Acoustic Insulation "/>
    <n v="93125.65"/>
    <n v="0.18"/>
    <n v="0"/>
    <n v="8381.3084999999992"/>
    <n v="8381.3084999999992"/>
    <n v="109888.26699999999"/>
    <m/>
  </r>
  <r>
    <x v="2"/>
    <d v="2025-06-30T00:00:00"/>
    <s v="JUNE-036/25-26"/>
    <s v="Nikhila Engineering"/>
    <n v="1298"/>
    <s v="Job Work "/>
    <s v="Thermal Insulatin and Acoustic Insulation "/>
    <n v="75385.64"/>
    <n v="0.18"/>
    <n v="0"/>
    <n v="6784.7075999999997"/>
    <n v="6784.7075999999997"/>
    <n v="88955.055199999988"/>
    <m/>
  </r>
  <r>
    <x v="2"/>
    <d v="2025-06-30T00:00:00"/>
    <s v="JUNE-037/25-26"/>
    <s v="Nikhila Engineering"/>
    <n v="1299"/>
    <s v="Job Work "/>
    <s v="Thermal Insulation "/>
    <n v="24210"/>
    <n v="0.18"/>
    <n v="0"/>
    <n v="2178.9"/>
    <n v="2178.9"/>
    <n v="28567.800000000003"/>
    <m/>
  </r>
  <r>
    <x v="2"/>
    <d v="2025-06-30T00:00:00"/>
    <s v="JUNE-038/25-26"/>
    <s v="Nikhila Engineering"/>
    <n v="1300"/>
    <s v="Job Work "/>
    <s v="Acoustic Insulation "/>
    <n v="21527.53"/>
    <n v="0.18"/>
    <n v="0"/>
    <n v="1937.4776999999999"/>
    <n v="1937.4776999999999"/>
    <n v="25402.485399999998"/>
    <m/>
  </r>
  <r>
    <x v="2"/>
    <d v="2025-06-30T00:00:00"/>
    <s v="JUNE-039/25-26"/>
    <s v="Nikhila Engineering"/>
    <n v="1301"/>
    <s v="Job Work "/>
    <s v="Acoustic Insulation "/>
    <n v="1426.78"/>
    <n v="0.18"/>
    <n v="0"/>
    <n v="128.4102"/>
    <n v="128.4102"/>
    <n v="1683.6004"/>
    <m/>
  </r>
  <r>
    <x v="2"/>
    <d v="2025-06-30T00:00:00"/>
    <s v="JUNE-040/25-26"/>
    <s v="Nikhila Engineering"/>
    <n v="1302"/>
    <s v="Job Work "/>
    <s v="Thermal Insulation "/>
    <n v="11513.2"/>
    <n v="0.18"/>
    <n v="0"/>
    <n v="1036.1880000000001"/>
    <n v="1036.1880000000001"/>
    <n v="13585.576000000001"/>
    <m/>
  </r>
  <r>
    <x v="2"/>
    <d v="2025-06-17T00:00:00"/>
    <s v="JUNE-041/25-26"/>
    <s v="Bangalore Electricity Supply Company"/>
    <s v="1243199008937"/>
    <s v="Electricity Power charges "/>
    <s v="For the month of June-2025"/>
    <n v="92497"/>
    <n v="0"/>
    <n v="0"/>
    <n v="0"/>
    <n v="0"/>
    <n v="92497"/>
    <m/>
  </r>
  <r>
    <x v="2"/>
    <d v="2025-06-29T00:00:00"/>
    <s v="JUNE-042/25-26"/>
    <s v="R.G Hotels &amp; Resort"/>
    <n v="1296"/>
    <s v="Lodging Charges"/>
    <s v="Room /Food  Rent for Mr.Deepak &amp; Mr.Jagadish (28-06-25 to 29-06-2025)"/>
    <n v="3125"/>
    <n v="0.06"/>
    <n v="0"/>
    <n v="187.5"/>
    <n v="187.5"/>
    <n v="4424"/>
    <m/>
  </r>
  <r>
    <x v="2"/>
    <d v="2025-06-29T00:00:00"/>
    <s v="JUNE-043/25-26"/>
    <s v="R.G Hotels &amp; Resort"/>
    <n v="1295"/>
    <s v="Lodging Charges"/>
    <s v="Room rent for Mr.Deepak and Mr.Umesh (28-06-2025 to 29-06-2025)"/>
    <n v="3125"/>
    <n v="0.06"/>
    <n v="0"/>
    <n v="187.5"/>
    <n v="187.5"/>
    <n v="3500"/>
    <m/>
  </r>
  <r>
    <x v="3"/>
    <d v="2025-07-01T00:00:00"/>
    <s v="JULY-001/25-26"/>
    <s v="Aishwarya Security Services"/>
    <s v="Aiss/25-26/376"/>
    <s v="Security Service Charges "/>
    <s v="For the moth of June-2025"/>
    <n v="58470"/>
    <n v="0"/>
    <n v="0"/>
    <n v="0"/>
    <n v="0"/>
    <n v="58470"/>
    <m/>
  </r>
  <r>
    <x v="3"/>
    <d v="2025-07-01T00:00:00"/>
    <s v="JULY-002/25-26"/>
    <s v="Cartridge Plus "/>
    <n v="3641"/>
    <s v="Printing Charges "/>
    <s v="Cartridge Refilling 5 Nos"/>
    <n v="5200"/>
    <n v="0.18"/>
    <n v="0"/>
    <n v="468"/>
    <n v="468"/>
    <n v="6136"/>
    <m/>
  </r>
  <r>
    <x v="3"/>
    <d v="2025-07-03T00:00:00"/>
    <s v="JULY-003/25-26"/>
    <s v="Ashok Business Service India Pvt Ltd"/>
    <s v="ABSIPL/25-26/064"/>
    <s v="Manpower Services Charges "/>
    <s v="For the month of June-2025"/>
    <n v="745535"/>
    <n v="0.18"/>
    <n v="0"/>
    <n v="67098.149999999994"/>
    <n v="67098.149999999994"/>
    <n v="879731.3"/>
    <m/>
  </r>
  <r>
    <x v="3"/>
    <d v="2025-07-03T00:00:00"/>
    <s v="JULY-004/25-26"/>
    <s v="Brother's Allied Services"/>
    <n v="379"/>
    <s v="Security Service Charges "/>
    <s v="For the month of June-2025"/>
    <n v="48692"/>
    <n v="0.18"/>
    <n v="0"/>
    <n v="4382.28"/>
    <n v="4382.28"/>
    <n v="57456.56"/>
    <m/>
  </r>
  <r>
    <x v="3"/>
    <d v="2025-07-07T00:00:00"/>
    <s v="JULY-005/25-26"/>
    <s v="SBS Industries"/>
    <s v="SBSI/25-26/059"/>
    <s v="Repair &amp; Maintenance Charges "/>
    <s v="Cornamatic Piping work and Labour charges "/>
    <n v="25000"/>
    <n v="0.18"/>
    <n v="0"/>
    <n v="2250"/>
    <n v="2250"/>
    <n v="29500"/>
    <m/>
  </r>
  <r>
    <x v="3"/>
    <d v="2025-07-08T00:00:00"/>
    <s v="JULY-006/25-26"/>
    <s v="SBS Industries"/>
    <s v="SBSI/25-26/060"/>
    <s v="Repair &amp; Maintenance Charges "/>
    <s v="Hydraulic Cooler 250 LPM Capcity, Fitting 11/2*1 1/2 Nipple, Hydraulic Hose &amp; Labour charges "/>
    <n v="68950"/>
    <n v="0.18"/>
    <n v="0"/>
    <n v="6205.5"/>
    <n v="6205.5"/>
    <n v="81361"/>
    <m/>
  </r>
  <r>
    <x v="3"/>
    <d v="2025-07-09T00:00:00"/>
    <s v="JULY-007/25-26"/>
    <s v="Sri Manjunath Enterprieses"/>
    <n v="566"/>
    <s v="Aluminum Fabrication charges "/>
    <s v="Security Room Aluminum frame Fabrication work "/>
    <n v="27162"/>
    <n v="0.18"/>
    <n v="0"/>
    <n v="2444.58"/>
    <n v="2444.58"/>
    <n v="32051.160000000003"/>
    <m/>
  </r>
  <r>
    <x v="3"/>
    <d v="2025-07-11T00:00:00"/>
    <s v="JULY-008/25-26"/>
    <s v="M.S Auto Components "/>
    <n v="164"/>
    <s v="Job Work "/>
    <s v="CAM012 GSS Corner 32 MM (In Nos)"/>
    <n v="67919.399999999994"/>
    <n v="0.18"/>
    <n v="0"/>
    <n v="6112.7460000000001"/>
    <n v="6112.7460000000001"/>
    <n v="80144.891999999993"/>
    <m/>
  </r>
  <r>
    <x v="3"/>
    <d v="2025-07-09T00:00:00"/>
    <s v="JULY-009/25-26"/>
    <s v="Trident Automobiles Pvt Ltd"/>
    <s v="B202511886"/>
    <s v="Repair and Maintanance Charges"/>
    <s v="Car Repair Charges"/>
    <n v="13019"/>
    <n v="0"/>
    <n v="0"/>
    <n v="0"/>
    <n v="0"/>
    <n v="13019"/>
    <m/>
  </r>
  <r>
    <x v="3"/>
    <d v="2025-07-10T00:00:00"/>
    <s v="JULY-010/25-26"/>
    <s v="Sri Udyog Integrated Services Pvt Ltd "/>
    <s v="SUI/1096"/>
    <s v="Manpower Services Charges "/>
    <s v="For the month of June-2025"/>
    <n v="501234.75"/>
    <n v="0.18"/>
    <n v="0"/>
    <n v="45111.127500000002"/>
    <n v="45111.127500000002"/>
    <n v="591457.00499999989"/>
    <m/>
  </r>
  <r>
    <x v="3"/>
    <d v="2025-07-10T00:00:00"/>
    <s v="JULY-011/25-26"/>
    <s v="Sri Udyog Integrated Services Pvt Ltd "/>
    <s v="SUI/1097"/>
    <s v="Over Time Wages "/>
    <s v="For the month of June-2025"/>
    <n v="99267.96"/>
    <n v="0.18"/>
    <n v="0"/>
    <n v="8934.1164000000008"/>
    <n v="8934.1164000000008"/>
    <n v="117136.1928"/>
    <m/>
  </r>
  <r>
    <x v="3"/>
    <d v="2025-07-15T00:00:00"/>
    <s v="JULY-012/25-26"/>
    <s v="Maruthi Service Station"/>
    <s v="00302"/>
    <s v="Diesel Charges "/>
    <s v="Diesel 240 Ltr"/>
    <n v="21768"/>
    <n v="0"/>
    <m/>
    <n v="0"/>
    <n v="0"/>
    <n v="21768"/>
    <m/>
  </r>
  <r>
    <x v="3"/>
    <d v="2025-07-17T00:00:00"/>
    <s v="JULY-013/25-26"/>
    <s v="Sri Venkateshwara Enterprises"/>
    <s v="SVE/1933/25-26"/>
    <s v="Carbon-Di-Oxide Full Cylinder"/>
    <s v="107 Kgs"/>
    <n v="3210"/>
    <n v="0.18"/>
    <n v="0"/>
    <n v="288.89999999999998"/>
    <n v="288.89999999999998"/>
    <n v="3787.8"/>
    <m/>
  </r>
  <r>
    <x v="3"/>
    <d v="2025-07-15T00:00:00"/>
    <s v="JULY-014/25-26"/>
    <s v="Sri Bhagyalakshmi Earth Movers"/>
    <n v="843"/>
    <s v="Loading &amp; Un Loading Charges "/>
    <s v="Camduct Factory Insulation Scrap Loading and Un Loading Charges "/>
    <n v="18700"/>
    <n v="0"/>
    <n v="0"/>
    <n v="0"/>
    <n v="0"/>
    <n v="18700"/>
    <m/>
  </r>
  <r>
    <x v="3"/>
    <d v="2025-07-11T00:00:00"/>
    <s v="JULY-015/25-26"/>
    <s v="Big C Technologies Pvt Ltd"/>
    <s v="BCT/25-26/974"/>
    <s v="Software Renewal Charges "/>
    <s v="Software Microsoft Office 365 Business Basic Subscriptions"/>
    <n v="15400"/>
    <n v="0.18"/>
    <n v="0"/>
    <n v="1386"/>
    <n v="1386"/>
    <n v="18172"/>
    <m/>
  </r>
  <r>
    <x v="3"/>
    <d v="2025-07-17T00:00:00"/>
    <s v="JULY-016/25-26"/>
    <s v="Trade Wings Limited"/>
    <s v="K2506260"/>
    <s v="Travel Expences"/>
    <s v="Flight Ticket Expenses Blr to HYD (9751) and 600*18% GST ( Mr. Mani )"/>
    <n v="10459"/>
    <n v="0.18"/>
    <n v="0"/>
    <n v="0"/>
    <n v="0"/>
    <n v="10459"/>
    <m/>
  </r>
  <r>
    <x v="3"/>
    <d v="2025-07-21T00:00:00"/>
    <s v="JULY-017/25-26"/>
    <s v="Trade Wings Limited"/>
    <s v="K2506427"/>
    <s v="Travel Expences"/>
    <s v="Flight Ticket Expenses Blr to Del (4955) and 300*18% GST ( Mr. Deepak  )"/>
    <n v="5309"/>
    <n v="0.18"/>
    <n v="0"/>
    <n v="0"/>
    <n v="0"/>
    <n v="5309"/>
    <m/>
  </r>
  <r>
    <x v="3"/>
    <d v="2025-07-21T00:00:00"/>
    <s v="JULY-018/25-26"/>
    <s v="Trade Wings Limited"/>
    <s v="K2506428"/>
    <s v="Travel Expences"/>
    <s v="Flight Ticket Expenses Del to Blr (7416) and 300*18% GST ( Mr. Deepak  )"/>
    <n v="7770"/>
    <n v="0.18"/>
    <n v="0"/>
    <n v="0"/>
    <n v="0"/>
    <n v="7770"/>
    <m/>
  </r>
  <r>
    <x v="3"/>
    <d v="2025-07-28T00:00:00"/>
    <s v="JULY-019/25-26"/>
    <s v="Trade Wings Limited"/>
    <s v="K2506911"/>
    <s v="Travel Expences"/>
    <s v="Flight Ticket Expenses Blr to Del (18170) and 600*18% GST ( Mr. Dinesh R )"/>
    <n v="18878"/>
    <n v="0.18"/>
    <n v="0"/>
    <n v="0"/>
    <n v="0"/>
    <n v="18878"/>
    <m/>
  </r>
  <r>
    <x v="3"/>
    <d v="2025-07-26T00:00:00"/>
    <s v="JULY-020/25-26"/>
    <s v="M.S Auto Components "/>
    <n v="179"/>
    <s v="Job Work "/>
    <s v="CAM012 GSS Corner 32 MM (In Nos)"/>
    <n v="60102"/>
    <n v="0.18"/>
    <n v="0"/>
    <n v="5409.18"/>
    <n v="5409.18"/>
    <n v="70920.36"/>
    <m/>
  </r>
  <r>
    <x v="3"/>
    <d v="2025-07-30T00:00:00"/>
    <s v="JULY-021/25-26"/>
    <s v="Neha Graphics "/>
    <n v="53"/>
    <s v="Printing Charges "/>
    <s v="Inwords Goods Receipt - 5 Books "/>
    <n v="1500"/>
    <n v="0"/>
    <n v="0"/>
    <n v="0"/>
    <m/>
    <n v="1500"/>
    <m/>
  </r>
  <r>
    <x v="3"/>
    <d v="2025-07-31T00:00:00"/>
    <s v="JULY-022/25-26"/>
    <s v="Maruthi Service Station"/>
    <n v="347"/>
    <s v="Diesel Charges "/>
    <s v="Diesel 120 Ltr"/>
    <n v="25396"/>
    <n v="0"/>
    <n v="0"/>
    <n v="0"/>
    <n v="0"/>
    <n v="25396"/>
    <m/>
  </r>
  <r>
    <x v="3"/>
    <d v="2025-07-31T00:00:00"/>
    <s v="JULY-023/25-26"/>
    <s v="Jupiter &amp; Company"/>
    <s v="0348/2025-26"/>
    <s v="Proffessional Fees "/>
    <s v="Fees Towards Preparation of EPF &amp; ESI Challans During Calender Month July-2025"/>
    <n v="1500"/>
    <n v="0.18"/>
    <n v="0"/>
    <n v="135"/>
    <n v="135"/>
    <n v="1770"/>
    <m/>
  </r>
  <r>
    <x v="3"/>
    <d v="2025-07-31T00:00:00"/>
    <s v="JULY-024/25-26"/>
    <s v="Sri Veerabhadraswamy Transport"/>
    <n v="188"/>
    <s v="Transportation Charges "/>
    <s v="For the month of July-2025"/>
    <n v="109400"/>
    <n v="0"/>
    <n v="0"/>
    <n v="0"/>
    <n v="0"/>
    <n v="109400"/>
    <m/>
  </r>
  <r>
    <x v="3"/>
    <d v="2025-07-31T00:00:00"/>
    <s v="JULY-025/25-26"/>
    <s v="Sri Veerabhadraswamy Transport"/>
    <n v="189"/>
    <s v="Transportation Charges "/>
    <s v="For the month of July-2025"/>
    <n v="54900"/>
    <n v="0"/>
    <n v="0"/>
    <n v="0"/>
    <n v="0"/>
    <n v="54900"/>
    <m/>
  </r>
  <r>
    <x v="3"/>
    <d v="2025-07-15T00:00:00"/>
    <s v="JULY-026/25-26"/>
    <s v="New Mataji Electricals"/>
    <n v="7304"/>
    <s v="Electrical Items"/>
    <s v="Electrical Repair Work"/>
    <n v="1666"/>
    <n v="0.18"/>
    <n v="0"/>
    <n v="149.94"/>
    <n v="149.94"/>
    <n v="1965.88"/>
    <m/>
  </r>
  <r>
    <x v="3"/>
    <d v="2025-07-31T00:00:00"/>
    <s v="JULY-027/25-26"/>
    <s v="The Professional Couriers "/>
    <s v="HRD2512386"/>
    <s v="Couriers Charges "/>
    <s v="For the month of July-2025"/>
    <n v="1749.15"/>
    <n v="0.18"/>
    <n v="0"/>
    <n v="157.42349999999999"/>
    <n v="157.42349999999999"/>
    <n v="2063.9969999999998"/>
    <m/>
  </r>
  <r>
    <x v="4"/>
    <d v="2025-08-01T00:00:00"/>
    <s v="AUG-001/25-26"/>
    <s v="SME Network"/>
    <s v="613/GST/25-26"/>
    <s v="Consultancy Fees"/>
    <s v="Management Consultancy - Udyam Registration "/>
    <n v="1000"/>
    <n v="0.18"/>
    <n v="0"/>
    <n v="90"/>
    <n v="90"/>
    <n v="1180"/>
    <m/>
  </r>
  <r>
    <x v="4"/>
    <d v="2025-08-02T00:00:00"/>
    <s v="AUG-002/25-26"/>
    <s v="Cartridge Plus "/>
    <n v="3802"/>
    <s v="Printing Charges "/>
    <s v="Cartridge Refilling 7 Nos"/>
    <n v="6700"/>
    <n v="0.18"/>
    <n v="0"/>
    <n v="603"/>
    <n v="603"/>
    <n v="7906"/>
    <m/>
  </r>
  <r>
    <x v="4"/>
    <d v="2025-08-02T00:00:00"/>
    <s v="AUG-003/25-26"/>
    <s v="BAS Staffing Solutions Pvt Ltd"/>
    <n v="439"/>
    <s v="Security Service Charges "/>
    <s v="For the month of July-2025"/>
    <n v="149584"/>
    <n v="0.18"/>
    <n v="0"/>
    <n v="13462.56"/>
    <n v="13462.56"/>
    <n v="176509.12"/>
    <m/>
  </r>
  <r>
    <x v="4"/>
    <d v="2025-08-04T00:00:00"/>
    <s v="AUG-004/25-26"/>
    <s v="Likith Enterprises"/>
    <s v="L019"/>
    <s v="Job Work "/>
    <s v="Parking Tiels fixing Work"/>
    <n v="38000"/>
    <n v="0.18"/>
    <n v="0"/>
    <n v="3420"/>
    <n v="3420"/>
    <n v="44840"/>
    <m/>
  </r>
  <r>
    <x v="4"/>
    <d v="2025-08-04T00:00:00"/>
    <s v="AUG-005/25-26"/>
    <s v="Sri Udyog Integrated Services Pvt Ltd "/>
    <s v="SUI/1134"/>
    <s v="Manpower Services Charges "/>
    <s v="Arrears for the Month of April, May &amp; June - 2025"/>
    <n v="133313"/>
    <n v="0.18"/>
    <n v="0"/>
    <n v="11998.17"/>
    <n v="11998.17"/>
    <n v="157309.34000000003"/>
    <m/>
  </r>
  <r>
    <x v="4"/>
    <d v="2025-08-04T00:00:00"/>
    <s v="AUG-006/25-26"/>
    <s v="Sri Udyog Integrated Services Pvt Ltd "/>
    <s v="SUI/1135"/>
    <s v="Over Time Wages "/>
    <s v="For the month of April, May and June - 2025"/>
    <n v="31187"/>
    <n v="0.18"/>
    <n v="0"/>
    <n v="2806.83"/>
    <n v="2806.83"/>
    <n v="36800.660000000003"/>
    <m/>
  </r>
  <r>
    <x v="4"/>
    <d v="2025-08-03T00:00:00"/>
    <s v="AUG-007/25-26"/>
    <s v="Bangalore Electricity Supply Company"/>
    <s v="1243199011478"/>
    <s v="Electricity Power charges "/>
    <s v="For the month of July-2025"/>
    <n v="252254"/>
    <n v="0"/>
    <n v="0"/>
    <n v="0"/>
    <n v="0"/>
    <n v="252254"/>
    <m/>
  </r>
  <r>
    <x v="4"/>
    <d v="2025-08-04T00:00:00"/>
    <s v="AUG-008/25-26"/>
    <s v="Ashok Business Service India Pvt Ltd"/>
    <s v="ABSIPL/25-26/088"/>
    <s v="Manpower Services Charges "/>
    <s v="For the month of July-2025"/>
    <n v="667679"/>
    <n v="0.18"/>
    <n v="0"/>
    <n v="60091.11"/>
    <n v="60091.11"/>
    <n v="787861.22"/>
    <m/>
  </r>
  <r>
    <x v="4"/>
    <d v="2025-08-04T00:00:00"/>
    <s v="AUG-009/25-26"/>
    <s v="Ashok Business Service India Pvt Ltd"/>
    <s v="ABSIPL/25-26/089"/>
    <s v="Manpower Services Charges "/>
    <s v="For the month of July-2025"/>
    <n v="107042"/>
    <n v="0.18"/>
    <n v="0"/>
    <n v="9633.7800000000007"/>
    <n v="9633.7800000000007"/>
    <n v="126309.56"/>
    <m/>
  </r>
  <r>
    <x v="4"/>
    <d v="2025-08-06T00:00:00"/>
    <s v="AUG-010/25-26"/>
    <s v="Arkance IN Private Limited"/>
    <n v="252631063"/>
    <s v="Printer Charges "/>
    <s v="Purchase of Printer HP DNJ T230 24"/>
    <n v="21100"/>
    <n v="0.18"/>
    <n v="0"/>
    <n v="1899"/>
    <n v="1899"/>
    <n v="24898"/>
    <m/>
  </r>
  <r>
    <x v="4"/>
    <d v="2025-08-09T00:00:00"/>
    <s v="AUG-011/25-26"/>
    <s v="Sri Raghavendra Industries"/>
    <s v="313/2025-2026"/>
    <s v="Job Work "/>
    <s v="Purchase of 2024-05-00-02-ARM Adaptor (Material-MS With Material) 1 Nos"/>
    <n v="122185"/>
    <n v="0.18"/>
    <n v="0"/>
    <n v="10996.65"/>
    <n v="10996.65"/>
    <n v="144178.29999999999"/>
    <m/>
  </r>
  <r>
    <x v="4"/>
    <d v="2025-08-11T00:00:00"/>
    <s v="AUG-012/25-26"/>
    <s v="Nikhila Engineering"/>
    <n v="1308"/>
    <s v="Job Work "/>
    <s v="Thermal Insulation and Acoustic Insulation"/>
    <n v="80262.070000000007"/>
    <n v="0.18"/>
    <n v="0"/>
    <n v="7223.5863000000008"/>
    <n v="7223.5863000000008"/>
    <n v="94709.242599999998"/>
    <m/>
  </r>
  <r>
    <x v="4"/>
    <d v="2025-08-11T00:00:00"/>
    <s v="AUG-013/25-26"/>
    <s v="Nikhila Engineering"/>
    <n v="1309"/>
    <s v="Job Work "/>
    <s v="Thermal Insulation and Acoustic Insulation"/>
    <n v="18134.900000000001"/>
    <n v="0.18"/>
    <n v="0"/>
    <n v="1632.1410000000001"/>
    <n v="1632.1410000000001"/>
    <n v="21399.182000000001"/>
    <m/>
  </r>
  <r>
    <x v="4"/>
    <d v="2025-08-11T00:00:00"/>
    <s v="AUG-014/25-26"/>
    <s v="Nikhila Engineering"/>
    <n v="1310"/>
    <s v="Job Work "/>
    <s v="Thermal Insulation , Acoustic Insualtio and Acoustic Insualtion without beading "/>
    <n v="185972.61"/>
    <n v="0.18"/>
    <n v="0"/>
    <n v="16737.534899999999"/>
    <n v="16737.534899999999"/>
    <n v="219447.67979999998"/>
    <m/>
  </r>
  <r>
    <x v="4"/>
    <d v="2025-08-11T00:00:00"/>
    <s v="AUG-015/25-26"/>
    <s v="Nikhila Engineering"/>
    <n v="1311"/>
    <s v="Job Work "/>
    <s v="Thermal Insulation and Acoustic Insulation "/>
    <n v="18388.84"/>
    <n v="0.18"/>
    <n v="0"/>
    <n v="1654.9956"/>
    <n v="1654.9956"/>
    <n v="21698.831199999997"/>
    <m/>
  </r>
  <r>
    <x v="4"/>
    <d v="2025-08-11T00:00:00"/>
    <s v="AUG-016/25-26"/>
    <s v="Nikhila Engineering"/>
    <n v="1312"/>
    <s v="Job Work "/>
    <s v="Thermal Insulation and Acoustic Insulation "/>
    <n v="18133.29"/>
    <n v="0.18"/>
    <n v="0"/>
    <n v="1631.9961000000001"/>
    <n v="1631.9961000000001"/>
    <n v="21397.282200000001"/>
    <m/>
  </r>
  <r>
    <x v="4"/>
    <d v="2025-08-11T00:00:00"/>
    <s v="AUG-017/25-26"/>
    <s v="Nikhila Engineering"/>
    <n v="1313"/>
    <s v="Job Work "/>
    <s v="Thermal Insulation"/>
    <n v="295.89999999999998"/>
    <n v="0.18"/>
    <n v="0"/>
    <n v="26.631"/>
    <n v="26.631"/>
    <n v="349.16199999999992"/>
    <m/>
  </r>
  <r>
    <x v="4"/>
    <d v="2025-08-11T00:00:00"/>
    <s v="AUG-018/25-26"/>
    <s v="Nikhila Engineering"/>
    <n v="1314"/>
    <s v="Job Work "/>
    <s v="Thermal Insulation and Acoustic Insulation "/>
    <n v="4464.8599999999997"/>
    <n v="0.18"/>
    <n v="0"/>
    <n v="401.8374"/>
    <n v="401.8374"/>
    <n v="5268.5348000000004"/>
    <m/>
  </r>
  <r>
    <x v="4"/>
    <d v="2025-08-11T00:00:00"/>
    <s v="AUG-019/25-26"/>
    <s v="Nikhila Engineering"/>
    <n v="1315"/>
    <s v="Job Work "/>
    <s v="Thermal Insulation and Acoustic Insulation "/>
    <n v="6859.5"/>
    <n v="0.18"/>
    <n v="0"/>
    <n v="617.35500000000002"/>
    <n v="617.35500000000002"/>
    <n v="8094.2099999999991"/>
    <m/>
  </r>
  <r>
    <x v="4"/>
    <d v="2025-08-11T00:00:00"/>
    <s v="AUG-020/25-26"/>
    <s v="Nikhila Engineering"/>
    <n v="1316"/>
    <s v="Job Work "/>
    <s v="Thermal Insulation And Acoustic Insulation without beading "/>
    <n v="92751.2"/>
    <n v="0.18"/>
    <n v="0"/>
    <n v="8347.6080000000002"/>
    <n v="8347.6080000000002"/>
    <n v="109446.416"/>
    <m/>
  </r>
  <r>
    <x v="4"/>
    <d v="2025-08-11T00:00:00"/>
    <s v="AUG-021/25-26"/>
    <s v="Nikhila Engineering"/>
    <n v="1317"/>
    <s v="Job Work "/>
    <s v="Thermal Insulation and Acoustic Insulation"/>
    <n v="41081.14"/>
    <n v="0.18"/>
    <n v="0"/>
    <n v="3697.3026"/>
    <n v="3697.3026"/>
    <n v="48475.745200000005"/>
    <m/>
  </r>
  <r>
    <x v="4"/>
    <d v="2025-08-11T00:00:00"/>
    <s v="AUG-022/25-26"/>
    <s v="Nikhila Engineering"/>
    <n v="1318"/>
    <s v="Job Work "/>
    <s v="Thermal Insulation "/>
    <n v="2918.65"/>
    <n v="0.18"/>
    <n v="0"/>
    <n v="262.67850000000004"/>
    <n v="262.67850000000004"/>
    <n v="3444.0070000000001"/>
    <m/>
  </r>
  <r>
    <x v="4"/>
    <d v="2025-08-11T00:00:00"/>
    <s v="AUG-023/25-26"/>
    <s v="Nikhila Engineering"/>
    <n v="1319"/>
    <s v="Job Work "/>
    <s v="Thermal Insulation and Acoustic Insulation "/>
    <n v="9416.61"/>
    <n v="0.18"/>
    <n v="0"/>
    <n v="847.49490000000003"/>
    <n v="847.49490000000003"/>
    <n v="11111.5998"/>
    <m/>
  </r>
  <r>
    <x v="4"/>
    <d v="2025-08-11T00:00:00"/>
    <s v="AUG-024/25-26"/>
    <s v="Nikhila Engineering"/>
    <n v="1320"/>
    <s v="Job Work "/>
    <s v="Thermal Insulation "/>
    <n v="3725.65"/>
    <n v="0.18"/>
    <n v="0"/>
    <n v="335.30849999999998"/>
    <n v="335.30849999999998"/>
    <n v="4396.2669999999998"/>
    <m/>
  </r>
  <r>
    <x v="4"/>
    <d v="2025-08-11T00:00:00"/>
    <s v="AUG-025/25-26"/>
    <s v="Nikhila Engineering"/>
    <n v="1321"/>
    <s v="Job Work "/>
    <s v="Thermal Insulation "/>
    <n v="101197.8"/>
    <n v="0.18"/>
    <n v="0"/>
    <n v="9107.8020000000015"/>
    <n v="9107.8020000000015"/>
    <n v="119413.40399999999"/>
    <m/>
  </r>
  <r>
    <x v="4"/>
    <d v="2025-08-11T00:00:00"/>
    <s v="AUG-026/25-26"/>
    <s v="Nikhila Engineering"/>
    <n v="1322"/>
    <s v="Job Work "/>
    <s v="Thermal Insulation "/>
    <n v="8029.65"/>
    <n v="0.18"/>
    <n v="0"/>
    <n v="722.66849999999988"/>
    <n v="722.66849999999988"/>
    <n v="9474.9869999999992"/>
    <m/>
  </r>
  <r>
    <x v="4"/>
    <d v="2025-08-11T00:00:00"/>
    <s v="AUG-027/25-26"/>
    <s v="Nikhila Engineering"/>
    <n v="1323"/>
    <s v="Job Work "/>
    <s v="Thermal Insulation and Acoustic Insulation "/>
    <n v="16499.38"/>
    <n v="0.18"/>
    <n v="0"/>
    <n v="1484.9442000000001"/>
    <n v="1484.9442000000001"/>
    <n v="19469.268400000004"/>
    <m/>
  </r>
  <r>
    <x v="4"/>
    <d v="2025-08-11T00:00:00"/>
    <s v="AUG-028/25-26"/>
    <s v="Nikhila Engineering"/>
    <n v="1324"/>
    <s v="Job Work "/>
    <s v="Thermal Insulation and Acoustic Insulation "/>
    <n v="7509.94"/>
    <n v="0.18"/>
    <n v="0"/>
    <n v="675.89459999999997"/>
    <n v="675.89459999999997"/>
    <n v="8861.7291999999998"/>
    <m/>
  </r>
  <r>
    <x v="4"/>
    <d v="2025-08-11T00:00:00"/>
    <s v="AUG-029/25-26"/>
    <s v="Nikhila Engineering"/>
    <n v="1325"/>
    <s v="Job Work "/>
    <s v="Thermal Insulation"/>
    <n v="20107.75"/>
    <n v="0.18"/>
    <n v="0"/>
    <n v="1809.6975"/>
    <n v="1809.6975"/>
    <n v="23727.144999999997"/>
    <m/>
  </r>
  <r>
    <x v="4"/>
    <d v="2025-08-11T00:00:00"/>
    <s v="AUG-030/25-26"/>
    <s v="Nikhila Engineering"/>
    <n v="1326"/>
    <s v="Job Work "/>
    <s v="Thermal Insulation and Acoustic Insulation"/>
    <n v="14997.29"/>
    <n v="0.18"/>
    <n v="0"/>
    <n v="1349.7561000000001"/>
    <n v="1349.7561000000001"/>
    <n v="17696.802200000002"/>
    <m/>
  </r>
  <r>
    <x v="4"/>
    <d v="2025-08-11T00:00:00"/>
    <s v="AUG-031/25-26"/>
    <s v="Nikhila Engineering"/>
    <n v="1327"/>
    <s v="Job Work "/>
    <s v="Thermal Insulation and Acoustic Insulation"/>
    <n v="103471.93"/>
    <n v="0.18"/>
    <n v="0"/>
    <n v="9312.4736999999986"/>
    <n v="9312.4736999999986"/>
    <n v="122096.8774"/>
    <m/>
  </r>
  <r>
    <x v="4"/>
    <d v="2025-08-11T00:00:00"/>
    <s v="AUG-032/25-26"/>
    <s v="Nikhila Engineering"/>
    <n v="1328"/>
    <s v="Job Work "/>
    <s v="Thermal Insulation and Acoustic Insulation"/>
    <n v="8912.51"/>
    <n v="0.18"/>
    <n v="0"/>
    <n v="802.1259"/>
    <n v="802.1259"/>
    <n v="10516.7618"/>
    <m/>
  </r>
  <r>
    <x v="4"/>
    <d v="2025-08-11T00:00:00"/>
    <s v="AUG-033/25-26"/>
    <s v="Nikhila Engineering"/>
    <n v="1329"/>
    <s v="Job Work "/>
    <s v="Thermal Insulation "/>
    <n v="2676.55"/>
    <n v="0.18"/>
    <n v="0"/>
    <n v="240.8895"/>
    <n v="240.8895"/>
    <n v="3158.3290000000006"/>
    <m/>
  </r>
  <r>
    <x v="4"/>
    <d v="2025-08-11T00:00:00"/>
    <s v="AUG-034/25-26"/>
    <s v="Nikhila Engineering"/>
    <n v="1330"/>
    <s v="Job Work "/>
    <s v="Acoustic Insulation "/>
    <n v="2559.8000000000002"/>
    <n v="0.18"/>
    <n v="0"/>
    <n v="230.38200000000001"/>
    <n v="230.38200000000001"/>
    <n v="3020.5640000000003"/>
    <m/>
  </r>
  <r>
    <x v="4"/>
    <d v="2025-08-11T00:00:00"/>
    <s v="AUG-035/25-26"/>
    <s v="Nikhila Engineering"/>
    <n v="1331"/>
    <s v="Job Work "/>
    <s v="Thermal Insulation and Acoustic Insulation "/>
    <n v="303625.14"/>
    <n v="0.18"/>
    <n v="0"/>
    <n v="27326.262600000002"/>
    <n v="27326.262600000002"/>
    <n v="358277.66520000005"/>
    <m/>
  </r>
  <r>
    <x v="4"/>
    <d v="2025-08-11T00:00:00"/>
    <s v="AUG-036/25-26"/>
    <s v="Nikhila Engineering"/>
    <n v="1332"/>
    <s v="Job Work "/>
    <s v="Thermal Insulation "/>
    <n v="79960.25"/>
    <n v="0.18"/>
    <n v="0"/>
    <n v="7196.4224999999997"/>
    <n v="7196.4224999999997"/>
    <n v="94353.095000000001"/>
    <m/>
  </r>
  <r>
    <x v="4"/>
    <d v="2025-08-11T00:00:00"/>
    <s v="AUG-037/25-26"/>
    <s v="Micro Data Products"/>
    <s v="DR/25-26/2225"/>
    <s v="Security Cameras Work"/>
    <s v="Security Cameras Repair and Installation Work"/>
    <n v="17105"/>
    <n v="0.18"/>
    <n v="0"/>
    <n v="1539.45"/>
    <n v="1539.45"/>
    <n v="20183.900000000001"/>
    <m/>
  </r>
  <r>
    <x v="4"/>
    <d v="2025-08-11T00:00:00"/>
    <s v="AUG-038/25-26"/>
    <s v="Nikhila Engineering"/>
    <n v="1333"/>
    <s v="Job Work "/>
    <s v="Thermal Insulation and Acoustic Insulation "/>
    <n v="373259.02"/>
    <n v="0.18"/>
    <n v="0"/>
    <n v="33593.311800000003"/>
    <n v="33593.311800000003"/>
    <n v="440445.64360000007"/>
    <m/>
  </r>
  <r>
    <x v="4"/>
    <d v="2025-08-04T00:00:00"/>
    <s v="AUG-039/25-26"/>
    <s v="Advanced Metallurgical Laboratory LLP"/>
    <s v="UII/25-26/1138"/>
    <s v="Lab Testing Charges "/>
    <s v="Third Party Coil Testing Report charges "/>
    <n v="4500"/>
    <n v="0.18"/>
    <n v="0"/>
    <n v="405"/>
    <n v="405"/>
    <n v="5310"/>
    <m/>
  </r>
  <r>
    <x v="4"/>
    <d v="2025-08-19T00:00:00"/>
    <s v="AUG-040/25-26"/>
    <s v="Sri Venkateshwara Enterprises"/>
    <s v="SVE/2515/25-26"/>
    <s v="Carbon-Di-Oxide Full Cylinder"/>
    <s v="90 Kgs"/>
    <n v="2700"/>
    <n v="0.18"/>
    <n v="0"/>
    <n v="243"/>
    <n v="243"/>
    <n v="3186"/>
    <m/>
  </r>
  <r>
    <x v="4"/>
    <d v="2025-08-16T00:00:00"/>
    <s v="AUG-041/25-26"/>
    <s v="R.G Hotels &amp; Resort"/>
    <n v="1870"/>
    <s v="Lodging Charges"/>
    <s v="Hotel and Room Rent"/>
    <n v="2678.57"/>
    <n v="0.12"/>
    <n v="0"/>
    <n v="160.71420000000001"/>
    <n v="160.71420000000001"/>
    <n v="2999.9983999999999"/>
    <m/>
  </r>
  <r>
    <x v="4"/>
    <d v="2025-08-20T00:00:00"/>
    <s v="AUG-042/25-26"/>
    <s v="R.G Hotels &amp; Resort"/>
    <n v="1904"/>
    <s v="Lodging Charges"/>
    <s v="Hotel and Room Rent"/>
    <n v="3393"/>
    <n v="0.12"/>
    <n v="0"/>
    <n v="203.58"/>
    <n v="203.58"/>
    <n v="3800.16"/>
    <m/>
  </r>
  <r>
    <x v="4"/>
    <d v="2025-08-22T00:00:00"/>
    <s v="AUG-043/25-26"/>
    <s v="M.S Auto Components "/>
    <n v="208"/>
    <s v="Job Work "/>
    <s v="CAM012 GSS Corner 25 MM (In Nos)"/>
    <n v="90574.2"/>
    <n v="0.18"/>
    <n v="0"/>
    <n v="8151.677999999999"/>
    <n v="8151.677999999999"/>
    <n v="106877.556"/>
    <m/>
  </r>
  <r>
    <x v="4"/>
    <d v="2025-08-22T00:00:00"/>
    <s v="AUG-044/25-26"/>
    <s v="R.G Hotels &amp; Resort"/>
    <n v="1919"/>
    <s v="Lodging Charges"/>
    <s v="Hotel and Room Rent"/>
    <n v="1607.14"/>
    <n v="0.12"/>
    <n v="0"/>
    <n v="96.428399999999996"/>
    <n v="96.428399999999996"/>
    <n v="1799.9968000000001"/>
    <m/>
  </r>
  <r>
    <x v="4"/>
    <d v="2025-08-14T00:00:00"/>
    <s v="AUG-045/25-26"/>
    <s v="Advanced Metallurgical Laboratory LLP"/>
    <s v="UII/25-26/1229"/>
    <s v="Lab Testing Charges "/>
    <s v="Third Party Coil Testing Report charges "/>
    <n v="6000"/>
    <n v="0.18"/>
    <n v="0"/>
    <n v="540"/>
    <n v="540"/>
    <n v="7080"/>
    <m/>
  </r>
  <r>
    <x v="4"/>
    <d v="2025-08-21T00:00:00"/>
    <s v="AUG-046/25-26"/>
    <s v="Sri Udyog Integrated Services Pvt Ltd "/>
    <s v="SUI/1157"/>
    <s v="Manpower Services Charges "/>
    <s v="For the month of July-2025"/>
    <n v="576796.93000000005"/>
    <n v="0.18"/>
    <n v="0"/>
    <n v="51911.723700000002"/>
    <n v="51911.723700000002"/>
    <n v="680620.3774"/>
    <m/>
  </r>
  <r>
    <x v="4"/>
    <d v="2025-08-21T00:00:00"/>
    <s v="AUG-047/25-26"/>
    <s v="Sri Udyog Integrated Services Pvt Ltd "/>
    <s v="SUI/1158"/>
    <s v="Over Time Wages "/>
    <s v="For the month of July-2025"/>
    <n v="60943.12"/>
    <n v="0.18"/>
    <n v="0"/>
    <n v="5484.8808000000008"/>
    <n v="5484.8808000000008"/>
    <n v="71912.881600000008"/>
    <m/>
  </r>
  <r>
    <x v="4"/>
    <d v="2025-08-21T00:00:00"/>
    <s v="AUG-048/25-26"/>
    <s v="Sun Power Systems"/>
    <s v="AUG-007-25-26"/>
    <s v="Service Charges"/>
    <s v="Machine Service (Engine Oil, Filter Kit, Coolant 5 Ltrs Can, Air Filter, Radiator De-Scaling Etc)"/>
    <n v="23001"/>
    <n v="0.18"/>
    <n v="0"/>
    <n v="2070.09"/>
    <n v="2070.09"/>
    <n v="27141.18"/>
    <m/>
  </r>
  <r>
    <x v="4"/>
    <d v="2025-08-25T00:00:00"/>
    <s v="AUG-049/25-26"/>
    <s v="Likith Enterprises"/>
    <s v="L020"/>
    <s v="Job Work "/>
    <s v="Parking Tiels fixing Work"/>
    <n v="26695"/>
    <n v="0.18"/>
    <n v="0"/>
    <n v="2402.5500000000002"/>
    <n v="2402.5500000000002"/>
    <n v="31500.1"/>
    <m/>
  </r>
  <r>
    <x v="4"/>
    <d v="2025-08-24T00:00:00"/>
    <s v="AUG-050/25-26"/>
    <s v="R.G Hotels &amp; Resort"/>
    <n v="1962"/>
    <s v="Lodging Charges"/>
    <s v="Hotel and Room Rent"/>
    <n v="2678.57"/>
    <n v="0.12"/>
    <n v="0"/>
    <n v="160.71420000000001"/>
    <n v="160.71420000000001"/>
    <n v="2999.9983999999999"/>
    <m/>
  </r>
  <r>
    <x v="4"/>
    <d v="2025-08-25T00:00:00"/>
    <s v="AUG-051/25-26"/>
    <s v="R.G Hotels &amp; Resort"/>
    <n v="1968"/>
    <s v="Lodging Charges"/>
    <s v="Hotel and Room Rent"/>
    <n v="3392.84"/>
    <n v="0.12"/>
    <n v="0"/>
    <n v="203.57040000000001"/>
    <n v="203.57040000000001"/>
    <n v="3799.9808000000003"/>
    <m/>
  </r>
  <r>
    <x v="4"/>
    <d v="2025-08-28T00:00:00"/>
    <s v="AUG-052/25-26"/>
    <s v="RBS IT Solutions"/>
    <s v="RBS/549/25-26"/>
    <s v="Software Renewal Charges "/>
    <s v="Tally Software Services-Gold 2 years ( 1 Nos )"/>
    <n v="24300"/>
    <n v="0.18"/>
    <n v="0"/>
    <n v="2187"/>
    <n v="2187"/>
    <n v="28674"/>
    <m/>
  </r>
  <r>
    <x v="4"/>
    <d v="2025-08-01T00:00:00"/>
    <s v="AUG-053/25-26"/>
    <s v="SBM Engineering Works"/>
    <n v="397"/>
    <s v="Engineering works"/>
    <s v="35mm L Angle Slot Hole,Plate Milling Work &amp; Threading &amp; Cutting Blade Grainging "/>
    <n v="5450"/>
    <n v="0.18"/>
    <n v="0"/>
    <n v="490.5"/>
    <n v="490.5"/>
    <n v="6431"/>
    <m/>
  </r>
  <r>
    <x v="4"/>
    <d v="2025-08-06T00:00:00"/>
    <s v="AUG-054/25-26"/>
    <s v="Trade Wings Limited"/>
    <s v="K2507410"/>
    <s v="Travel Expences"/>
    <s v="Mr Dinesh Flight ticket Blr to Del and Del to Blr. (Inv Value 18787, Booking Fees 600 &amp; Gst 54+54)"/>
    <n v="19495"/>
    <n v="0"/>
    <n v="0"/>
    <n v="0"/>
    <n v="0"/>
    <n v="19495"/>
    <m/>
  </r>
  <r>
    <x v="4"/>
    <d v="2025-08-06T00:00:00"/>
    <s v="AUG-055/25-26"/>
    <s v="Trade Wings Limited"/>
    <s v="K2507411"/>
    <s v="Travel Expences"/>
    <s v="Mr Deepak K.V Flight ticket Blr to Del and Del to Blr. (Inv Value 18787, Booking Fees 600 &amp; Gst 54+54)"/>
    <n v="19495"/>
    <n v="0"/>
    <n v="0"/>
    <n v="0"/>
    <n v="0"/>
    <n v="19495"/>
    <m/>
  </r>
  <r>
    <x v="4"/>
    <d v="2025-08-09T00:00:00"/>
    <s v="AUG-056/25-26"/>
    <s v="Trade Wings Limited"/>
    <s v="K2507686"/>
    <s v="Travel Expences"/>
    <s v="Mr KT Basavaraj Flight Ticket Blr to Del And Del to Blr (Inv Value 21611, Booking Fees 600 &amp; Gst 54-+54)"/>
    <n v="22319"/>
    <n v="0"/>
    <n v="0"/>
    <n v="0"/>
    <n v="0"/>
    <n v="22319"/>
    <m/>
  </r>
  <r>
    <x v="4"/>
    <d v="2025-08-28T00:00:00"/>
    <s v="AUG-057/25-26"/>
    <s v="Trade Wings Limited"/>
    <s v="K2508772"/>
    <s v="Travel Expences"/>
    <s v="Mr Dinesh Flight Ticket Blr to Del (Inv Value 6332, Booking Fees 300 and GST 27+27)"/>
    <n v="6686"/>
    <n v="0"/>
    <n v="0"/>
    <n v="0"/>
    <n v="0"/>
    <n v="6686"/>
    <m/>
  </r>
  <r>
    <x v="4"/>
    <d v="2025-08-28T00:00:00"/>
    <s v="AUG-058/25-26"/>
    <s v="Trade Wings Limited"/>
    <s v="K2508773"/>
    <s v="Travel Expences"/>
    <s v="Mr Deepak K.V Flight ticket Blr to Del (Inv Value 6332, Booking Fees 300 &amp; Gst 27+27)"/>
    <n v="6686"/>
    <n v="0"/>
    <n v="0"/>
    <n v="0"/>
    <n v="0"/>
    <n v="6686"/>
    <m/>
  </r>
  <r>
    <x v="4"/>
    <d v="2025-08-28T00:00:00"/>
    <s v="AUG-059/25-26"/>
    <s v="Trade Wings Limited"/>
    <s v="K2508805"/>
    <s v="Travel Expences"/>
    <s v="Mr Deepak K.V Flight ticket Blr to Pnq and Pnq to Blr (Inv Value 8029, Booking Fees 600 &amp; Gst 54+54)"/>
    <n v="8737"/>
    <n v="0"/>
    <n v="0"/>
    <n v="0"/>
    <n v="0"/>
    <n v="8737"/>
    <m/>
  </r>
  <r>
    <x v="4"/>
    <d v="2025-08-31T00:00:00"/>
    <s v="AUG-060/25-26"/>
    <s v="Trade Wings Limited"/>
    <s v="K2508946"/>
    <s v="Travel Expences"/>
    <s v="Mr Dinesh Flight Ticket Del to Blr (Inv Value 7253, Booking Fees 300 &amp; GST 27+27)"/>
    <n v="7607"/>
    <n v="0"/>
    <n v="0"/>
    <n v="0"/>
    <n v="0"/>
    <n v="7607"/>
    <m/>
  </r>
  <r>
    <x v="4"/>
    <d v="2025-08-31T00:00:00"/>
    <s v="AUG-061/25-26"/>
    <s v="Trade Wings Limited"/>
    <s v="K2508948"/>
    <s v="Travel Expences"/>
    <s v="R Dinesh KV Flight Ticket Del To Blr (Inv Value 7253, Booking Fees 300 &amp; GST 27+27)"/>
    <n v="7607"/>
    <n v="0"/>
    <n v="0"/>
    <n v="0"/>
    <n v="0"/>
    <n v="7607"/>
    <m/>
  </r>
  <r>
    <x v="4"/>
    <d v="2025-08-31T00:00:00"/>
    <s v="AUG-062/25-26"/>
    <s v="Trade Wings Limited"/>
    <s v="K2508943"/>
    <s v="Travel Expences"/>
    <s v="MR Deepak KV Miscelleneous Service (Standard Charges 10514 , Management Fees 500 and Gst 45+45)"/>
    <n v="11104"/>
    <n v="0"/>
    <n v="0"/>
    <n v="0"/>
    <n v="0"/>
    <n v="11104"/>
    <m/>
  </r>
  <r>
    <x v="4"/>
    <d v="2025-08-31T00:00:00"/>
    <s v="AUG-063/25-26"/>
    <s v="Trade Wings Limited"/>
    <s v="K2508945"/>
    <s v="Travel Expences"/>
    <s v="MR Dinesh R Miscelleneous Service (Standard Charges 10514 , Management Fees 500 and Gst 45+45)"/>
    <n v="11104"/>
    <n v="0"/>
    <n v="0"/>
    <n v="0"/>
    <n v="0"/>
    <n v="11104"/>
    <m/>
  </r>
  <r>
    <x v="4"/>
    <d v="2025-08-31T00:00:00"/>
    <s v="AUG-064/25-26"/>
    <s v="The Professional Couriers "/>
    <s v="HRD2515734"/>
    <s v="Couriers Charges "/>
    <s v="For the Month of August 2025"/>
    <n v="1539.85"/>
    <n v="0.18"/>
    <n v="0"/>
    <n v="138.5865"/>
    <n v="138.5865"/>
    <n v="1817.0229999999997"/>
    <m/>
  </r>
  <r>
    <x v="4"/>
    <d v="2025-08-31T00:00:00"/>
    <s v="AUG-065/25-26"/>
    <s v="Jupiter &amp; Company"/>
    <s v="0458/2025-26"/>
    <s v="Proffessional Fees "/>
    <s v="Fees Towards Preparation of EPF &amp; ESI Challans During Calender Month Aug-2025"/>
    <n v="1500"/>
    <n v="0.18"/>
    <n v="0"/>
    <n v="135"/>
    <n v="135"/>
    <n v="1770"/>
    <m/>
  </r>
  <r>
    <x v="4"/>
    <d v="2025-08-31T00:00:00"/>
    <s v="AUG-066/25-26"/>
    <s v="Nikhila Engineering"/>
    <n v="1334"/>
    <s v="Job Work "/>
    <s v="Thermal Insulation and Acoustic Insulation "/>
    <n v="233579.69"/>
    <n v="0.18"/>
    <n v="0"/>
    <n v="21022.1721"/>
    <n v="21022.1721"/>
    <n v="275624.03419999999"/>
    <m/>
  </r>
  <r>
    <x v="4"/>
    <d v="2025-08-30T00:00:00"/>
    <s v="AUG-067/25-26"/>
    <s v="Nikhila Engineering"/>
    <n v="1335"/>
    <s v="Job Work "/>
    <s v="Thermal Insulation"/>
    <n v="2636.2"/>
    <n v="0.18"/>
    <n v="0"/>
    <n v="237.25799999999998"/>
    <n v="237.25799999999998"/>
    <n v="3110.7159999999994"/>
    <m/>
  </r>
  <r>
    <x v="4"/>
    <d v="2025-08-30T00:00:00"/>
    <s v="AUG-068/25-26"/>
    <s v="Nikhila Engineering"/>
    <n v="1336"/>
    <s v="Job Work "/>
    <s v="Thermal Insulation and Acoustic Insulation "/>
    <n v="55501.69"/>
    <n v="0.18"/>
    <n v="0"/>
    <n v="4995.1521000000002"/>
    <n v="4995.1521000000002"/>
    <n v="65491.994200000001"/>
    <m/>
  </r>
  <r>
    <x v="4"/>
    <d v="2025-08-30T00:00:00"/>
    <s v="AUG-069/25-26"/>
    <s v="Nikhila Engineering"/>
    <n v="1337"/>
    <s v="Job Work "/>
    <s v="Thermal Insulation, Acoustic Insulation and Acoustic Insulation without beading"/>
    <n v="3050.46"/>
    <n v="0.18"/>
    <n v="0"/>
    <n v="274.54140000000001"/>
    <n v="274.54140000000001"/>
    <n v="3599.5428000000002"/>
    <m/>
  </r>
  <r>
    <x v="4"/>
    <d v="2025-08-30T00:00:00"/>
    <s v="AUG-070/25-26"/>
    <s v="Nikhila Engineering"/>
    <n v="1338"/>
    <s v="Job Work "/>
    <s v="Thermal Insulation "/>
    <n v="11203.85"/>
    <n v="0.18"/>
    <n v="0"/>
    <n v="1008.3465000000001"/>
    <n v="1008.3465000000001"/>
    <n v="13220.543"/>
    <m/>
  </r>
  <r>
    <x v="4"/>
    <d v="2025-08-30T00:00:00"/>
    <s v="AUG-071/25-26"/>
    <s v="Nikhila Engineering"/>
    <n v="1339"/>
    <s v="Job Work "/>
    <s v="Thermal Insulation"/>
    <n v="2905.2"/>
    <n v="0.18"/>
    <n v="0"/>
    <n v="261.46800000000002"/>
    <n v="261.46800000000002"/>
    <n v="3428.1359999999995"/>
    <m/>
  </r>
  <r>
    <x v="4"/>
    <d v="2025-08-30T00:00:00"/>
    <s v="AUG-072/25-26"/>
    <s v="Nikhila Engineering"/>
    <n v="1340"/>
    <s v="Job Work "/>
    <s v="Thermal Insulation and Acoustic Insulation "/>
    <n v="18401.75"/>
    <n v="0.18"/>
    <n v="0"/>
    <n v="1656.1575"/>
    <n v="1656.1575"/>
    <n v="21714.065000000002"/>
    <m/>
  </r>
  <r>
    <x v="4"/>
    <d v="2025-08-30T00:00:00"/>
    <s v="AUG-073/25-26"/>
    <s v="Nikhila Engineering"/>
    <n v="1341"/>
    <s v="Job Work "/>
    <s v="Acoustic Insulation "/>
    <n v="4574.08"/>
    <n v="0.18"/>
    <n v="0"/>
    <n v="411.66720000000004"/>
    <n v="411.66720000000004"/>
    <n v="5397.4143999999997"/>
    <m/>
  </r>
  <r>
    <x v="4"/>
    <d v="2025-08-30T00:00:00"/>
    <s v="AUG-074/25-26"/>
    <s v="Nikhila Engineering"/>
    <n v="1342"/>
    <s v="Job Work "/>
    <s v="Thermal Insulation "/>
    <n v="3308.7"/>
    <n v="0.18"/>
    <n v="0"/>
    <n v="297.78300000000002"/>
    <n v="297.78300000000002"/>
    <n v="3904.2659999999996"/>
    <m/>
  </r>
  <r>
    <x v="4"/>
    <d v="2025-08-30T00:00:00"/>
    <s v="AUG-075/25-26"/>
    <s v="Nikhila Engineering"/>
    <n v="1343"/>
    <s v="Job Work "/>
    <s v="Thermal Insulation and Acoustic Insulation "/>
    <n v="21822.36"/>
    <n v="0.18"/>
    <n v="0"/>
    <n v="1964.0123999999998"/>
    <n v="1964.0123999999998"/>
    <n v="25750.3848"/>
    <m/>
  </r>
  <r>
    <x v="4"/>
    <d v="2025-08-30T00:00:00"/>
    <s v="AUG-076/25-26"/>
    <s v="Nikhila Engineering"/>
    <n v="1344"/>
    <s v="Job Work "/>
    <s v="Thermal Insulation and Acoustic Insulation "/>
    <n v="219885.44"/>
    <n v="0.18"/>
    <n v="0"/>
    <n v="19789.689599999998"/>
    <n v="19789.689599999998"/>
    <n v="259464.81919999997"/>
    <m/>
  </r>
  <r>
    <x v="4"/>
    <d v="2025-08-30T00:00:00"/>
    <s v="AUG-077/25-26"/>
    <s v="Nikhila Engineering"/>
    <n v="1345"/>
    <s v="Job Work "/>
    <s v="Thermal Insulation "/>
    <n v="85299.9"/>
    <n v="0.18"/>
    <n v="0"/>
    <n v="7676.991"/>
    <n v="7676.991"/>
    <n v="100653.88199999998"/>
    <m/>
  </r>
  <r>
    <x v="4"/>
    <d v="2025-08-30T00:00:00"/>
    <s v="AUG-078/25-26"/>
    <s v="Nikhila Engineering "/>
    <n v="1346"/>
    <s v="Job Work "/>
    <s v="Thermal Insulation and Acoustic Insulation "/>
    <n v="18827.849999999999"/>
    <n v="0.18"/>
    <n v="0"/>
    <n v="1694.5065"/>
    <n v="1694.5065"/>
    <n v="22216.862999999998"/>
    <m/>
  </r>
  <r>
    <x v="4"/>
    <d v="2025-08-30T00:00:00"/>
    <s v="AUG-079/25-26"/>
    <s v="Nikhila Engineering "/>
    <n v="1347"/>
    <s v="Job Work "/>
    <s v="Acoustic Insulation "/>
    <n v="1678.56"/>
    <n v="0.18"/>
    <n v="0"/>
    <n v="151.07039999999998"/>
    <n v="151.07039999999998"/>
    <n v="1980.7008000000001"/>
    <m/>
  </r>
  <r>
    <x v="4"/>
    <d v="2025-08-30T00:00:00"/>
    <s v="AUG-080/25-26"/>
    <s v="Nikhila Engineering "/>
    <n v="1348"/>
    <s v="Job Work "/>
    <s v="Thermal Insulation "/>
    <n v="5016.8500000000004"/>
    <n v="0.18"/>
    <n v="0"/>
    <n v="451.51650000000001"/>
    <n v="451.51650000000001"/>
    <n v="5919.8829999999998"/>
    <m/>
  </r>
  <r>
    <x v="4"/>
    <d v="2025-08-30T00:00:00"/>
    <s v="AUG-081/25-26"/>
    <s v="Nikhila Engineering "/>
    <n v="1349"/>
    <s v="Job Work "/>
    <s v="Thermal Insulation and Acoustic Insulation "/>
    <n v="47296.66"/>
    <n v="0.18"/>
    <n v="0"/>
    <n v="4256.6994000000004"/>
    <n v="4256.6994000000004"/>
    <n v="55810.058799999999"/>
    <m/>
  </r>
  <r>
    <x v="4"/>
    <d v="2025-08-30T00:00:00"/>
    <s v="AUG-082/25-26"/>
    <s v="Nikhila Engineering "/>
    <n v="1350"/>
    <s v="Job Work "/>
    <s v="Thermal Insulation and Acoustic Insulation "/>
    <n v="5722.17"/>
    <n v="0.18"/>
    <n v="0"/>
    <n v="514.99530000000004"/>
    <n v="514.99530000000004"/>
    <n v="6752.1606000000011"/>
    <m/>
  </r>
  <r>
    <x v="4"/>
    <d v="2025-08-30T00:00:00"/>
    <s v="AUG-083/25-26"/>
    <s v="Nikhila Engineering "/>
    <n v="1351"/>
    <s v="Job Work "/>
    <s v="Thermal Insulation "/>
    <n v="3685.3"/>
    <n v="0.18"/>
    <n v="0"/>
    <n v="331.67700000000002"/>
    <n v="331.67700000000002"/>
    <n v="4348.6540000000005"/>
    <m/>
  </r>
  <r>
    <x v="4"/>
    <d v="2025-08-30T00:00:00"/>
    <s v="AUG-084/25-26"/>
    <s v="Nikhila Engineering "/>
    <n v="1352"/>
    <s v="Job Work "/>
    <s v="Thermal Insulation and Acoustic Insulation "/>
    <n v="4031.23"/>
    <n v="0.18"/>
    <n v="0"/>
    <n v="362.8107"/>
    <n v="362.8107"/>
    <n v="4756.8513999999996"/>
    <m/>
  </r>
  <r>
    <x v="4"/>
    <d v="2025-08-30T00:00:00"/>
    <s v="AUG-085/25-26"/>
    <s v="Nikhila Engineering "/>
    <n v="1353"/>
    <s v="Job Work "/>
    <s v="Thermal Insulation "/>
    <n v="102098.95"/>
    <n v="0.18"/>
    <n v="0"/>
    <n v="9188.9054999999989"/>
    <n v="9188.9054999999989"/>
    <n v="120476.76099999998"/>
    <m/>
  </r>
  <r>
    <x v="4"/>
    <d v="2025-08-30T00:00:00"/>
    <s v="AUG-086/25-26"/>
    <s v="Nikhila Engineering "/>
    <n v="1354"/>
    <s v="Job Work "/>
    <s v="Thermal Insulation, Acoustic Insulation and Acoustic Insulation without beading "/>
    <n v="261465.31"/>
    <n v="0.18"/>
    <n v="0"/>
    <n v="23531.877899999999"/>
    <n v="23531.877899999999"/>
    <n v="308529.06580000004"/>
    <m/>
  </r>
  <r>
    <x v="4"/>
    <d v="2025-08-30T00:00:00"/>
    <s v="AUG-087/25-26"/>
    <s v="Nikhila Engineering "/>
    <n v="1355"/>
    <s v="Job Work "/>
    <s v="Thermal Insulation and Acoustic Insulation "/>
    <n v="35064.69"/>
    <n v="0.18"/>
    <n v="0"/>
    <n v="3155.8221000000003"/>
    <n v="3155.8221000000003"/>
    <n v="41376.334199999998"/>
    <m/>
  </r>
  <r>
    <x v="4"/>
    <d v="2025-08-30T00:00:00"/>
    <s v="AUG-088/25-26"/>
    <s v="Nikhila Engineering "/>
    <n v="1356"/>
    <s v="Job Work "/>
    <s v="Thermal Insulation and Acoustic Insulation "/>
    <n v="29963.37"/>
    <n v="0.18"/>
    <n v="0"/>
    <n v="2696.7033000000001"/>
    <n v="2696.7033000000001"/>
    <n v="35356.776599999997"/>
    <m/>
  </r>
  <r>
    <x v="4"/>
    <d v="2025-08-30T00:00:00"/>
    <s v="AUG-089/25-26"/>
    <s v="Nikhila Engineering "/>
    <n v="1357"/>
    <s v="Job Work "/>
    <s v="Thermal Insulation "/>
    <n v="1358.45"/>
    <n v="0.18"/>
    <n v="0"/>
    <n v="122.26050000000001"/>
    <n v="122.26050000000001"/>
    <n v="1602.9710000000002"/>
    <m/>
  </r>
  <r>
    <x v="4"/>
    <d v="2025-08-30T00:00:00"/>
    <s v="AUG-090/25-26"/>
    <s v="Nikhila Engineering "/>
    <n v="1358"/>
    <s v="Job Work "/>
    <s v="Thermal Insulation and Acoustic Insulation "/>
    <n v="231754.8"/>
    <n v="0.18"/>
    <n v="0"/>
    <n v="20857.932000000001"/>
    <n v="20857.932000000001"/>
    <n v="273470.66399999999"/>
    <m/>
  </r>
  <r>
    <x v="4"/>
    <d v="2025-08-30T00:00:00"/>
    <s v="AUG-091/25-26"/>
    <s v="Nikhila Engineering "/>
    <n v="1359"/>
    <s v="Job Work "/>
    <s v="Thermal Insulation, Acoustic Insulation and Acoustic Insulation without beading "/>
    <n v="431257.57"/>
    <n v="0.18"/>
    <n v="0"/>
    <n v="38813.181299999997"/>
    <n v="38813.181299999997"/>
    <n v="508883.9326"/>
    <m/>
  </r>
  <r>
    <x v="4"/>
    <d v="2025-08-31T00:00:00"/>
    <s v="AUG-092/25-26"/>
    <s v="Sri Veerabhadraswamy Transport"/>
    <n v="204"/>
    <s v="Transportation Charges "/>
    <s v="For the Month of August 2025"/>
    <n v="112050"/>
    <n v="0"/>
    <n v="0"/>
    <n v="0"/>
    <n v="0"/>
    <n v="112050"/>
    <m/>
  </r>
  <r>
    <x v="4"/>
    <d v="2025-08-31T00:00:00"/>
    <s v="AUG-093/25-26"/>
    <s v="Sri Veerabhadraswamy Transport"/>
    <n v="205"/>
    <s v="Transportation Charges "/>
    <s v="For the Month of August 2025"/>
    <n v="30850"/>
    <n v="0"/>
    <n v="0"/>
    <n v="0"/>
    <n v="0"/>
    <n v="30850"/>
    <m/>
  </r>
  <r>
    <x v="4"/>
    <d v="2025-08-31T00:00:00"/>
    <s v="AUG-094/25-26"/>
    <s v="Suresh Travels"/>
    <s v="225/25-26"/>
    <s v="Taxi Hire Charges "/>
    <s v="For the Month of August 2025"/>
    <n v="18505"/>
    <n v="0"/>
    <n v="0"/>
    <n v="0"/>
    <n v="0"/>
    <n v="18505"/>
    <m/>
  </r>
  <r>
    <x v="4"/>
    <d v="2025-08-29T00:00:00"/>
    <s v="AUG-095/25-26"/>
    <s v="Metronix Incorporation"/>
    <n v="263"/>
    <s v="Machine Spare Purchase Charges"/>
    <s v="MS58-10-3000-5-30L-5MTR (Metronix Make Rotary Incremental Shaft Encoer)"/>
    <n v="18100"/>
    <n v="0.18"/>
    <n v="3258"/>
    <n v="0"/>
    <n v="0"/>
    <n v="21358"/>
    <m/>
  </r>
  <r>
    <x v="5"/>
    <d v="2025-09-01T00:00:00"/>
    <s v="SEP-001/25-26"/>
    <s v="BAS Staffing Solutions Pvt Ltd"/>
    <n v="500"/>
    <s v="Security Service Charges "/>
    <s v="For the Month of August 2025"/>
    <n v="149520"/>
    <n v="0.18"/>
    <n v="0"/>
    <n v="13456.8"/>
    <n v="13456.8"/>
    <n v="176433.59999999998"/>
    <m/>
  </r>
  <r>
    <x v="5"/>
    <d v="2025-09-03T00:00:00"/>
    <s v="SEP-002/25-26"/>
    <s v="Neha Graphics "/>
    <n v="73"/>
    <s v="Printing Charges "/>
    <s v="Visitor ID Cards, Holders and Tags (25 Sets)"/>
    <n v="2500"/>
    <n v="0"/>
    <n v="0"/>
    <n v="0"/>
    <n v="0"/>
    <n v="2500"/>
    <m/>
  </r>
  <r>
    <x v="5"/>
    <d v="2025-09-04T00:00:00"/>
    <s v="SEP-003/25-26"/>
    <s v="Chiru Catering"/>
    <n v="166"/>
    <s v="Catering Service charges "/>
    <s v="for the Month of 02-6-25 to 27-07-25"/>
    <n v="25000"/>
    <n v="0"/>
    <n v="0"/>
    <n v="0"/>
    <n v="0"/>
    <n v="25000"/>
    <m/>
  </r>
  <r>
    <x v="5"/>
    <d v="2025-09-03T00:00:00"/>
    <s v="SEP-004/25-26"/>
    <s v="Bangalore Electricity Supply Company"/>
    <s v="1243199012823"/>
    <s v="Electricity Power charges "/>
    <s v="For the Month of August 2025"/>
    <n v="145948"/>
    <n v="0"/>
    <n v="0"/>
    <n v="0"/>
    <n v="0"/>
    <n v="145948"/>
    <m/>
  </r>
  <r>
    <x v="5"/>
    <d v="2025-09-04T00:00:00"/>
    <s v="SEP-005/25-26"/>
    <s v="Ashok Business Service India Pvt Ltd"/>
    <s v="ABSIPL/25-26/116"/>
    <s v="Manpower Services Charges "/>
    <s v="For the Month of August 2025"/>
    <n v="634095"/>
    <n v="0.18"/>
    <n v="0"/>
    <n v="57068.55"/>
    <n v="57068.55"/>
    <n v="748232.10000000009"/>
    <m/>
  </r>
  <r>
    <x v="5"/>
    <d v="2025-09-06T00:00:00"/>
    <s v="SEP-006/25-26"/>
    <s v="Sri Venkateshwara Enterprises"/>
    <s v="SVE/2896/25-26"/>
    <s v="Carbon-Di-Oxide Full Cylinder"/>
    <s v="90 Kgs"/>
    <n v="2700"/>
    <n v="0.18"/>
    <n v="0"/>
    <n v="243"/>
    <n v="243"/>
    <n v="3186"/>
    <m/>
  </r>
  <r>
    <x v="5"/>
    <d v="2025-09-10T00:00:00"/>
    <s v="SEP-007/25-26"/>
    <s v="Advanced Metallurgical Laboratory LLP"/>
    <s v="UII/25-26/1529"/>
    <s v="Lab Testing Charges "/>
    <s v="Third Party Coil Testing Report charges "/>
    <n v="3000"/>
    <n v="0.18"/>
    <n v="0"/>
    <n v="270"/>
    <n v="270"/>
    <n v="3540"/>
    <m/>
  </r>
  <r>
    <x v="5"/>
    <d v="2025-09-12T00:00:00"/>
    <s v="SEP-008/25-26"/>
    <s v="Cartridge Plus "/>
    <n v="3965"/>
    <s v="Printing Charges "/>
    <s v="Cartridge Refilling 5 Nos"/>
    <n v="4100"/>
    <n v="0.18"/>
    <n v="0"/>
    <n v="369"/>
    <n v="369"/>
    <n v="4838"/>
    <m/>
  </r>
  <r>
    <x v="5"/>
    <d v="2025-09-12T00:00:00"/>
    <s v="SEP-009/25-26"/>
    <s v="Meenakshi Steel Corporation"/>
    <n v="88972"/>
    <s v="Job Work "/>
    <s v="Coil Slitting Charges (5730x1) and Transportation Charges 4010"/>
    <n v="9740"/>
    <n v="0.12"/>
    <n v="0"/>
    <n v="584.4"/>
    <n v="584.4"/>
    <n v="10908.8"/>
    <m/>
  </r>
  <r>
    <x v="5"/>
    <d v="2025-09-12T00:00:00"/>
    <s v="SEP-010/25-26"/>
    <s v="Meenakshi Steel Corporation"/>
    <n v="88973"/>
    <s v="Job Work "/>
    <s v="Coil Slitting Charges (2560x1) and Transportation Charges 1800"/>
    <n v="4360"/>
    <n v="0.12"/>
    <n v="0"/>
    <n v="261.60000000000002"/>
    <n v="261.60000000000002"/>
    <n v="4883.2000000000007"/>
    <m/>
  </r>
  <r>
    <x v="5"/>
    <d v="2025-09-12T00:00:00"/>
    <s v="SEP-011/25-26"/>
    <s v="Meenakshi Steel Corporation"/>
    <n v="88974"/>
    <s v="Job Work "/>
    <s v="Coil Slitting Charges (2090x1) and Transportation Charges 1490"/>
    <n v="3580"/>
    <n v="0.12"/>
    <n v="0"/>
    <n v="214.8"/>
    <n v="214.8"/>
    <n v="4009.6000000000004"/>
    <m/>
  </r>
  <r>
    <x v="5"/>
    <d v="2025-09-12T00:00:00"/>
    <s v="SEP-012/25-26"/>
    <s v="Meenakshi Steel Corporation"/>
    <n v="88976"/>
    <s v="Job Work "/>
    <s v="Coil Slitting Charges (3085x1) and Transportation Charges 2200"/>
    <n v="5285"/>
    <n v="0.12"/>
    <n v="0"/>
    <n v="317.10000000000002"/>
    <n v="317.10000000000002"/>
    <n v="5919.2000000000007"/>
    <m/>
  </r>
  <r>
    <x v="5"/>
    <d v="2025-09-12T00:00:00"/>
    <s v="SEP-013/25-26"/>
    <s v="Meenakshi Steel Corporation"/>
    <n v="88977"/>
    <s v="Job Work "/>
    <s v="Coil Slitting Charges (2000x1) and Transportation Charges 1400"/>
    <n v="3400"/>
    <n v="0.12"/>
    <n v="0"/>
    <n v="204"/>
    <n v="204"/>
    <n v="3808"/>
    <m/>
  </r>
  <r>
    <x v="5"/>
    <d v="2025-09-13T00:00:00"/>
    <s v="SEP-014/25-26"/>
    <s v="M.S Auto Components "/>
    <n v="226"/>
    <s v="Job Work "/>
    <s v="CAM012 GSS Corner 25 MM (In Nos), Blanking Tool Rework and Forming Tool Rework"/>
    <n v="105262.6"/>
    <n v="0.18"/>
    <n v="0"/>
    <n v="9473.634"/>
    <n v="9473.634"/>
    <n v="124209.86800000002"/>
    <m/>
  </r>
  <r>
    <x v="5"/>
    <d v="2025-09-13T00:00:00"/>
    <s v="SEP-015/25-26"/>
    <s v="Quality Council of India"/>
    <s v="NDIE/SEP25/00311"/>
    <s v="Assessment Fees"/>
    <s v="Zed Silver Certification Fees"/>
    <n v="20338.98"/>
    <n v="0.18"/>
    <n v="3661.0164"/>
    <n v="0"/>
    <n v="0"/>
    <n v="23999.9964"/>
    <m/>
  </r>
  <r>
    <x v="5"/>
    <d v="2025-09-15T00:00:00"/>
    <s v="SEP-016/25-26"/>
    <s v="Maruthi Service Station"/>
    <n v="469"/>
    <s v="Petrol and Diesel Charges"/>
    <s v="Petrol 10 Ltr and Diesel 160 Ltr"/>
    <n v="15538"/>
    <n v="0"/>
    <n v="0"/>
    <n v="0"/>
    <n v="0"/>
    <n v="15538"/>
    <m/>
  </r>
  <r>
    <x v="5"/>
    <d v="2025-09-16T00:00:00"/>
    <s v="SEP-017/25-26"/>
    <s v="Sri Udyog Integrated Services Pvt Ltd "/>
    <s v="SUI/1187"/>
    <s v="Manpower Services Charges "/>
    <s v="For the Month of August 2025"/>
    <n v="597725.06000000006"/>
    <n v="0.18"/>
    <n v="0"/>
    <n v="53795.255400000009"/>
    <n v="53795.255400000009"/>
    <n v="705315.5708000001"/>
    <m/>
  </r>
  <r>
    <x v="5"/>
    <d v="2025-09-16T00:00:00"/>
    <s v="SEP-018/25-26"/>
    <s v="Sri Udyog Integrated Services Pvt Ltd "/>
    <s v="SUI/1188"/>
    <s v="Over Time Wages "/>
    <s v="For the Month of August 2025"/>
    <n v="23201.7"/>
    <n v="0.18"/>
    <n v="0"/>
    <n v="2088.1530000000002"/>
    <n v="2088.1530000000002"/>
    <n v="27378.006000000001"/>
    <m/>
  </r>
  <r>
    <x v="5"/>
    <d v="2025-09-16T00:00:00"/>
    <s v="SEP-019/25-26"/>
    <s v="Advanced Metallurgical Laboratory LLP"/>
    <s v="UII/25-26/1596"/>
    <s v="Lab Testing Charges "/>
    <s v="Third Party Coil Testing Report charges "/>
    <n v="4500"/>
    <n v="0.18"/>
    <n v="0"/>
    <n v="405"/>
    <n v="405"/>
    <n v="5310"/>
    <m/>
  </r>
  <r>
    <x v="5"/>
    <d v="2025-09-18T00:00:00"/>
    <s v="SEP-020/25-26"/>
    <s v="Navami Technicals &amp; Services"/>
    <n v="107"/>
    <s v="Inspection Charges"/>
    <s v="Inspection of 1 Ton, 2 Ton and 7.5 Ton Cranes"/>
    <n v="13500"/>
    <n v="0.18"/>
    <n v="0"/>
    <n v="1215"/>
    <n v="1215"/>
    <n v="15930"/>
    <m/>
  </r>
  <r>
    <x v="5"/>
    <d v="2025-09-25T00:00:00"/>
    <s v="SEP-021/25-26 "/>
    <s v="Sun Power Systems"/>
    <s v="SEPT-032-25-26"/>
    <s v="Purchasing Charges"/>
    <s v="Fan Drive Pullu, V Belt, Stop Solinoid, Feed pump Kicker and Wiring and Sensor Works"/>
    <n v="17400"/>
    <n v="0.18"/>
    <n v="0"/>
    <n v="1566"/>
    <n v="1566"/>
    <n v="20532"/>
    <m/>
  </r>
  <r>
    <x v="5"/>
    <d v="2025-09-27T00:00:00"/>
    <s v="SEP-022/25-26 "/>
    <s v="Sri Venkateshwara Enterprises"/>
    <s v="SVE/3317/25-26"/>
    <s v="Carbon-Di-Oxide Full Cylinder"/>
    <s v="76 Kgs"/>
    <n v="2280"/>
    <n v="0.18"/>
    <n v="0"/>
    <n v="205.2"/>
    <n v="205.2"/>
    <n v="2690.3999999999996"/>
    <m/>
  </r>
  <r>
    <x v="5"/>
    <d v="2025-09-30T00:00:00"/>
    <s v="SEP-023/25-26 "/>
    <s v="Maruthi Service Station"/>
    <n v="518"/>
    <s v="Petrol and Diesel Charges"/>
    <s v="Petrol 10 Ltr and Diesel 160 Ltr"/>
    <n v="15538"/>
    <n v="0"/>
    <n v="0"/>
    <n v="0"/>
    <n v="0"/>
    <n v="15538"/>
    <m/>
  </r>
  <r>
    <x v="5"/>
    <d v="2025-09-28T00:00:00"/>
    <s v="SEP-024/25-26 "/>
    <s v="R.G Hotels &amp; Resort"/>
    <n v="2410"/>
    <s v="Lodging Charges"/>
    <s v="Hotel and Room Rent (Deepak K.v)"/>
    <n v="2857.14"/>
    <n v="0.05"/>
    <n v="0"/>
    <n v="71.4285"/>
    <n v="71.4285"/>
    <n v="2999.9969999999998"/>
    <m/>
  </r>
  <r>
    <x v="5"/>
    <d v="2025-09-30T00:00:00"/>
    <s v="SEP-025/25-26 "/>
    <s v="Hemachandra Crane Service"/>
    <n v="92"/>
    <s v="Service Charges"/>
    <s v="Crane Service"/>
    <n v="14200"/>
    <n v="0.18"/>
    <n v="0"/>
    <n v="1278"/>
    <n v="1278"/>
    <n v="16756"/>
    <m/>
  </r>
  <r>
    <x v="5"/>
    <d v="2025-09-30T00:00:00"/>
    <s v="SEP-026/25-26 "/>
    <s v="Sri Veerabhadraswamy Transport"/>
    <n v="234"/>
    <s v="Transportation Charges "/>
    <s v="For the month of Sep-2025"/>
    <n v="86150"/>
    <n v="0"/>
    <n v="0"/>
    <n v="0"/>
    <n v="0"/>
    <n v="86150"/>
    <m/>
  </r>
  <r>
    <x v="5"/>
    <d v="2025-09-30T00:00:00"/>
    <s v="SEP-027/25-26 "/>
    <s v="Sri Veerabhadraswamy Transport"/>
    <n v="235"/>
    <s v="Transportation Charges "/>
    <s v="For the month of Sep-2025"/>
    <n v="74750"/>
    <n v="0"/>
    <n v="0"/>
    <n v="0"/>
    <n v="0"/>
    <n v="74750"/>
    <m/>
  </r>
  <r>
    <x v="5"/>
    <d v="2025-09-30T00:00:00"/>
    <s v="SEP-028/25-26 "/>
    <s v="Suresh Travels"/>
    <s v="297/25-26"/>
    <s v="Taxi Hire Charges "/>
    <s v="For the month of Sep-2025"/>
    <n v="8241"/>
    <n v="0"/>
    <n v="0"/>
    <n v="0"/>
    <n v="0"/>
    <n v="8241"/>
    <m/>
  </r>
  <r>
    <x v="5"/>
    <d v="2025-09-30T00:00:00"/>
    <s v="SEP-029/25-26 "/>
    <s v="The Professional Couriers "/>
    <s v="HRD2519432"/>
    <s v="Couriers Charges "/>
    <s v="For the month of Sep-2025"/>
    <n v="1196"/>
    <n v="0.18"/>
    <n v="0"/>
    <n v="107.64"/>
    <n v="107.64"/>
    <n v="1411.2800000000002"/>
    <m/>
  </r>
  <r>
    <x v="5"/>
    <d v="2025-09-30T00:00:00"/>
    <s v="SEP-030/25-26 "/>
    <s v="Iffco-Tokio General Insurance Co. Ltd"/>
    <n v="22041765"/>
    <s v="Insurance charges "/>
    <s v="Marine Inland specific Voyage Policy"/>
    <n v="11446.97"/>
    <n v="0.18"/>
    <n v="0"/>
    <n v="1030.2273"/>
    <n v="1030.2273"/>
    <n v="13507.4246"/>
    <m/>
  </r>
  <r>
    <x v="5"/>
    <d v="2025-09-30T00:00:00"/>
    <s v="SEP-031/25-26 "/>
    <s v="Iffco-Tokio General Insurance Co. Ltd"/>
    <n v="22041795"/>
    <s v="Insurance charges "/>
    <s v="Marine Inland specific Voyage Policy"/>
    <n v="3382.98"/>
    <n v="0.18"/>
    <n v="0"/>
    <n v="304.46820000000002"/>
    <n v="304.46820000000002"/>
    <n v="3991.9164000000001"/>
    <m/>
  </r>
  <r>
    <x v="5"/>
    <d v="2025-09-30T00:00:00"/>
    <s v="SEP-032/25-26 "/>
    <s v="Jupiter &amp; Company"/>
    <s v="0568/2025-26"/>
    <s v="Proffessional Fees "/>
    <s v="Fees Towards Preparation of EPF &amp; ESI Challans During Calender Sep -2025"/>
    <n v="1500"/>
    <n v="0.18"/>
    <n v="0"/>
    <n v="135"/>
    <n v="135"/>
    <n v="1770"/>
    <m/>
  </r>
  <r>
    <x v="5"/>
    <d v="2025-09-27T00:00:00"/>
    <s v="SEP-033/25-26 "/>
    <s v="RBS IT Solutions"/>
    <s v="RBS/673/25-26"/>
    <s v="Service Charges"/>
    <s v="Tally Software Services-Silver 2 Year"/>
    <n v="8100"/>
    <n v="0.18"/>
    <n v="0"/>
    <n v="729"/>
    <n v="729"/>
    <n v="9558"/>
    <m/>
  </r>
  <r>
    <x v="5"/>
    <d v="2025-09-30T00:00:00"/>
    <s v="SEP-034/25-26 "/>
    <s v="Nikhila Engineering"/>
    <n v="1363"/>
    <s v="Job Work "/>
    <s v="Thermal Insulation "/>
    <n v="254057.05"/>
    <n v="0.18"/>
    <n v="0"/>
    <n v="22865.134499999996"/>
    <n v="22865.134499999996"/>
    <n v="299787.31899999996"/>
    <m/>
  </r>
  <r>
    <x v="5"/>
    <d v="2025-09-30T00:00:00"/>
    <s v="SEP-035/25-26 "/>
    <s v="Nikhila Engineering"/>
    <n v="1364"/>
    <s v="Job Work "/>
    <s v="Thermal Insulation "/>
    <n v="20107.75"/>
    <n v="0.18"/>
    <n v="0"/>
    <n v="1809.6975"/>
    <n v="1809.6975"/>
    <n v="23727.144999999997"/>
    <m/>
  </r>
  <r>
    <x v="5"/>
    <d v="2025-09-30T00:00:00"/>
    <s v="SEP-036/25-26 "/>
    <s v="Nikhila Engineering"/>
    <n v="1365"/>
    <s v="Job Work "/>
    <s v="Thermal Insulation "/>
    <n v="10612.05"/>
    <n v="0.18"/>
    <n v="0"/>
    <n v="955.08449999999993"/>
    <n v="955.08449999999993"/>
    <n v="12522.219000000001"/>
    <m/>
  </r>
  <r>
    <x v="5"/>
    <d v="2025-09-30T00:00:00"/>
    <s v="SEP-037/25-26 "/>
    <s v="Nikhila Engineering"/>
    <n v="1366"/>
    <s v="Job Work "/>
    <s v="Thermal Insulation "/>
    <n v="10141.299999999999"/>
    <n v="0.18"/>
    <n v="0"/>
    <n v="912.71699999999998"/>
    <n v="912.71699999999998"/>
    <n v="11966.734"/>
    <m/>
  </r>
  <r>
    <x v="5"/>
    <d v="2025-09-30T00:00:00"/>
    <s v="SEP-038/25-26 "/>
    <s v="Nikhila Engineering"/>
    <n v="1367"/>
    <s v="Job Work "/>
    <s v="Acoustic Insulation "/>
    <n v="1147.02"/>
    <n v="0.18"/>
    <n v="0"/>
    <n v="103.23180000000001"/>
    <n v="103.23180000000001"/>
    <n v="1353.4836"/>
    <m/>
  </r>
  <r>
    <x v="5"/>
    <d v="2025-09-30T00:00:00"/>
    <s v="SEP-039/25-26 "/>
    <s v="Nikhila Engineering"/>
    <n v="1368"/>
    <s v="Job Work "/>
    <s v="Thermal Insulation and Acoustic Insulation "/>
    <n v="176912.69"/>
    <n v="0.18"/>
    <n v="0"/>
    <n v="15922.142099999999"/>
    <n v="15922.142099999999"/>
    <n v="208756.9742"/>
    <m/>
  </r>
  <r>
    <x v="5"/>
    <d v="2025-09-30T00:00:00"/>
    <s v="SEP-040/25-26 "/>
    <s v="Nikhila Engineering"/>
    <n v="1369"/>
    <s v="Job Work "/>
    <s v="Thermal Insulation and Acoustic Insulation"/>
    <n v="272602.99"/>
    <n v="0.18"/>
    <n v="0"/>
    <n v="24534.269100000001"/>
    <n v="24534.269100000001"/>
    <n v="321671.52819999994"/>
    <m/>
  </r>
  <r>
    <x v="5"/>
    <d v="2025-09-30T00:00:00"/>
    <s v="SEP-041/25-26 "/>
    <s v="Nikhila Engineering"/>
    <n v="1370"/>
    <s v="Job Work "/>
    <s v="Thermal Insulation and Acoustic Insulation"/>
    <n v="93747.04"/>
    <n v="0.18"/>
    <n v="0"/>
    <n v="8437.2335999999996"/>
    <n v="8437.2335999999996"/>
    <n v="110621.50719999999"/>
    <m/>
  </r>
  <r>
    <x v="5"/>
    <d v="2025-09-30T00:00:00"/>
    <s v="SEP-042/25-26 "/>
    <s v="Nikhila Engineering"/>
    <n v="1371"/>
    <s v="Job Work "/>
    <s v="Thermal Insulation and Acoustic Insulation"/>
    <n v="137991.62"/>
    <n v="0.18"/>
    <n v="0"/>
    <n v="12419.245800000001"/>
    <n v="12419.245800000001"/>
    <n v="162830.1116"/>
    <m/>
  </r>
  <r>
    <x v="5"/>
    <d v="2025-09-30T00:00:00"/>
    <s v="SEP-043/25-26 "/>
    <s v="Nikhila Engineering"/>
    <n v="1372"/>
    <s v="Job Work "/>
    <s v="Thermal Insulation and Acoustic Insulation"/>
    <n v="19826.38"/>
    <n v="0.18"/>
    <n v="0"/>
    <n v="1784.3742000000002"/>
    <n v="1784.3742000000002"/>
    <n v="23395.128400000001"/>
    <m/>
  </r>
  <r>
    <x v="5"/>
    <d v="2025-09-30T00:00:00"/>
    <s v="SEP-044/25-26 "/>
    <s v="Nikhila Engineering"/>
    <n v="1373"/>
    <s v="Job Work "/>
    <s v="Thermal Insulation "/>
    <n v="9293.9500000000007"/>
    <n v="0.18"/>
    <n v="0"/>
    <n v="836.45550000000003"/>
    <n v="836.45550000000003"/>
    <n v="10966.861000000001"/>
    <m/>
  </r>
  <r>
    <x v="5"/>
    <d v="2025-09-30T00:00:00"/>
    <s v="SEP-045/25-26 "/>
    <s v="Nikhila Engineering"/>
    <n v="1374"/>
    <s v="Job Work "/>
    <s v="Thermal Insulation and Insulation without beading"/>
    <n v="51594.2"/>
    <n v="0.18"/>
    <n v="0"/>
    <n v="4643.4780000000001"/>
    <n v="4643.4780000000001"/>
    <n v="60881.156000000003"/>
    <m/>
  </r>
  <r>
    <x v="5"/>
    <d v="2025-09-30T00:00:00"/>
    <s v="SEP-046/25-26 "/>
    <s v="Nikhila Engineering "/>
    <n v="1375"/>
    <s v="Job Work "/>
    <s v="Thermal Insulation And Acoustic Insulation without beading "/>
    <n v="12427.8"/>
    <n v="0.18"/>
    <n v="0"/>
    <n v="1118.502"/>
    <n v="1118.502"/>
    <n v="14664.804"/>
    <m/>
  </r>
  <r>
    <x v="5"/>
    <d v="2025-09-30T00:00:00"/>
    <s v="SEP-047/25-26 "/>
    <s v="Nikhila Engineering "/>
    <n v="1376"/>
    <s v="Job Work "/>
    <s v="Thermal Insulation and Acoustic Insulation"/>
    <n v="82560.399999999994"/>
    <n v="0.18"/>
    <n v="0"/>
    <n v="7430.4359999999997"/>
    <n v="7430.4359999999997"/>
    <n v="97421.271999999997"/>
    <m/>
  </r>
  <r>
    <x v="5"/>
    <d v="2025-09-30T00:00:00"/>
    <s v="SEP-048/25-26 "/>
    <s v="Nikhila Engineering"/>
    <n v="1377"/>
    <s v="Job Work"/>
    <s v="Thermal Insulation and Acoustic Insulation"/>
    <n v="23356.73"/>
    <n v="0.18"/>
    <n v="0"/>
    <n v="2102.1057000000001"/>
    <n v="2102.1057000000001"/>
    <n v="27560.9414"/>
    <m/>
  </r>
  <r>
    <x v="5"/>
    <d v="2025-09-30T00:00:00"/>
    <s v="SEP-049/25-26 "/>
    <s v="Nikhila Engineering "/>
    <n v="1378"/>
    <s v="Job Work"/>
    <s v="Acoustic Insulation and Acoustic Insulation without beading"/>
    <n v="27401.42"/>
    <n v="0.18"/>
    <n v="0"/>
    <n v="2466.1277999999998"/>
    <n v="2466.1277999999998"/>
    <n v="32333.675599999995"/>
    <m/>
  </r>
  <r>
    <x v="5"/>
    <d v="2025-09-30T00:00:00"/>
    <s v="SEP-050/25-26 "/>
    <s v="Nikhila Engineering"/>
    <n v="1379"/>
    <s v="Job Work "/>
    <s v="Thermal Insulation, Acoustic Insulation and Insulation without beading (In Sqm)"/>
    <n v="180273.04"/>
    <n v="0.18"/>
    <n v="0"/>
    <n v="16224.573600000002"/>
    <n v="16224.573600000002"/>
    <n v="212722.18720000001"/>
    <m/>
  </r>
  <r>
    <x v="5"/>
    <d v="2025-09-30T00:00:00"/>
    <s v="SEP-051/25-26 "/>
    <s v="Nikhila Engineering "/>
    <n v="1380"/>
    <s v="Job Work "/>
    <s v="Thermal Insulation, Acoustic Insulation and Insulation without beading (In Sqm)"/>
    <n v="50489.15"/>
    <n v="0.18"/>
    <n v="0"/>
    <n v="4544.0235000000002"/>
    <n v="4544.0235000000002"/>
    <n v="59577.197000000007"/>
    <m/>
  </r>
  <r>
    <x v="5"/>
    <d v="2025-09-24T00:00:00"/>
    <s v="SEP-052/25-26 "/>
    <s v="Shandilya Softech Pvt Ltd "/>
    <s v="INV0228-25"/>
    <s v="Legal and Law Charges"/>
    <s v="Form 26Q2, Form 24Q2 and Form"/>
    <n v="3600"/>
    <n v="0.18"/>
    <n v="0"/>
    <n v="324"/>
    <n v="324"/>
    <n v="4559"/>
    <m/>
  </r>
  <r>
    <x v="6"/>
    <d v="2025-10-30T00:00:00"/>
    <s v="SEP-053/25-26 "/>
    <s v="VRL Logistics Ltd"/>
    <n v="870609"/>
    <s v="Logistics Charges "/>
    <s v="Transportation of Whisper Lock Machine to Haryana Factory"/>
    <n v="135000"/>
    <n v="0"/>
    <n v="0"/>
    <m/>
    <n v="0"/>
    <n v="135000"/>
    <m/>
  </r>
  <r>
    <x v="6"/>
    <d v="2025-10-30T00:00:00"/>
    <s v="SEP-054/25-26 "/>
    <s v="VRL Logistics Ltd"/>
    <n v="870610"/>
    <s v="Logistics Charges "/>
    <s v="Transportation of GI Formed Section machine to Haryana Factory"/>
    <n v="135000"/>
    <n v="0"/>
    <n v="0"/>
    <m/>
    <n v="0"/>
    <n v="135000"/>
    <m/>
  </r>
  <r>
    <x v="6"/>
    <d v="2025-10-02T00:00:00"/>
    <s v="OCT-001/25-26"/>
    <s v="BAS Staffing Solutions Pvt Ltd"/>
    <n v="566"/>
    <s v="Security Service Charges "/>
    <s v="For the month of Sep-2025"/>
    <n v="149584"/>
    <n v="0.18"/>
    <n v="0"/>
    <n v="13462.56"/>
    <n v="13462.56"/>
    <n v="176509.12"/>
    <m/>
  </r>
  <r>
    <x v="6"/>
    <d v="2025-10-03T00:00:00"/>
    <s v="OCT-002/25-26"/>
    <s v="R.G Hotels &amp; Resort"/>
    <n v="2467"/>
    <s v="Lodging Charges"/>
    <s v="Hotel and Room rent (Prasad Kumar)"/>
    <n v="1714.29"/>
    <n v="0.05"/>
    <n v="0"/>
    <n v="42.857250000000001"/>
    <n v="42.857250000000001"/>
    <n v="1800.0045"/>
    <m/>
  </r>
  <r>
    <x v="6"/>
    <d v="2025-10-03T00:00:00"/>
    <s v="OCT-003/25-26"/>
    <s v="Bangalore Electricity Supply Company"/>
    <s v="1243199015222"/>
    <s v="Electricity Power charges "/>
    <s v="For the month of Sep-2025"/>
    <n v="149201"/>
    <n v="0"/>
    <n v="0"/>
    <n v="0"/>
    <n v="0"/>
    <n v="149201"/>
    <m/>
  </r>
  <r>
    <x v="6"/>
    <d v="2025-10-11T00:00:00"/>
    <s v="OCT-004/25-26"/>
    <s v="GN Developers"/>
    <s v="GN0137"/>
    <s v="Service Charges"/>
    <s v="Domain and Host renewal for one year  (2025-26) Camduct.in"/>
    <n v="5500"/>
    <n v="0"/>
    <n v="0"/>
    <n v="0"/>
    <n v="0"/>
    <n v="5500"/>
    <m/>
  </r>
  <r>
    <x v="6"/>
    <d v="2025-10-11T00:00:00"/>
    <s v="OCT-005/25-26"/>
    <s v="Ashok Business Service India Pvt Ltd"/>
    <s v="ABSIPL/25-26/141"/>
    <s v="Manpower Services Charges "/>
    <s v="For the month of Sep-2025"/>
    <n v="717730"/>
    <n v="0.18"/>
    <n v="0"/>
    <n v="64595.7"/>
    <n v="64595.7"/>
    <n v="846921.39999999991"/>
    <m/>
  </r>
  <r>
    <x v="6"/>
    <d v="2025-10-11T00:00:00"/>
    <s v="OCT-006/25-26"/>
    <s v="Ashok Business Service India Pvt Ltd"/>
    <s v="ABSIPL/25-26/142"/>
    <s v="Manpower Services Charges "/>
    <s v="Bonus for the Yeat of 2025-26"/>
    <n v="192435"/>
    <n v="0.18"/>
    <n v="0"/>
    <n v="17319.150000000001"/>
    <n v="17319.150000000001"/>
    <n v="227073.3"/>
    <m/>
  </r>
  <r>
    <x v="6"/>
    <d v="2025-10-13T00:00:00"/>
    <s v="OCT-007/25-26"/>
    <s v="Prasad &amp; Suresh"/>
    <s v="074/2025-26"/>
    <s v="Proffessional Fees "/>
    <s v="Statutory Audit of accounts for the year ended 31stt March, 2025 and Tax Audit for the year."/>
    <n v="210000"/>
    <n v="0.18"/>
    <n v="0"/>
    <n v="18900"/>
    <n v="18900"/>
    <n v="247800"/>
    <m/>
  </r>
  <r>
    <x v="6"/>
    <d v="2025-10-15T00:00:00"/>
    <s v="OCT-008/25-26"/>
    <s v="Maruthi Service Station"/>
    <n v="558"/>
    <s v="Diesel Charges "/>
    <s v="Diesel 160 Ltr"/>
    <n v="14512"/>
    <n v="0"/>
    <n v="0"/>
    <n v="0"/>
    <n v="0"/>
    <n v="14512"/>
    <m/>
  </r>
  <r>
    <x v="6"/>
    <d v="2025-10-11T00:00:00"/>
    <s v="OCT-009/25-26"/>
    <s v="Sri Udyog Integrated Services Pvt Ltd "/>
    <s v="SUI/1212"/>
    <s v="Bonus Charges"/>
    <s v="For the Period of April 2024 to March 2025"/>
    <n v="338355.96"/>
    <n v="0.18"/>
    <n v="0"/>
    <n v="30452.036400000001"/>
    <n v="30452.036400000001"/>
    <n v="399260.03279999999"/>
    <m/>
  </r>
  <r>
    <x v="6"/>
    <d v="2025-10-14T00:00:00"/>
    <s v="OCT-010/25-26"/>
    <s v="Sri Udyog Integrated Services Pvt Ltd "/>
    <s v="SUI/1216"/>
    <s v="Manpower Services Charges "/>
    <s v="For the month of Sep-2025"/>
    <n v="661434.97"/>
    <n v="0.18"/>
    <n v="0"/>
    <n v="59529.147299999997"/>
    <n v="59529.147299999997"/>
    <n v="780493.26459999988"/>
    <m/>
  </r>
  <r>
    <x v="6"/>
    <d v="2025-10-14T00:00:00"/>
    <s v="OCT-011/25-26"/>
    <s v="Sri Udyog Integrated Services Pvt Ltd "/>
    <s v="SUI/1217"/>
    <s v="Over Time Wages "/>
    <s v="For the month of Sep-2025"/>
    <n v="156998.15"/>
    <n v="0.18"/>
    <n v="0"/>
    <n v="14129.833499999999"/>
    <n v="14129.833499999999"/>
    <n v="185257.81700000001"/>
    <m/>
  </r>
  <r>
    <x v="6"/>
    <d v="2025-10-16T00:00:00"/>
    <s v="OCT-012/25-26"/>
    <s v="Sri Venkateshwara Enterprises"/>
    <s v="SVE/3657/25-26"/>
    <s v="Carbon-Di-Oxide Full Cylinder"/>
    <s v="135 Kgs"/>
    <n v="4050"/>
    <n v="0.18"/>
    <n v="0"/>
    <n v="364.5"/>
    <n v="364.5"/>
    <n v="4779"/>
    <m/>
  </r>
  <r>
    <x v="6"/>
    <d v="2025-10-18T00:00:00"/>
    <s v="OCT-013/25-26"/>
    <s v="R.G Hotels &amp; Resort"/>
    <n v="2665"/>
    <s v="Lodging Charges"/>
    <s v="Hotel and Room rent (Mr.Deepak Kv and Mr. Jagdish)"/>
    <n v="3619.05"/>
    <n v="0.05"/>
    <m/>
    <n v="90.476249999999993"/>
    <n v="90.476249999999993"/>
    <n v="3800.0025000000005"/>
    <m/>
  </r>
  <r>
    <x v="6"/>
    <d v="2025-10-27T00:00:00"/>
    <s v="OCT-014/25-26"/>
    <s v="Cartridge Plus "/>
    <n v="4137"/>
    <s v="Printing Charges "/>
    <s v="Cartridge Refilling 6 Nos"/>
    <n v="6500"/>
    <n v="0.18"/>
    <m/>
    <n v="585"/>
    <n v="585"/>
    <n v="7670"/>
    <m/>
  </r>
  <r>
    <x v="6"/>
    <d v="2025-10-30T00:00:00"/>
    <s v="OCT-015/25-26"/>
    <s v="Meenakshi Steel Corporation"/>
    <n v="90190"/>
    <s v="Job Work "/>
    <s v="Coil Slitting Charges (6.010x1) and Transportation Charges 4210  + Other Charges 100"/>
    <n v="10320"/>
    <n v="0.18"/>
    <n v="0"/>
    <n v="928.8"/>
    <n v="928.8"/>
    <n v="12177.599999999999"/>
    <m/>
  </r>
  <r>
    <x v="6"/>
    <d v="2025-10-30T00:00:00"/>
    <s v="OCT-016/25-26"/>
    <s v="Meenakshi Steel Corporation"/>
    <n v="90191"/>
    <s v="Job Work "/>
    <s v="Coil Slitting Charges (4.735x1) and Transportation Charges 3315"/>
    <n v="8050"/>
    <n v="0.18"/>
    <n v="0"/>
    <n v="724.5"/>
    <n v="724.5"/>
    <n v="9499"/>
    <m/>
  </r>
  <r>
    <x v="6"/>
    <d v="2025-10-30T00:00:00"/>
    <s v="OCT-017/25-26"/>
    <s v="Meenakshi Steel Corporation"/>
    <n v="90192"/>
    <s v="Job Work "/>
    <s v="Coil Slitting Charges (4.925x1) and Transportation Charges 3450"/>
    <n v="8375"/>
    <n v="0.18"/>
    <n v="0"/>
    <n v="753.75"/>
    <n v="753.75"/>
    <n v="9882.5"/>
    <m/>
  </r>
  <r>
    <x v="6"/>
    <d v="2025-10-23T00:00:00"/>
    <s v="OCT-018/25-26"/>
    <s v="P Venkatesh &amp; Associates "/>
    <n v="338"/>
    <s v="Professional fees "/>
    <s v="For Filling of MSME Form-1 (April 2025 to September 2025)"/>
    <n v="2000"/>
    <n v="0.18"/>
    <n v="0"/>
    <n v="180"/>
    <n v="180"/>
    <n v="2360"/>
    <m/>
  </r>
  <r>
    <x v="6"/>
    <d v="2025-10-31T00:00:00"/>
    <s v="OCT-019/25-26"/>
    <s v="KIDB (No Bill)"/>
    <m/>
    <s v="Donation"/>
    <s v="Paid to Kannada Rajyosthava Celebration"/>
    <n v="8000"/>
    <n v="0"/>
    <n v="0"/>
    <n v="0"/>
    <n v="0"/>
    <n v="8000"/>
    <m/>
  </r>
  <r>
    <x v="6"/>
    <d v="2025-10-31T00:00:00"/>
    <s v="OCT-020/25-26"/>
    <s v="Quality Council of India"/>
    <s v="NDIE/OCT25/01110"/>
    <s v="Assessment Fees"/>
    <s v="Zed Silver Certification Fees"/>
    <n v="15254.24"/>
    <n v="0.18"/>
    <n v="2745.7631999999999"/>
    <n v="0"/>
    <n v="0"/>
    <n v="18000.003199999999"/>
    <m/>
  </r>
  <r>
    <x v="6"/>
    <d v="2025-10-31T00:00:00"/>
    <s v="OCT-021/25-26"/>
    <s v="Suresh Travels"/>
    <s v="348/25-26"/>
    <s v="Taxi Hire Charges "/>
    <s v="For the month of Oct-2025"/>
    <n v="5014"/>
    <n v="0"/>
    <n v="0"/>
    <n v="0"/>
    <n v="0"/>
    <n v="5014"/>
    <m/>
  </r>
  <r>
    <x v="6"/>
    <d v="2025-10-31T00:00:00"/>
    <s v="OCT-022/25-26"/>
    <s v="Sri Veerabhadraswamy Transport"/>
    <n v="252"/>
    <s v="Transportation Charges "/>
    <s v="For the month of Oct-2025"/>
    <n v="93400"/>
    <n v="0"/>
    <n v="0"/>
    <n v="0"/>
    <n v="0"/>
    <n v="93400"/>
    <m/>
  </r>
  <r>
    <x v="6"/>
    <d v="2025-10-31T00:00:00"/>
    <s v="OCT-023/25-26"/>
    <s v="Sri Veerabhadraswamy Transport"/>
    <n v="253"/>
    <s v="Transportation Charges "/>
    <s v="For the month of Oct-2025"/>
    <n v="34350"/>
    <n v="0"/>
    <n v="0"/>
    <n v="0"/>
    <n v="0"/>
    <n v="34350"/>
    <m/>
  </r>
  <r>
    <x v="6"/>
    <d v="2025-10-31T00:00:00"/>
    <s v="OCT-024/25-26"/>
    <s v="Jupiter &amp; Company"/>
    <s v="0678/2025-26"/>
    <s v="Professional fees "/>
    <s v="Fees Towards Preparation of EPF &amp; ESI Challans During Calender Oct -2025"/>
    <n v="1500"/>
    <n v="0.18"/>
    <n v="0"/>
    <n v="135"/>
    <n v="135"/>
    <n v="1770"/>
    <m/>
  </r>
  <r>
    <x v="6"/>
    <d v="2025-10-31T00:00:00"/>
    <s v="OCT-025/25-26"/>
    <s v="The Professional Couriers "/>
    <s v="HRD2522892"/>
    <s v="Couriers Charges "/>
    <s v="For the month of Oct-2025"/>
    <n v="9559.9500000000007"/>
    <n v="0.18"/>
    <n v="0"/>
    <n v="860.39550000000008"/>
    <n v="860.39550000000008"/>
    <n v="11280.741000000002"/>
    <m/>
  </r>
  <r>
    <x v="6"/>
    <d v="2025-10-31T00:00:00"/>
    <s v="OCT-026/25-26"/>
    <s v="Nikhila Engineering "/>
    <n v="1383"/>
    <s v="Job Work"/>
    <s v="Acoustic Insulation without beading "/>
    <n v="5151.3500000000004"/>
    <n v="0.18"/>
    <n v="0"/>
    <n v="463.62150000000003"/>
    <n v="463.62150000000003"/>
    <n v="6078.5930000000008"/>
    <m/>
  </r>
  <r>
    <x v="6"/>
    <d v="2025-10-31T00:00:00"/>
    <s v="OCT-027/25-26"/>
    <s v="Nikhila Engineering "/>
    <n v="1384"/>
    <s v="Job Work "/>
    <s v="Thermal Insulation"/>
    <n v="188273.1"/>
    <n v="0.18"/>
    <n v="0"/>
    <n v="16944.579000000002"/>
    <n v="16944.579000000002"/>
    <n v="222162.258"/>
    <m/>
  </r>
  <r>
    <x v="6"/>
    <d v="2025-10-31T00:00:00"/>
    <s v="OCT-028/25-26"/>
    <s v="Nikhila Engineering "/>
    <n v="1385"/>
    <s v="Job Work "/>
    <s v="Acoustic Insulation Without Beading "/>
    <n v="5864.2"/>
    <n v="0.18"/>
    <n v="0"/>
    <n v="527.77799999999991"/>
    <n v="527.77799999999991"/>
    <n v="6919.7560000000003"/>
    <m/>
  </r>
  <r>
    <x v="6"/>
    <d v="2025-10-31T00:00:00"/>
    <s v="OCT-029/25-26"/>
    <s v="Nikhila Engineering "/>
    <n v="1386"/>
    <s v="Job Work "/>
    <s v="Thermal Insulation"/>
    <n v="99516.55"/>
    <n v="0.18"/>
    <n v="0"/>
    <n v="8956.4895000000015"/>
    <n v="8956.4895000000015"/>
    <n v="117429.52899999999"/>
    <m/>
  </r>
  <r>
    <x v="6"/>
    <d v="2025-10-31T00:00:00"/>
    <s v="OCT-030/25-26"/>
    <s v="Nikhila Engineering"/>
    <n v="1387"/>
    <s v="Job Work"/>
    <s v="Thermal Insulatin and Acoustic Insulation "/>
    <n v="6714.24"/>
    <n v="0.18"/>
    <n v="0"/>
    <n v="604.28159999999991"/>
    <n v="604.28159999999991"/>
    <n v="7922.8032000000003"/>
    <m/>
  </r>
  <r>
    <x v="6"/>
    <d v="2025-10-31T00:00:00"/>
    <s v="OCT-031/25-26"/>
    <s v="Nikhila Engineering "/>
    <n v="1388"/>
    <s v="Job Work "/>
    <s v="Thermal Insulation "/>
    <n v="2004.05"/>
    <n v="0.18"/>
    <n v="0"/>
    <n v="180.36450000000002"/>
    <n v="180.36450000000002"/>
    <n v="2364.779"/>
    <m/>
  </r>
  <r>
    <x v="6"/>
    <d v="2025-10-31T00:00:00"/>
    <s v="OCT-032/25-26"/>
    <s v="Nikhila Engineering "/>
    <n v="1389"/>
    <s v="Job Work"/>
    <s v="Thermal Insulation "/>
    <n v="23954.45"/>
    <n v="0.18"/>
    <n v="0"/>
    <n v="2155.9005000000002"/>
    <n v="2155.9005000000002"/>
    <n v="28266.251"/>
    <m/>
  </r>
  <r>
    <x v="6"/>
    <d v="2025-10-31T00:00:00"/>
    <s v="OCT-033/25-26"/>
    <s v="Nikhila Engineering "/>
    <n v="1390"/>
    <s v="Job Work"/>
    <s v="Thermal Insulation and Acoustic Insulation"/>
    <n v="147728.88"/>
    <n v="0.18"/>
    <n v="0"/>
    <n v="13295.599199999999"/>
    <n v="13295.599199999999"/>
    <n v="174320.0784"/>
    <m/>
  </r>
  <r>
    <x v="6"/>
    <d v="2025-10-31T00:00:00"/>
    <s v="OCT-034/25-26"/>
    <s v="Nikhila Engineering "/>
    <n v="1391"/>
    <s v="Job Work "/>
    <s v="Thermal Insulatin and Acoustic Insulation "/>
    <n v="26501.34"/>
    <n v="0.18"/>
    <n v="0"/>
    <n v="2385.1206000000002"/>
    <n v="2385.1206000000002"/>
    <n v="31271.581200000001"/>
    <m/>
  </r>
  <r>
    <x v="6"/>
    <d v="2025-10-31T00:00:00"/>
    <s v="OCT-035/25-26"/>
    <s v="Nikhila Engineering "/>
    <n v="1392"/>
    <s v="Job Work"/>
    <s v="Thermal Insulation, Acoustic Insulation and Acoustic Insulation without Beading "/>
    <n v="67781.009999999995"/>
    <n v="0.18"/>
    <n v="0"/>
    <n v="6100.2909"/>
    <n v="6100.2909"/>
    <n v="79981.591799999995"/>
    <m/>
  </r>
  <r>
    <x v="6"/>
    <d v="2025-10-31T00:00:00"/>
    <s v="OCT-036/25-26"/>
    <s v="Nikhila Engineering "/>
    <n v="1393"/>
    <s v="Job Work "/>
    <s v="Thermal Insualtion and Acoustic Insulation"/>
    <n v="21854.639999999999"/>
    <n v="0.18"/>
    <n v="0"/>
    <n v="1966.9176"/>
    <n v="1966.9176"/>
    <n v="25788.475200000001"/>
    <m/>
  </r>
  <r>
    <x v="6"/>
    <d v="2025-10-31T00:00:00"/>
    <s v="OCT-037/25-26"/>
    <s v="Nikhila Engineering "/>
    <n v="1394"/>
    <s v="Job Work "/>
    <s v="Thermal Insulation and Acoustic Insulation"/>
    <n v="43544.11"/>
    <n v="0.18"/>
    <n v="0"/>
    <n v="3918.9699000000001"/>
    <n v="3918.9699000000001"/>
    <n v="51382.049799999993"/>
    <m/>
  </r>
  <r>
    <x v="6"/>
    <d v="2025-10-31T00:00:00"/>
    <s v="OCT-038/25-26"/>
    <s v="NiKhila Engineering "/>
    <n v="1395"/>
    <s v="Job Work"/>
    <s v="Thermal Insulation and Acoustic Insulation"/>
    <n v="91249.1"/>
    <n v="0.18"/>
    <n v="0"/>
    <n v="8212.4189999999999"/>
    <n v="8212.4189999999999"/>
    <n v="107673.93799999999"/>
    <m/>
  </r>
  <r>
    <x v="6"/>
    <d v="2025-10-31T00:00:00"/>
    <s v="OCT-039/25-26"/>
    <s v="Nikhila Engineering "/>
    <n v="1396"/>
    <s v="Job Work "/>
    <s v="Thermal Insulation  and Acousitc Insulation without Insulation "/>
    <n v="9240.15"/>
    <n v="0.18"/>
    <n v="0"/>
    <n v="831.61349999999993"/>
    <n v="831.61349999999993"/>
    <n v="10903.376999999999"/>
    <m/>
  </r>
  <r>
    <x v="6"/>
    <d v="2025-10-31T00:00:00"/>
    <s v="OCT-040/25-26"/>
    <s v="Nikhila Engineering "/>
    <n v="1397"/>
    <s v="Job Work "/>
    <s v="Acoustic Insulation without Beading "/>
    <n v="3174.2"/>
    <n v="0.18"/>
    <n v="0"/>
    <n v="285.678"/>
    <n v="285.678"/>
    <n v="3745.5559999999996"/>
    <m/>
  </r>
  <r>
    <x v="6"/>
    <d v="2025-10-31T00:00:00"/>
    <s v="OCT-041/25-26"/>
    <s v="Nikhila Engineering "/>
    <n v="1398"/>
    <s v="Job Work "/>
    <s v="Thermal Insulation and Acoustic Insulation "/>
    <n v="11816.09"/>
    <n v="0.18"/>
    <n v="0"/>
    <n v="1063.4481000000001"/>
    <n v="1063.4481000000001"/>
    <n v="13942.986199999999"/>
    <m/>
  </r>
  <r>
    <x v="6"/>
    <d v="2025-10-31T00:00:00"/>
    <s v="OCT-042/25-26"/>
    <s v="Neha Graphics "/>
    <n v="93"/>
    <s v="Printing Charges "/>
    <s v="A4 Size Die Punched Stickers - 10,000 Nos "/>
    <n v="40000"/>
    <n v="0"/>
    <n v="0"/>
    <n v="0"/>
    <n v="0"/>
    <n v="40000"/>
    <m/>
  </r>
  <r>
    <x v="6"/>
    <d v="2025-10-30T00:00:00"/>
    <s v="OCT-043/25-26"/>
    <s v="Prithvi Exchange (India) Limited"/>
    <n v="380634"/>
    <s v="Money Exchange "/>
    <s v="(Deepak) Indian  Money Exchange to China Currency By Prithvi Exchange (India) Limited"/>
    <n v="91098"/>
    <n v="0"/>
    <n v="0"/>
    <n v="0"/>
    <n v="0"/>
    <n v="91098"/>
    <m/>
  </r>
  <r>
    <x v="7"/>
    <d v="2025-11-01T00:00:00"/>
    <s v="NOV-001/25-26"/>
    <s v="BAS Staffing Solutions Pvt Ltd"/>
    <n v="639"/>
    <s v="Security Service Charges "/>
    <s v="For the month of Oct-2025"/>
    <n v="148645"/>
    <n v="0.18"/>
    <n v="0"/>
    <n v="13378.05"/>
    <n v="13378.05"/>
    <n v="175401.09999999998"/>
    <m/>
  </r>
  <r>
    <x v="7"/>
    <d v="2025-11-03T00:00:00"/>
    <s v="NOV-002/25-26"/>
    <s v="Meenakshi Steel Corporation"/>
    <n v="90292"/>
    <s v="Job Work"/>
    <s v="Coil Slitting Charges (5.075 x 1) &amp; Transportation Charges 3555 + Others Charges 110"/>
    <n v="8740"/>
    <n v="0.18"/>
    <n v="0"/>
    <n v="786.6"/>
    <n v="786.6"/>
    <n v="10313.200000000001"/>
    <m/>
  </r>
  <r>
    <x v="7"/>
    <d v="2025-11-03T00:00:00"/>
    <s v="NOV-003/25-26"/>
    <s v="Meenakshi Steel Corporation"/>
    <n v="90293"/>
    <s v="Job Work"/>
    <s v="Coil Slitting Charges (4.820 x 1) &amp; Transportation Charges 3375"/>
    <n v="8195"/>
    <n v="0.18"/>
    <n v="0"/>
    <n v="737.55"/>
    <n v="737.55"/>
    <n v="9670.0999999999985"/>
    <m/>
  </r>
  <r>
    <x v="7"/>
    <d v="2025-11-03T00:00:00"/>
    <s v="NOV-004/25-26"/>
    <s v="Meenakshi Steel Corporation"/>
    <n v="90294"/>
    <s v="Job Work"/>
    <s v="Coil Slitting Charges (5280 x 1) &amp; Transportation Charges 3700"/>
    <n v="8980"/>
    <n v="0.18"/>
    <n v="0"/>
    <n v="808.2"/>
    <n v="808.2"/>
    <n v="10596.400000000001"/>
    <m/>
  </r>
  <r>
    <x v="7"/>
    <d v="2025-11-03T00:00:00"/>
    <s v="NOV-005/25-26"/>
    <s v="Bangalore Electricity Supply Company"/>
    <s v="1243199016893"/>
    <s v="Electricity Power charges "/>
    <s v="For the month of Oct-2025"/>
    <n v="137684"/>
    <n v="0"/>
    <n v="0"/>
    <n v="0"/>
    <n v="0"/>
    <n v="137684"/>
    <m/>
  </r>
  <r>
    <x v="7"/>
    <d v="2025-11-05T00:00:00"/>
    <s v="NOV-006/25-26"/>
    <s v="Ashok Business Service India Pvt Ltd"/>
    <s v="ABSIPL/25-26/166"/>
    <s v="Manpower Services Charges "/>
    <s v="For the month of Oct-2025"/>
    <n v="626181"/>
    <n v="0.18"/>
    <n v="0"/>
    <n v="56356.29"/>
    <n v="56356.29"/>
    <n v="738893.58000000007"/>
    <m/>
  </r>
  <r>
    <x v="7"/>
    <d v="2025-11-12T00:00:00"/>
    <s v="NOV-007/25-26"/>
    <s v="P Venkatesh &amp; Associates "/>
    <n v="381"/>
    <s v="Professional fees "/>
    <s v="Professional Fees for Roc Filing Fee of E-Forms &amp; MCA Uploading Charges"/>
    <n v="34000"/>
    <n v="0.18"/>
    <n v="0"/>
    <n v="3060"/>
    <n v="3060"/>
    <n v="51720"/>
    <m/>
  </r>
  <r>
    <x v="7"/>
    <d v="2025-11-14T00:00:00"/>
    <s v="NOV-008/25-26"/>
    <s v="Sri Udyog Integrated Services Pvt Ltd "/>
    <s v="SUI/1264"/>
    <s v="Manpower Services Charges "/>
    <s v="For the month of Oct-2025"/>
    <n v="633293.5"/>
    <n v="0.18"/>
    <m/>
    <n v="56996.415000000001"/>
    <n v="56996.415000000001"/>
    <n v="747286.33000000007"/>
    <m/>
  </r>
  <r>
    <x v="7"/>
    <d v="2025-11-14T00:00:00"/>
    <s v="NOV-009/25-26"/>
    <s v="Sri Udyog Integrated Services Pvt Ltd "/>
    <s v="SUI/1265"/>
    <s v="Over Time Wages "/>
    <s v="For the month of Oct-2025"/>
    <n v="72234.62"/>
    <n v="0.18"/>
    <m/>
    <n v="6501.1157999999996"/>
    <n v="6501.1157999999996"/>
    <n v="85236.851599999995"/>
    <m/>
  </r>
  <r>
    <x v="7"/>
    <d v="2025-11-14T00:00:00"/>
    <s v="NOV-010/25-26"/>
    <s v="Shri Sumukha Industries"/>
    <n v="453"/>
    <s v="Purchasing Charges"/>
    <s v="Purchas of IPOL Hydropac AW 68 (52 Ltr)"/>
    <n v="8060"/>
    <n v="0.18"/>
    <m/>
    <n v="725.4"/>
    <n v="725.4"/>
    <n v="9510.7999999999993"/>
    <m/>
  </r>
  <r>
    <x v="7"/>
    <d v="2025-11-14T00:00:00"/>
    <s v="NOV-011/25-26"/>
    <s v="SBS Industries"/>
    <s v="SBSI/25-26/124"/>
    <s v="Repair &amp; Maintenance Charges "/>
    <s v="Purchase of Machine Spate Parts (3Nos)"/>
    <n v="12500"/>
    <n v="0.18"/>
    <n v="0"/>
    <n v="1125"/>
    <n v="1125"/>
    <n v="14750"/>
    <m/>
  </r>
  <r>
    <x v="7"/>
    <d v="2025-11-15T00:00:00"/>
    <s v="NOV-012/25-26"/>
    <s v="Maruthi Service Station"/>
    <n v="645"/>
    <s v="Petrol and Diesel Charges"/>
    <s v="Purchase of Petrol 10 Ltr and 2 ltr Oil Bottle"/>
    <n v="1716"/>
    <n v="0"/>
    <n v="0"/>
    <n v="0"/>
    <n v="0"/>
    <n v="1716"/>
    <m/>
  </r>
  <r>
    <x v="7"/>
    <d v="2025-11-15T00:00:00"/>
    <s v="NOV-013/25-26"/>
    <s v="Advanced Metallurgical Laboratory LLP"/>
    <s v="UII/25-26/2129"/>
    <s v="Lab Testing Charges "/>
    <s v="Third Party Coil Testing Report charges "/>
    <n v="4500"/>
    <n v="0.18"/>
    <n v="0"/>
    <n v="405"/>
    <n v="405"/>
    <n v="5310"/>
    <m/>
  </r>
  <r>
    <x v="7"/>
    <d v="2025-11-24T00:00:00"/>
    <s v="NOV-014/25-26"/>
    <s v="Sri Raghavendra Industries"/>
    <s v="613/2025-2026"/>
    <s v="Repair &amp; Maintenance Charges "/>
    <s v="Tube Labour Charges Only"/>
    <n v="2500"/>
    <n v="0.18"/>
    <n v="0"/>
    <n v="225"/>
    <n v="225"/>
    <n v="2950"/>
    <m/>
  </r>
  <r>
    <x v="7"/>
    <d v="2025-11-29T00:00:00"/>
    <s v="NOV-015/25-26"/>
    <s v="SBM Engineering Works"/>
    <n v="456"/>
    <s v="Repair Charges "/>
    <s v="Copper Rod Turning (Size 22x120mm ) Teper Tary 30 Nos"/>
    <n v="6600"/>
    <n v="0.18"/>
    <n v="0"/>
    <n v="594"/>
    <n v="594"/>
    <n v="7788"/>
    <m/>
  </r>
  <r>
    <x v="7"/>
    <d v="2025-11-14T00:00:00"/>
    <s v="NOV-016/25-26"/>
    <s v="Neha Graphics "/>
    <n v="104"/>
    <s v="Printing Charges "/>
    <s v="CIN Number, VINYL Stickers with Laminition &amp; Cutting -3Feetx2Feet and Company Board-3x2x Nos"/>
    <n v="2100"/>
    <n v="0"/>
    <n v="0"/>
    <n v="0"/>
    <n v="0"/>
    <n v="2100"/>
    <m/>
  </r>
  <r>
    <x v="7"/>
    <d v="2025-11-21T00:00:00"/>
    <s v="NOV-017/25-26"/>
    <s v="R.G Hotels &amp; Resort"/>
    <n v="3081"/>
    <s v="Lodging Charges"/>
    <s v="Mr.Deepak K.V (20-11-25)Tariff 2516 &amp; Extra Bed 800"/>
    <n v="3506"/>
    <n v="0"/>
    <n v="0"/>
    <n v="0"/>
    <n v="0"/>
    <n v="3506"/>
    <m/>
  </r>
  <r>
    <x v="7"/>
    <d v="2025-11-30T00:00:00"/>
    <s v="NOV-018/25-26"/>
    <s v="Jupiter &amp; Company"/>
    <s v="0801/2025-26"/>
    <s v="Professional fees "/>
    <s v="Fee Towards Preparation of EPF &amp; ESI Challans during calendar Month Nove25"/>
    <n v="1500"/>
    <n v="0.18"/>
    <n v="0"/>
    <n v="135"/>
    <n v="135"/>
    <n v="1770"/>
    <m/>
  </r>
  <r>
    <x v="7"/>
    <d v="2025-11-30T00:00:00"/>
    <s v="NOV-019/25-26"/>
    <s v="The Professional Couriers "/>
    <s v="HRD2526393"/>
    <s v="Couriers Charges "/>
    <s v="For the month of Nov-2025"/>
    <n v="5464.8"/>
    <n v="0.18"/>
    <n v="0"/>
    <n v="491.83200000000005"/>
    <n v="491.83200000000005"/>
    <n v="6448.4640000000009"/>
    <m/>
  </r>
  <r>
    <x v="7"/>
    <d v="2025-11-30T00:00:00"/>
    <s v="NOV-020/25-26"/>
    <s v="Suresh Travels"/>
    <s v="400/25-26"/>
    <s v="Taxi Hire Charges "/>
    <s v="For the month of Nov-2025"/>
    <n v="4160"/>
    <n v="0"/>
    <n v="0"/>
    <n v="0"/>
    <n v="0"/>
    <n v="4160"/>
    <m/>
  </r>
  <r>
    <x v="7"/>
    <d v="2025-11-30T00:00:00"/>
    <s v="NOV-021/25-26"/>
    <s v="Sri Veerabhadraswamy Transport"/>
    <n v="268"/>
    <s v="Transportation Charges "/>
    <s v="For the month of Nov-2025"/>
    <n v="116300"/>
    <n v="0"/>
    <n v="0"/>
    <n v="0"/>
    <n v="0"/>
    <n v="116300"/>
    <m/>
  </r>
  <r>
    <x v="7"/>
    <d v="2025-11-29T00:00:00"/>
    <s v="NOV-022/25-26"/>
    <s v="Nikhila Engineering "/>
    <n v="1405"/>
    <s v="Job Work "/>
    <s v="Thermal Insulation and Acoustic Insulation "/>
    <n v="164050.19"/>
    <n v="0.18"/>
    <n v="0"/>
    <n v="14764.517099999999"/>
    <n v="14764.517099999999"/>
    <n v="193579.2242"/>
    <m/>
  </r>
  <r>
    <x v="7"/>
    <d v="2025-11-29T00:00:00"/>
    <s v="NOV-023/25-26"/>
    <s v="Nikhila Engineering "/>
    <n v="1406"/>
    <s v="Job Work "/>
    <s v="Thermal Insulation "/>
    <n v="76100.100000000006"/>
    <n v="0.18"/>
    <n v="0"/>
    <n v="6849.009"/>
    <n v="6849.009"/>
    <n v="89798.118000000017"/>
    <m/>
  </r>
  <r>
    <x v="7"/>
    <d v="2025-11-29T00:00:00"/>
    <s v="NOV-024/25-26"/>
    <s v="Nikhila Engineering "/>
    <n v="1407"/>
    <s v="Job Work "/>
    <s v="Thermal Insulation, Acoustic Insulation and Acoustic Insulation without beading"/>
    <n v="39563.980000000003"/>
    <n v="0.18"/>
    <n v="0"/>
    <n v="3560.7582000000002"/>
    <n v="3560.7582000000002"/>
    <n v="46685.496400000004"/>
    <m/>
  </r>
  <r>
    <x v="7"/>
    <d v="2025-11-29T00:00:00"/>
    <s v="NOV-025/25-26"/>
    <s v="Nikhila Engineering "/>
    <n v="1408"/>
    <s v="Job Work "/>
    <s v="Thermal Insulation "/>
    <n v="16072.75"/>
    <n v="0.18"/>
    <n v="0"/>
    <n v="1446.5474999999999"/>
    <n v="1446.5474999999999"/>
    <n v="18965.845000000001"/>
    <m/>
  </r>
  <r>
    <x v="7"/>
    <d v="2025-11-29T00:00:00"/>
    <s v="NOV-026/25-26"/>
    <s v="Nikhila Engineering "/>
    <n v="1409"/>
    <s v="Job Work "/>
    <s v="Thermal Insulation and Acoustic Insulation "/>
    <n v="8389.0300000000007"/>
    <n v="0.18"/>
    <n v="0"/>
    <n v="755.0127"/>
    <n v="755.0127"/>
    <n v="9899.0553999999993"/>
    <m/>
  </r>
  <r>
    <x v="7"/>
    <d v="2025-11-29T00:00:00"/>
    <s v="NOV-027/25-26"/>
    <s v="Nikhila Engineering "/>
    <n v="1410"/>
    <s v="Job Work "/>
    <s v="Thermal Insulation "/>
    <n v="242651.45"/>
    <n v="0.18"/>
    <n v="0"/>
    <n v="21838.630500000003"/>
    <n v="21838.630500000003"/>
    <n v="286328.71100000007"/>
    <m/>
  </r>
  <r>
    <x v="7"/>
    <d v="2025-11-29T00:00:00"/>
    <s v="NOV-028/25-26"/>
    <s v="Nikhila Engineering "/>
    <n v="1411"/>
    <s v="Job Work "/>
    <s v="Thermal Insulation "/>
    <n v="2837.95"/>
    <n v="0.18"/>
    <n v="0"/>
    <n v="255.41549999999998"/>
    <n v="255.41549999999998"/>
    <n v="3348.7809999999999"/>
    <m/>
  </r>
  <r>
    <x v="7"/>
    <d v="2025-11-29T00:00:00"/>
    <s v="NOV-029/25-26"/>
    <s v="Nikhila Engineering "/>
    <n v="1412"/>
    <s v="Job Work "/>
    <s v="Thermal Insulation, Acoustic Insulation and Acoustic Insulation without Beading "/>
    <n v="55452.2"/>
    <n v="0.18"/>
    <n v="0"/>
    <n v="4990.6980000000003"/>
    <n v="4990.6980000000003"/>
    <n v="65433.596000000005"/>
    <m/>
  </r>
  <r>
    <x v="7"/>
    <d v="2025-11-29T00:00:00"/>
    <s v="NOV-030/25-26"/>
    <s v="Nikhila Engineering "/>
    <n v="1413"/>
    <s v="Job Work "/>
    <s v="Thermal Insulation "/>
    <n v="632.15"/>
    <n v="0.18"/>
    <n v="0"/>
    <n v="56.893499999999996"/>
    <n v="56.893499999999996"/>
    <n v="745.93700000000001"/>
    <m/>
  </r>
  <r>
    <x v="7"/>
    <d v="2025-11-29T00:00:00"/>
    <s v="NOV-031/25-26"/>
    <s v="Nikhila Engineering "/>
    <n v="1414"/>
    <s v="Job Work "/>
    <s v="Acoustic Insulation "/>
    <n v="2126.1799999999998"/>
    <n v="0.18"/>
    <n v="0"/>
    <n v="191.3562"/>
    <n v="191.3562"/>
    <n v="2508.8924000000002"/>
    <m/>
  </r>
  <r>
    <x v="7"/>
    <d v="2025-11-29T00:00:00"/>
    <s v="NOV-032/25-26"/>
    <s v="Nikhila Engineering "/>
    <n v="1415"/>
    <s v="Job Work "/>
    <s v="Thermal Insulation"/>
    <n v="12279.85"/>
    <n v="0.18"/>
    <n v="0"/>
    <n v="1105.1865"/>
    <n v="1105.1865"/>
    <n v="14490.223"/>
    <m/>
  </r>
  <r>
    <x v="7"/>
    <d v="2025-11-29T00:00:00"/>
    <s v="NOV-033/25-26"/>
    <s v="Nikhila Engineering "/>
    <n v="1416"/>
    <s v="Job Work "/>
    <s v="Acoustic Insulation "/>
    <n v="1678.56"/>
    <n v="0.18"/>
    <n v="0"/>
    <n v="151.07039999999998"/>
    <n v="151.07039999999998"/>
    <n v="1980.7008000000001"/>
    <m/>
  </r>
  <r>
    <x v="7"/>
    <d v="2025-11-29T00:00:00"/>
    <s v="NOV-034/25-26"/>
    <s v="Nikhila Engineering "/>
    <n v="1417"/>
    <s v="Job Work "/>
    <s v="Thermal Insulation "/>
    <n v="21789"/>
    <n v="0.18"/>
    <n v="0"/>
    <n v="1961.01"/>
    <n v="1961.01"/>
    <n v="25711.019999999997"/>
    <m/>
  </r>
  <r>
    <x v="7"/>
    <d v="2025-11-29T00:00:00"/>
    <s v="NOV-035/25-26"/>
    <s v="Nikhila Engineering "/>
    <n v="1418"/>
    <s v="Job Work "/>
    <s v="Thermal Insulation "/>
    <n v="2232.6999999999998"/>
    <n v="0.18"/>
    <n v="0"/>
    <n v="200.94299999999998"/>
    <n v="200.94299999999998"/>
    <n v="2634.5860000000002"/>
    <m/>
  </r>
  <r>
    <x v="7"/>
    <d v="2025-11-29T00:00:00"/>
    <s v="NOV-036/25-26"/>
    <s v="Nikhila Engineering "/>
    <n v="1419"/>
    <s v="Job Work "/>
    <s v="Thermal Insulation and Acoustic Insulation "/>
    <n v="3106.95"/>
    <n v="0.18"/>
    <n v="0"/>
    <n v="279.62549999999999"/>
    <n v="279.62549999999999"/>
    <n v="3666.201"/>
    <m/>
  </r>
  <r>
    <x v="7"/>
    <d v="2025-11-29T00:00:00"/>
    <s v="NOV-037/25-26"/>
    <s v="Nikhila Engineering "/>
    <n v="1420"/>
    <s v="Job Work "/>
    <s v="Acoustic Insulation Without beading "/>
    <n v="25038.52"/>
    <n v="0.18"/>
    <n v="0"/>
    <n v="2253.4668000000001"/>
    <n v="2253.4668000000001"/>
    <n v="29545.453600000001"/>
    <m/>
  </r>
  <r>
    <x v="7"/>
    <d v="2025-11-29T00:00:00"/>
    <s v="NOV-038/25-26"/>
    <s v="Nikhila Engineering "/>
    <n v="1421"/>
    <s v="Job Work "/>
    <s v="Thermal Insulation "/>
    <n v="6133.2"/>
    <n v="0.18"/>
    <n v="0"/>
    <n v="551.98799999999994"/>
    <n v="551.98799999999994"/>
    <n v="7237.1760000000004"/>
    <m/>
  </r>
  <r>
    <x v="7"/>
    <d v="2025-11-24T00:00:00"/>
    <s v="NOV-039/25-26"/>
    <s v="Trident Automobiles Pvt Ltd"/>
    <s v="B202520352"/>
    <s v="Repair and Maintanance Charges"/>
    <s v="Car Repair Charges"/>
    <n v="17365"/>
    <n v="0"/>
    <n v="0"/>
    <n v="0"/>
    <n v="0"/>
    <n v="17365"/>
    <m/>
  </r>
  <r>
    <x v="8"/>
    <d v="2025-12-02T00:00:00"/>
    <s v="DEC-001/25-26"/>
    <s v="BAS Staffing Solutions Pvt Ltd"/>
    <n v="711"/>
    <s v="Security Service Charges "/>
    <s v="For the month of November-2025"/>
    <n v="149584"/>
    <n v="0.18"/>
    <n v="0"/>
    <n v="13462.56"/>
    <n v="13462.56"/>
    <n v="176509.12"/>
    <m/>
  </r>
  <r>
    <x v="8"/>
    <d v="2025-12-02T00:00:00"/>
    <s v="DEC-002/25-26"/>
    <s v="M/s Sanjivani Technologies"/>
    <s v="ST37/25-26"/>
    <s v="Service Charges"/>
    <s v="PUC Programming Service charges"/>
    <n v="8000"/>
    <n v="0.18"/>
    <n v="0"/>
    <n v="720"/>
    <n v="720"/>
    <n v="9440"/>
    <m/>
  </r>
  <r>
    <x v="8"/>
    <d v="2025-12-04T00:00:00"/>
    <s v="DEC-003/25-26"/>
    <s v="Ashok Business Service India Pvt Ltd"/>
    <s v="ABSIPL/25-26/206"/>
    <s v="Manpower Services Charges "/>
    <s v="For the month of November-2025"/>
    <n v="491647"/>
    <n v="0.18"/>
    <n v="0"/>
    <n v="44248.23"/>
    <n v="44248.23"/>
    <n v="580143.46"/>
    <m/>
  </r>
  <r>
    <x v="8"/>
    <d v="2025-12-02T00:00:00"/>
    <s v="DEC-004/25-26"/>
    <s v="Shandilya Softech Pvt Ltd "/>
    <s v="INV0365-25"/>
    <s v="Professional fees "/>
    <s v="Form 24Q2, Form 26Q2 and Form (Uploading Fees 311 after GST)"/>
    <n v="3600"/>
    <n v="0.18"/>
    <s v="-"/>
    <n v="324"/>
    <n v="324"/>
    <n v="4559"/>
    <m/>
  </r>
  <r>
    <x v="8"/>
    <d v="2025-12-02T00:00:00"/>
    <s v="DEC-005/25-26"/>
    <s v="Bangalore Electricity Supply Company"/>
    <s v="1243199018318"/>
    <s v="Electricity Power charges "/>
    <s v="For the month of November-2025"/>
    <n v="132982"/>
    <n v="0"/>
    <n v="0"/>
    <n v="0"/>
    <n v="0"/>
    <n v="132982"/>
    <m/>
  </r>
  <r>
    <x v="8"/>
    <d v="2025-12-05T00:00:00"/>
    <s v="DEC-006/25-26"/>
    <s v="Sri Venkateshwara Enterprises"/>
    <s v="SVE/4561/25-26"/>
    <s v="Carbon-Di-Oxide Full Cylinder"/>
    <s v="76 Kgs"/>
    <n v="2280"/>
    <n v="0.18"/>
    <n v="0"/>
    <n v="205.2"/>
    <n v="205.2"/>
    <n v="2690.3999999999996"/>
    <m/>
  </r>
  <r>
    <x v="8"/>
    <d v="2025-12-06T00:00:00"/>
    <s v="DEC-007/25-26"/>
    <s v="Real Enterprises "/>
    <s v="R023"/>
    <s v="Refilling Charges"/>
    <s v="Refilling of ABC 4, CO2 4.5 and ABC 6 Kgs Fire Extinguishers (12x550 +3x500+1x650)"/>
    <n v="8750"/>
    <n v="0.18"/>
    <n v="0"/>
    <n v="787.5"/>
    <n v="787.5"/>
    <n v="12325"/>
    <m/>
  </r>
  <r>
    <x v="8"/>
    <d v="2025-12-11T00:00:00"/>
    <s v="DEC-008/25-26"/>
    <s v="Cartridge Plus "/>
    <n v="4318"/>
    <s v="Printing Charges "/>
    <s v="Cartridge Refilling 4 Nos"/>
    <n v="3600"/>
    <n v="0.18"/>
    <n v="0"/>
    <n v="324"/>
    <n v="324"/>
    <n v="4248"/>
    <m/>
  </r>
  <r>
    <x v="8"/>
    <d v="2025-12-12T00:00:00"/>
    <s v="DEC-009/25-26"/>
    <s v="Shalan Sales and Services"/>
    <s v="TI/25-26/23"/>
    <s v="Repair and Maintanance Charges"/>
    <s v="Testing &amp; Repairing of B&amp;R Make Power Panel/HMI (Touch Screen Issue)"/>
    <n v="15800"/>
    <n v="0.18"/>
    <n v="2844"/>
    <n v="0"/>
    <n v="0"/>
    <n v="18644"/>
    <m/>
  </r>
  <r>
    <x v="8"/>
    <d v="2025-12-15T00:00:00"/>
    <s v="DEC-010/25-26"/>
    <s v="Sri Udyog Integrated Services Pvt Ltd "/>
    <s v="SUI/1303"/>
    <s v="Manpower Services Charges "/>
    <s v="For the month of November-2025"/>
    <n v="580038.81000000006"/>
    <n v="0.18"/>
    <n v="0"/>
    <n v="52203.492900000012"/>
    <n v="52203.492900000012"/>
    <n v="684445.79579999996"/>
    <m/>
  </r>
  <r>
    <x v="8"/>
    <d v="2025-12-15T00:00:00"/>
    <s v="DEC-011/25-26"/>
    <s v="Sri Udyog Integrated Services Pvt Ltd "/>
    <s v="SUI/1304"/>
    <s v="Over Time Wages "/>
    <s v="For the month of November-2025"/>
    <n v="40061.599999999999"/>
    <n v="0.18"/>
    <n v="0"/>
    <n v="3605.5439999999999"/>
    <n v="3605.5439999999999"/>
    <n v="47272.688000000002"/>
    <m/>
  </r>
  <r>
    <x v="8"/>
    <d v="2025-12-16T00:00:00"/>
    <s v="DEC-012/25-26"/>
    <s v="Technoo Power Solution"/>
    <n v="171"/>
    <s v="Repair and Maintanance Charges"/>
    <s v="Degital Temperature Sensor, CPA 15Vair End Service and Transport Charges"/>
    <n v="35850"/>
    <n v="0.18"/>
    <n v="0"/>
    <n v="3226.5"/>
    <n v="3226.5"/>
    <n v="42303"/>
    <m/>
  </r>
  <r>
    <x v="8"/>
    <d v="2025-12-15T00:00:00"/>
    <s v="DEC-013/25-26"/>
    <s v="Maruthi Service Station"/>
    <n v="723"/>
    <s v="Petrol and Diesel Charges"/>
    <s v="Petrol 10 Ltrs"/>
    <n v="1026"/>
    <n v="0"/>
    <n v="0"/>
    <n v="0"/>
    <n v="0"/>
    <n v="1026"/>
    <m/>
  </r>
  <r>
    <x v="8"/>
    <d v="2025-12-24T00:00:00"/>
    <s v="DEC-014/25-26"/>
    <s v="SBS Industries"/>
    <s v="SBSI/25-26/139"/>
    <s v="Repair &amp; Maintenance Charges "/>
    <s v="Purchase of Machine Spare Parts (28 Nos)"/>
    <n v="13880"/>
    <n v="0.18"/>
    <n v="0"/>
    <n v="1249.2"/>
    <n v="1249.2"/>
    <n v="16378.400000000001"/>
    <m/>
  </r>
  <r>
    <x v="8"/>
    <d v="2025-12-26T00:00:00"/>
    <s v="DEC-015/25-26"/>
    <s v="Iffco-Tokio General Insurance Co. Ltd"/>
    <n v="44517748"/>
    <s v="Insurance charges "/>
    <s v="Camduct India Pvt Ltd"/>
    <n v="14825.2"/>
    <n v="0.18"/>
    <n v="0"/>
    <n v="1334.2680000000003"/>
    <n v="1334.2680000000003"/>
    <n v="17493.736000000001"/>
    <m/>
  </r>
  <r>
    <x v="8"/>
    <d v="2025-12-26T00:00:00"/>
    <s v="DEC-016/25-26"/>
    <s v="Iffco-Tokio General Insurance Co. Ltd"/>
    <s v="12A25229"/>
    <s v="Insurance charges "/>
    <s v="Camduct India Pvt Ltd"/>
    <n v="84123.83"/>
    <n v="0.18"/>
    <n v="0"/>
    <n v="7571.1446999999998"/>
    <n v="7571.1446999999998"/>
    <n v="99266.119400000011"/>
    <m/>
  </r>
  <r>
    <x v="8"/>
    <d v="2025-12-31T00:00:00"/>
    <s v="DEC-017/25-26"/>
    <s v="Sri Venkateshwara Enterprises"/>
    <s v="SVE/5048/25-26"/>
    <s v="Carbon-Di-Oxide Full Cylinder"/>
    <s v="90 Kgs"/>
    <n v="2700"/>
    <n v="0.18"/>
    <n v="0"/>
    <n v="243"/>
    <n v="243"/>
    <n v="3186"/>
    <m/>
  </r>
  <r>
    <x v="8"/>
    <d v="2025-12-31T00:00:00"/>
    <s v="DEC-018/25-26"/>
    <s v="Jupiter &amp; Company"/>
    <s v="0923/2025-26"/>
    <s v="Professional fees "/>
    <s v="Fee Towards Preparation of EPF &amp; ESI Challans during calendar Month Nove25"/>
    <n v="1500"/>
    <n v="0.18"/>
    <n v="0"/>
    <n v="135"/>
    <n v="135"/>
    <n v="1770"/>
    <m/>
  </r>
  <r>
    <x v="8"/>
    <d v="2025-12-31T00:00:00"/>
    <s v="DEC-019/25-26"/>
    <s v="Suresh Travels"/>
    <s v="493/25-26"/>
    <s v="Taxi Hire Charges "/>
    <s v="For the month of December 2025"/>
    <n v="4631"/>
    <n v="0"/>
    <n v="0"/>
    <n v="0"/>
    <n v="0"/>
    <n v="4631"/>
    <m/>
  </r>
  <r>
    <x v="8"/>
    <d v="2025-12-31T00:00:00"/>
    <s v="DEC-020/25-26"/>
    <s v="Quality Council of India"/>
    <s v="NDIE/DEC25/01904"/>
    <s v="Assessment Fees"/>
    <s v="Zed Silver Certification Fees"/>
    <n v="15254.24"/>
    <n v="0.18"/>
    <n v="2745.7631999999999"/>
    <n v="0"/>
    <n v="0"/>
    <n v="18000.003199999999"/>
    <m/>
  </r>
  <r>
    <x v="8"/>
    <d v="2025-12-31T00:00:00"/>
    <s v="DEC-021/25-26"/>
    <s v="Maruthi Service Station"/>
    <n v="774"/>
    <s v="Diesel Charges "/>
    <s v="160 Ltr"/>
    <n v="14512"/>
    <n v="0"/>
    <n v="0"/>
    <n v="0"/>
    <n v="0"/>
    <n v="14512"/>
    <m/>
  </r>
  <r>
    <x v="8"/>
    <d v="2025-12-31T00:00:00"/>
    <s v="DEC-022/25-26"/>
    <s v="Sri Veerabhadraswamy Transport"/>
    <n v="287"/>
    <s v="Transportation Charges "/>
    <s v="For the month of December 2025"/>
    <n v="95450"/>
    <n v="0"/>
    <n v="0"/>
    <n v="0"/>
    <n v="0"/>
    <n v="95450"/>
    <m/>
  </r>
  <r>
    <x v="8"/>
    <d v="2025-12-31T00:00:00"/>
    <s v="DEC-023/25-26"/>
    <s v="Sri Veerabhadraswamy Transport"/>
    <n v="288"/>
    <s v="Transportation Charges "/>
    <s v="For the month of December 2025"/>
    <n v="41150"/>
    <n v="0"/>
    <n v="0"/>
    <n v="0"/>
    <n v="0"/>
    <n v="41150"/>
    <m/>
  </r>
  <r>
    <x v="8"/>
    <d v="2025-12-26T00:00:00"/>
    <s v="DEC-024/25-26"/>
    <s v="Athreya Law Associates "/>
    <n v="104"/>
    <s v="Professional fees "/>
    <s v="Renewal of Shops &amp; Commercial Establishment License and Pocket Expenses "/>
    <n v="15400"/>
    <n v="0"/>
    <n v="0"/>
    <n v="0"/>
    <n v="0"/>
    <n v="15400"/>
    <m/>
  </r>
  <r>
    <x v="8"/>
    <d v="2025-12-31T00:00:00"/>
    <s v="DEC-025/25-26"/>
    <s v="The Professional Couriers "/>
    <s v="HRD2529090"/>
    <s v="Couriers Charges "/>
    <s v="For the month of December 2025"/>
    <n v="1076.4000000000001"/>
    <n v="0.18"/>
    <n v="0"/>
    <n v="96.876000000000005"/>
    <n v="96.876000000000005"/>
    <n v="1270.152"/>
    <m/>
  </r>
  <r>
    <x v="8"/>
    <d v="2025-12-31T00:00:00"/>
    <s v="DEC-026/25-26"/>
    <s v="Nikhila Engineering "/>
    <n v="1424"/>
    <s v="Job Work "/>
    <s v="Thermal Insulation "/>
    <n v="10827.25"/>
    <n v="0.18"/>
    <n v="0"/>
    <n v="974.45249999999999"/>
    <n v="974.45249999999999"/>
    <n v="12776.154999999999"/>
    <m/>
  </r>
  <r>
    <x v="8"/>
    <d v="2025-12-31T00:00:00"/>
    <s v="DEC-027/25-26"/>
    <s v="Nikhila Engineering "/>
    <n v="1425"/>
    <s v="Job Work "/>
    <s v="Thermal Insulation and Acoustic Insulation "/>
    <n v="23972.2"/>
    <n v="0.18"/>
    <n v="0"/>
    <n v="2157.498"/>
    <n v="2157.498"/>
    <n v="28287.196"/>
    <m/>
  </r>
  <r>
    <x v="8"/>
    <d v="2025-12-31T00:00:00"/>
    <s v="DEC-028/25-26"/>
    <s v="Nikhila Engineering "/>
    <n v="1426"/>
    <s v="Job Work "/>
    <s v="Thermal Insulation "/>
    <n v="11109.7"/>
    <n v="0.18"/>
    <n v="0"/>
    <n v="999.87300000000005"/>
    <n v="999.87300000000005"/>
    <n v="13109.446"/>
    <m/>
  </r>
  <r>
    <x v="8"/>
    <d v="2025-12-31T00:00:00"/>
    <s v="DEC-029/25-26"/>
    <s v="Nikhila Engineering "/>
    <n v="1427"/>
    <s v="Job Work "/>
    <s v="Thermal Insulation "/>
    <n v="9589.85"/>
    <n v="0.18"/>
    <n v="0"/>
    <n v="863.08650000000011"/>
    <n v="863.08650000000011"/>
    <n v="11316.022999999999"/>
    <m/>
  </r>
  <r>
    <x v="8"/>
    <d v="2025-12-31T00:00:00"/>
    <s v="DEC-030/25-26"/>
    <s v="Nikhila Engineering "/>
    <n v="1428"/>
    <s v="Job Work "/>
    <s v="Thermal Insulation "/>
    <n v="29536.2"/>
    <n v="0.18"/>
    <n v="0"/>
    <n v="2658.2579999999998"/>
    <n v="2658.2579999999998"/>
    <n v="34852.716"/>
    <m/>
  </r>
  <r>
    <x v="8"/>
    <d v="2025-12-31T00:00:00"/>
    <s v="DEC-031/25-26"/>
    <s v="Nikhila Engineering "/>
    <n v="1429"/>
    <s v="Job Work "/>
    <s v="Thermal Insulation "/>
    <n v="2797.6"/>
    <n v="0.18"/>
    <n v="0"/>
    <n v="251.78399999999999"/>
    <n v="251.78399999999999"/>
    <n v="3301.1680000000001"/>
    <m/>
  </r>
  <r>
    <x v="8"/>
    <d v="2025-12-31T00:00:00"/>
    <s v="DEC-032/25-26"/>
    <s v="Nikhila Engineering "/>
    <n v="1430"/>
    <s v="Job Work "/>
    <s v="Thermal Insulation and Acoustic Insulation"/>
    <n v="9861"/>
    <n v="0.18"/>
    <n v="0"/>
    <n v="887.49"/>
    <n v="887.49"/>
    <n v="11635.98"/>
    <m/>
  </r>
  <r>
    <x v="8"/>
    <d v="2025-12-31T00:00:00"/>
    <s v="DEC-033/25-26"/>
    <s v="Nikhila Engineering "/>
    <n v="1431"/>
    <s v="Job Work "/>
    <s v="Thermal Insulation "/>
    <n v="51500.05"/>
    <n v="0.18"/>
    <n v="0"/>
    <n v="4635.0045"/>
    <n v="4635.0045"/>
    <n v="60770.059000000008"/>
    <m/>
  </r>
  <r>
    <x v="8"/>
    <d v="2025-12-31T00:00:00"/>
    <s v="DEC-034/25-26"/>
    <s v="Nikhila Engineering "/>
    <n v="1432"/>
    <s v="Job Work "/>
    <s v="Thermal Insulation and Acoustic Insulation "/>
    <n v="6345.17"/>
    <n v="0.18"/>
    <n v="0"/>
    <n v="571.06529999999998"/>
    <n v="571.06529999999998"/>
    <n v="7487.3006000000005"/>
    <m/>
  </r>
  <r>
    <x v="8"/>
    <d v="2025-12-31T00:00:00"/>
    <s v="DEC-035/25-26"/>
    <s v="Nikhila Engineering "/>
    <n v="1433"/>
    <s v="Job Work "/>
    <s v="Thermal Insulation and Acoustic Insulation "/>
    <n v="1716.22"/>
    <n v="0.18"/>
    <n v="0"/>
    <n v="154.4598"/>
    <n v="154.4598"/>
    <n v="2025.1396000000002"/>
    <m/>
  </r>
  <r>
    <x v="8"/>
    <d v="2025-12-31T00:00:00"/>
    <s v="DEC-036/25-26"/>
    <s v="Nikhila Engineering "/>
    <n v="1434"/>
    <s v="Job Work "/>
    <s v="Thermal Insulation and Acoustic Insulation "/>
    <n v="90783.73"/>
    <n v="0.18"/>
    <n v="0"/>
    <n v="8170.5356999999995"/>
    <n v="8170.5356999999995"/>
    <n v="107124.80139999998"/>
    <m/>
  </r>
  <r>
    <x v="8"/>
    <d v="2025-12-31T00:00:00"/>
    <s v="DEC-037/25-26"/>
    <s v="Nikhila Engineering "/>
    <n v="1435"/>
    <s v="Job Work "/>
    <s v="Thermal Insulation "/>
    <n v="17754"/>
    <n v="0.18"/>
    <n v="0"/>
    <n v="1597.86"/>
    <n v="1597.86"/>
    <n v="20949.72"/>
    <m/>
  </r>
  <r>
    <x v="8"/>
    <d v="2025-12-31T00:00:00"/>
    <s v="DEC-038/25-26"/>
    <s v="Nikhila Engineering "/>
    <n v="1436"/>
    <s v="Job Work "/>
    <s v="Thermal Insulation "/>
    <n v="1869.55"/>
    <n v="0.18"/>
    <n v="0"/>
    <n v="168.2595"/>
    <n v="168.2595"/>
    <n v="2206.069"/>
    <m/>
  </r>
  <r>
    <x v="8"/>
    <d v="2025-12-31T00:00:00"/>
    <s v="DEC-039/25-26"/>
    <s v="Nikhila Engineering "/>
    <n v="1437"/>
    <s v="Job Work "/>
    <s v="Acoustic Insulation "/>
    <n v="9288.0300000000007"/>
    <n v="0.18"/>
    <n v="0"/>
    <n v="835.92270000000008"/>
    <n v="835.92270000000008"/>
    <n v="10959.875400000001"/>
    <m/>
  </r>
  <r>
    <x v="8"/>
    <d v="2025-12-31T00:00:00"/>
    <s v="DEC-040/25-26"/>
    <s v="Nikhila Engineering "/>
    <n v="1438"/>
    <s v="Job Work "/>
    <s v="Thermal Insulation And Acoustic Insulation without beading "/>
    <n v="8984.6"/>
    <n v="0.18"/>
    <n v="0"/>
    <n v="808.61400000000003"/>
    <n v="808.61400000000003"/>
    <n v="10601.828"/>
    <m/>
  </r>
  <r>
    <x v="8"/>
    <d v="2025-12-31T00:00:00"/>
    <s v="DEC-041/25-26"/>
    <s v="Nikhila Engineering "/>
    <n v="1439"/>
    <s v="Job Work "/>
    <s v="Thermal Insulation and Acoustic Insulation "/>
    <n v="46674.19"/>
    <n v="0.18"/>
    <n v="0"/>
    <n v="4200.6770999999999"/>
    <n v="4200.6770999999999"/>
    <n v="55075.544200000004"/>
    <m/>
  </r>
  <r>
    <x v="8"/>
    <d v="2025-12-31T00:00:00"/>
    <s v="DEC-042/25-26"/>
    <s v="Nikhila Engineering "/>
    <n v="1440"/>
    <s v="Job Work "/>
    <s v="Thermal Insulation and Acoustic Insulation "/>
    <n v="25375.31"/>
    <n v="0.18"/>
    <n v="0"/>
    <n v="2283.7779"/>
    <n v="2283.7779"/>
    <n v="29942.865800000003"/>
    <m/>
  </r>
  <r>
    <x v="8"/>
    <d v="2025-12-31T00:00:00"/>
    <s v="DEC-043/25-26"/>
    <s v="Nikhila Engineering "/>
    <n v="1441"/>
    <s v="Job Work "/>
    <s v="Thermal Insulation"/>
    <n v="2663.1"/>
    <n v="0.18"/>
    <n v="0"/>
    <n v="239.67899999999997"/>
    <n v="239.67899999999997"/>
    <n v="3142.4580000000001"/>
    <m/>
  </r>
  <r>
    <x v="9"/>
    <m/>
    <s v="DEC-044/25-26"/>
    <s v="Micro Products Data"/>
    <m/>
    <m/>
    <m/>
    <m/>
    <m/>
    <m/>
    <m/>
    <m/>
    <m/>
    <m/>
  </r>
  <r>
    <x v="7"/>
    <d v="2025-11-29T00:00:00"/>
    <s v="DEC-045/25-26"/>
    <s v="RS Form Teknic"/>
    <s v="RSFT/INV/20/2025"/>
    <s v="Online Services Charges "/>
    <s v="Mr.Prasad Kumar Installed Trimble Software on Vulcan Plasma Cutting machine "/>
    <n v="7500"/>
    <n v="0.18"/>
    <n v="1350"/>
    <n v="0"/>
    <n v="0"/>
    <n v="8850"/>
    <m/>
  </r>
  <r>
    <x v="10"/>
    <d v="2026-01-02T00:00:00"/>
    <s v="JAN-001/25-26"/>
    <s v="BAS Staffing Solutions Pvt Ltd"/>
    <n v="776"/>
    <s v="Security Service Charges "/>
    <s v="For the month of December 2025"/>
    <n v="149584"/>
    <n v="0.18"/>
    <n v="0"/>
    <n v="13462.56"/>
    <n v="13462.56"/>
    <n v="176509.12"/>
    <m/>
  </r>
  <r>
    <x v="10"/>
    <d v="2026-01-05T00:00:00"/>
    <s v="JAN-002/25-26"/>
    <s v="Bangalore Electricity Supply Company"/>
    <s v="1243199019346"/>
    <s v="Electricity Power charges "/>
    <s v="For the month of December 2025"/>
    <n v="137075"/>
    <n v="0"/>
    <n v="0"/>
    <n v="0"/>
    <n v="0"/>
    <n v="137075"/>
    <m/>
  </r>
  <r>
    <x v="10"/>
    <d v="2026-01-12T00:00:00"/>
    <s v="JAN-003/25-26"/>
    <s v="Chiru Catering"/>
    <n v="167"/>
    <s v="Catering Service charges "/>
    <s v="Tiffin, Snacks and Dinner for the month of October 2025"/>
    <n v="24770"/>
    <n v="0"/>
    <n v="0"/>
    <n v="0"/>
    <n v="0"/>
    <n v="24770"/>
    <m/>
  </r>
  <r>
    <x v="10"/>
    <d v="2026-01-13T00:00:00"/>
    <s v="JAN-004/25-26"/>
    <s v="Sri Udyog Integrated Services Pvt Ltd "/>
    <s v="SUI/1325"/>
    <s v="Manpower Services Charges "/>
    <s v="For the month of December 2025"/>
    <n v="604311.11"/>
    <n v="0.18"/>
    <n v="0"/>
    <n v="54387.999900000003"/>
    <n v="54387.999900000003"/>
    <n v="713087.10980000009"/>
    <m/>
  </r>
  <r>
    <x v="10"/>
    <d v="2026-01-13T00:00:00"/>
    <s v="JAN-005/25-26"/>
    <s v="Sri Udyog Integrated Services Pvt Ltd "/>
    <s v="SUI/1326"/>
    <s v="Over Time Wages "/>
    <s v="For the month of December 2025"/>
    <n v="40834.99"/>
    <n v="0.18"/>
    <n v="0"/>
    <n v="3675.1490999999996"/>
    <n v="3675.1490999999996"/>
    <n v="48185.288200000003"/>
    <m/>
  </r>
  <r>
    <x v="10"/>
    <d v="2026-01-13T00:00:00"/>
    <s v="JAN-006/25-26"/>
    <s v="Solid Machine Works "/>
    <s v="INV2526-017"/>
    <s v="Repair Work charges"/>
    <s v="Repair of Machines Turnig, Bore and Key Way Fitting of Pully in motor Shaft."/>
    <n v="3600"/>
    <n v="0.18"/>
    <n v="0"/>
    <n v="324"/>
    <n v="324"/>
    <n v="4248"/>
    <m/>
  </r>
  <r>
    <x v="10"/>
    <d v="2026-01-17T00:00:00"/>
    <s v="JAN-007/25-26"/>
    <s v="Ashok Business Service India Pvt Ltd"/>
    <s v="ABSIPL/25-26/239"/>
    <s v="Manpower Services Charges "/>
    <s v="For the month of December 2025"/>
    <n v="355235"/>
    <n v="0.18"/>
    <n v="0"/>
    <n v="31971.15"/>
    <n v="31971.15"/>
    <n v="419177.30000000005"/>
    <m/>
  </r>
  <r>
    <x v="10"/>
    <d v="2026-01-22T00:00:00"/>
    <s v="JAN-008/25-26"/>
    <s v="SBM Engineering Works"/>
    <n v="468"/>
    <s v="Lathe Work Charges "/>
    <s v="Copper Rod Turning (Size 22x120mm ) Taper Turing"/>
    <n v="7480"/>
    <n v="0.18"/>
    <n v="0"/>
    <n v="673.2"/>
    <n v="673.2"/>
    <n v="8826.4"/>
    <m/>
  </r>
  <r>
    <x v="10"/>
    <d v="2026-01-22T00:00:00"/>
    <s v="JAN-009/25-26"/>
    <s v="Precision Fab Tech"/>
    <s v="310/25-26"/>
    <s v="Rewinding Charges "/>
    <s v="Sopt Welding transformer 20Kva Rewinding charges "/>
    <n v="25000"/>
    <n v="0.18"/>
    <n v="0"/>
    <n v="2250"/>
    <n v="2250"/>
    <n v="29500"/>
    <m/>
  </r>
  <r>
    <x v="10"/>
    <d v="2026-01-22T00:00:00"/>
    <s v="JAN-010/25-26"/>
    <s v="Navami Technicals &amp; Services"/>
    <n v="13"/>
    <s v="Inspection Charges"/>
    <s v="Charges for Inspection and Testing Charges (Duct Lifters)"/>
    <n v="41250"/>
    <n v="0.18"/>
    <n v="0"/>
    <n v="3712.5"/>
    <n v="3712.5"/>
    <n v="48675"/>
    <m/>
  </r>
  <r>
    <x v="10"/>
    <d v="2026-01-31T00:00:00"/>
    <s v="JAN-011/25-26"/>
    <s v="Suresh Travels"/>
    <s v="595/25-26"/>
    <s v="Taxi Hire Charges "/>
    <s v="For the month of January 2026"/>
    <n v="2020"/>
    <n v="0"/>
    <n v="0"/>
    <n v="0"/>
    <n v="0"/>
    <n v="2020"/>
    <m/>
  </r>
  <r>
    <x v="10"/>
    <d v="2026-01-31T00:00:00"/>
    <s v="JAN-012/25-26"/>
    <s v="Jupiter &amp; Company"/>
    <s v="0146/2025-26"/>
    <s v="Proffessional Fees "/>
    <s v="Fees towards Preparation of EPF and ESI Challans During Calendar Month Jan 2026"/>
    <n v="1500"/>
    <n v="0.18"/>
    <n v="0"/>
    <n v="135"/>
    <n v="135"/>
    <n v="1770"/>
    <m/>
  </r>
  <r>
    <x v="10"/>
    <d v="2026-01-29T00:00:00"/>
    <s v="JAN-013/25-26"/>
    <s v="Advanced Metallurgical Laboratory LLP"/>
    <s v="UII/25-26/2700"/>
    <s v="Lab Testing Charges "/>
    <s v="Third Party Coil Testing Report charges "/>
    <n v="6000"/>
    <n v="0.18"/>
    <n v="0"/>
    <n v="540"/>
    <n v="540"/>
    <n v="7080"/>
    <m/>
  </r>
  <r>
    <x v="10"/>
    <d v="2026-01-31T00:00:00"/>
    <s v="JAN-014/25-26"/>
    <s v="The Professional Couriers "/>
    <s v="HRD2533455"/>
    <s v="Couriers Charges "/>
    <s v="For the month of January 2026"/>
    <n v="1375.4"/>
    <n v="0.18"/>
    <n v="0"/>
    <n v="123.786"/>
    <n v="123.786"/>
    <n v="1622.9720000000002"/>
    <m/>
  </r>
  <r>
    <x v="10"/>
    <d v="2026-01-31T00:00:00"/>
    <s v="JAN-015/25-26"/>
    <s v="Maruthi Service Station"/>
    <n v="879"/>
    <s v="Petrol and Diesel Charges"/>
    <s v="Petrol 10 Ltrs"/>
    <n v="1026"/>
    <n v="0"/>
    <n v="0"/>
    <n v="0"/>
    <n v="0"/>
    <n v="1026"/>
    <m/>
  </r>
  <r>
    <x v="10"/>
    <d v="2026-01-31T00:00:00"/>
    <s v="JAN-016/25-26"/>
    <s v="Sri Veerabhadraswamy Transport"/>
    <n v="303"/>
    <s v="Transportation Charges "/>
    <s v="For the month of January 2026"/>
    <n v="92650"/>
    <n v="0"/>
    <n v="0"/>
    <n v="0"/>
    <n v="0"/>
    <n v="92650"/>
    <m/>
  </r>
  <r>
    <x v="10"/>
    <d v="2026-01-31T00:00:00"/>
    <s v="JAN-017/25-26"/>
    <s v="Sri Veerabhadraswamy Transport"/>
    <n v="304"/>
    <s v="Transportation Charges "/>
    <s v="For the month of January 2026"/>
    <n v="13550"/>
    <n v="0"/>
    <n v="0"/>
    <n v="0"/>
    <n v="0"/>
    <n v="13550"/>
    <m/>
  </r>
  <r>
    <x v="10"/>
    <d v="2026-01-16T00:00:00"/>
    <s v="JAN-018/25-26"/>
    <s v="R.G Hotels &amp; Resort"/>
    <n v="3696"/>
    <s v="Lodging Charges"/>
    <s v="Mr.Deepak K.V and Umesh (Check in 15-1-26 and Check out 16-1-2026)"/>
    <n v="2857.14"/>
    <n v="0.05"/>
    <n v="0"/>
    <n v="71.4285"/>
    <n v="71.4285"/>
    <n v="2999.9969999999998"/>
    <m/>
  </r>
  <r>
    <x v="10"/>
    <d v="2026-01-31T00:00:00"/>
    <s v="JAN-019/25-26"/>
    <s v="Nikhila Engineering "/>
    <n v="1448"/>
    <s v="Job Work "/>
    <s v="Thermal insulation"/>
    <n v="11029"/>
    <n v="0.18"/>
    <n v="0"/>
    <n v="992.61"/>
    <n v="992.61"/>
    <n v="13014.220000000001"/>
    <m/>
  </r>
  <r>
    <x v="10"/>
    <d v="2026-01-31T00:00:00"/>
    <s v="JAN-020/25-26"/>
    <s v="Nikhila Engineering "/>
    <n v="1449"/>
    <s v="Job Work "/>
    <s v="Thermal Insulation and Acoustic Insulation"/>
    <n v="136557.85"/>
    <n v="0.18"/>
    <n v="0"/>
    <n v="12290.206500000002"/>
    <n v="12290.206500000002"/>
    <n v="161138.26300000001"/>
    <m/>
  </r>
  <r>
    <x v="10"/>
    <d v="2026-01-31T00:00:00"/>
    <s v="JAN-021/25-26"/>
    <s v="Nikhila Engineering "/>
    <n v="1450"/>
    <s v="Job Work "/>
    <s v="Thermal Insulation "/>
    <n v="14243.55"/>
    <n v="0.18"/>
    <n v="0"/>
    <n v="1281.9195"/>
    <n v="1281.9195"/>
    <n v="16807.388999999999"/>
    <m/>
  </r>
  <r>
    <x v="10"/>
    <d v="2026-01-31T00:00:00"/>
    <s v="JAN-022/25-26"/>
    <s v="Nikhila Engineering "/>
    <n v="1451"/>
    <s v="Job Work "/>
    <s v="Thermal Insulation and Acoustic Insulation"/>
    <n v="61426.69"/>
    <n v="0.18"/>
    <n v="0"/>
    <n v="5528.4020999999993"/>
    <n v="5528.4020999999993"/>
    <n v="72483.494200000016"/>
    <m/>
  </r>
  <r>
    <x v="10"/>
    <d v="2026-01-31T00:00:00"/>
    <s v="JAN-023/25-26"/>
    <s v="Nikhila Engineering "/>
    <n v="1452"/>
    <s v="Job Work "/>
    <s v="Thermal Insulation "/>
    <n v="11553.55"/>
    <n v="0.18"/>
    <n v="0"/>
    <n v="1039.8195000000001"/>
    <n v="1039.8195000000001"/>
    <n v="13633.188999999998"/>
    <m/>
  </r>
  <r>
    <x v="10"/>
    <d v="2026-01-31T00:00:00"/>
    <s v="JAN-024/25-26"/>
    <s v="Nikhila Engineering "/>
    <n v="1453"/>
    <s v="Job Work "/>
    <s v="Thermal Insulation "/>
    <n v="223794.55"/>
    <n v="0.18"/>
    <n v="0"/>
    <n v="20141.5095"/>
    <n v="20141.5095"/>
    <n v="264077.56899999996"/>
    <m/>
  </r>
  <r>
    <x v="10"/>
    <d v="2026-01-31T00:00:00"/>
    <s v="JAN-025/25-26"/>
    <s v="Nikhila Engineering "/>
    <n v="1454"/>
    <s v="Job Work "/>
    <s v="Thermal Insulation "/>
    <n v="15050.55"/>
    <n v="0.18"/>
    <n v="0"/>
    <n v="1354.5494999999999"/>
    <n v="1354.5494999999999"/>
    <n v="17759.649000000001"/>
    <m/>
  </r>
  <r>
    <x v="10"/>
    <d v="2026-01-31T00:00:00"/>
    <s v="JAN-026/25-26"/>
    <s v="Nikhila Engineering "/>
    <n v="1455"/>
    <s v="Job Work "/>
    <s v="Thermal Insulation and Acoustic Insulation"/>
    <n v="15846.71"/>
    <n v="0.18"/>
    <n v="0"/>
    <n v="1426.2038999999997"/>
    <n v="1426.2038999999997"/>
    <n v="18699.1178"/>
    <m/>
  </r>
  <r>
    <x v="10"/>
    <d v="2026-01-31T00:00:00"/>
    <s v="JAN-027/25-26"/>
    <s v="Nikhila Engineering "/>
    <n v="1456"/>
    <s v="Job Work "/>
    <s v="Termal Insulation"/>
    <n v="1923.35"/>
    <n v="0.18"/>
    <n v="0"/>
    <n v="173.10149999999999"/>
    <n v="173.10149999999999"/>
    <n v="2269.5529999999999"/>
    <m/>
  </r>
  <r>
    <x v="10"/>
    <d v="2026-01-31T00:00:00"/>
    <s v="JAN-028/25-26"/>
    <s v="Nikhila Engineering "/>
    <n v="1457"/>
    <s v="Job Work "/>
    <s v="Acoustic Insulation "/>
    <n v="3804.74"/>
    <n v="0.18"/>
    <n v="0"/>
    <n v="342.42659999999995"/>
    <n v="342.42659999999995"/>
    <n v="4489.5931999999993"/>
    <m/>
  </r>
  <r>
    <x v="10"/>
    <d v="2026-01-31T00:00:00"/>
    <s v="JAN-029/25-26"/>
    <s v="Nikhila Engineering "/>
    <n v="1458"/>
    <s v="Job Work "/>
    <s v="Thermal Insulation "/>
    <n v="39731.300000000003"/>
    <n v="0.18"/>
    <n v="0"/>
    <n v="3575.817"/>
    <n v="3575.817"/>
    <n v="46882.934000000008"/>
    <m/>
  </r>
  <r>
    <x v="10"/>
    <d v="2026-01-31T00:00:00"/>
    <s v="JAN-030/25-26"/>
    <s v="Nikhila Engineering "/>
    <n v="1459"/>
    <s v="Job Work "/>
    <s v="Thermal Insulation "/>
    <n v="23389.55"/>
    <n v="0.18"/>
    <n v="0"/>
    <n v="2105.0594999999998"/>
    <n v="2105.0594999999998"/>
    <n v="27599.668999999998"/>
    <m/>
  </r>
  <r>
    <x v="10"/>
    <d v="2026-01-31T00:00:00"/>
    <s v="JAN-031/25-26"/>
    <s v="Nikhila Engineering "/>
    <n v="1460"/>
    <s v="Job Work "/>
    <s v="Thermal Insulation "/>
    <n v="254810.25"/>
    <n v="0.18"/>
    <n v="0"/>
    <n v="22932.922500000001"/>
    <n v="22932.922500000001"/>
    <n v="300676.09499999997"/>
    <m/>
  </r>
  <r>
    <x v="10"/>
    <d v="2026-01-31T00:00:00"/>
    <s v="JAN-032/25-26"/>
    <s v="Nikhila Engineering "/>
    <n v="1461"/>
    <s v="Job Work "/>
    <s v="Thermal Insulation "/>
    <n v="10477.549999999999"/>
    <n v="0.18"/>
    <n v="0"/>
    <n v="942.97949999999992"/>
    <n v="942.97949999999992"/>
    <n v="12363.508999999998"/>
    <m/>
  </r>
  <r>
    <x v="10"/>
    <d v="2026-01-31T00:00:00"/>
    <s v="JAN-033/25-26"/>
    <s v="Nikhila Engineering "/>
    <n v="1462"/>
    <s v="Job Work "/>
    <s v="Thermal Insulation And Acoustic Insulation without beading "/>
    <n v="21762.1"/>
    <n v="0.18"/>
    <n v="0"/>
    <n v="1958.5889999999999"/>
    <n v="1958.5889999999999"/>
    <n v="25679.277999999998"/>
    <m/>
  </r>
  <r>
    <x v="10"/>
    <d v="2026-01-31T00:00:00"/>
    <s v="JAN-034/25-26"/>
    <s v="Nikhila Engineering "/>
    <n v="1463"/>
    <s v="Job Work "/>
    <s v="Thermal Insulatin , Acoustic Insulation and Acoustic Insulation without Beading "/>
    <n v="104482.29"/>
    <n v="0.18"/>
    <n v="0"/>
    <n v="9403.4061000000002"/>
    <n v="9403.4061000000002"/>
    <n v="123289.10219999999"/>
    <m/>
  </r>
  <r>
    <x v="10"/>
    <d v="2026-01-31T00:00:00"/>
    <s v="JAN-035/25-26"/>
    <s v="Nikhila Engineering "/>
    <n v="1464"/>
    <s v="Job Work "/>
    <s v="Thermal Insulation and Acoustic Insulation "/>
    <n v="146600.16"/>
    <n v="0.18"/>
    <n v="0"/>
    <n v="13194.0144"/>
    <n v="13194.0144"/>
    <n v="172988.1888"/>
    <m/>
  </r>
  <r>
    <x v="10"/>
    <d v="2026-01-31T00:00:00"/>
    <s v="JAN-036/25-26"/>
    <s v="Nikhila Engineering "/>
    <n v="1465"/>
    <s v="Job Work "/>
    <s v="Thermal Insulation "/>
    <n v="38776.35"/>
    <n v="0.18"/>
    <n v="0"/>
    <n v="3489.8714999999997"/>
    <n v="3489.8714999999997"/>
    <n v="45756.093000000001"/>
    <m/>
  </r>
  <r>
    <x v="10"/>
    <d v="2026-01-31T00:00:00"/>
    <s v="JAN-037/25-26"/>
    <s v="Nikhila Engineering "/>
    <n v="1466"/>
    <s v="Job Work "/>
    <s v="Acoustic Insulation "/>
    <n v="3860.69"/>
    <n v="0.18"/>
    <n v="0"/>
    <n v="347.46209999999996"/>
    <n v="347.46209999999996"/>
    <n v="4555.6142"/>
    <m/>
  </r>
  <r>
    <x v="10"/>
    <d v="2026-01-31T00:00:00"/>
    <s v="JAN-038/25-26"/>
    <s v="Nikhila Engineering "/>
    <n v="1467"/>
    <s v="Job Work "/>
    <s v="Thermal Insulation, Acoustic Insulation and Acoustic Insulation without  beading "/>
    <n v="21172.99"/>
    <n v="0.18"/>
    <n v="0"/>
    <n v="1905.5690999999999"/>
    <n v="1905.5690999999999"/>
    <n v="24984.128200000003"/>
    <m/>
  </r>
  <r>
    <x v="10"/>
    <d v="2026-01-31T00:00:00"/>
    <s v="JAN-039/25-26"/>
    <s v="RS Form Teknic"/>
    <s v="RSFT/INV/29/2025"/>
    <s v="Service Charges"/>
    <s v="Mr. Prasad Kumar to your factory on 3.10.2025 to attend problem on TDF bending machine."/>
    <n v="6500"/>
    <n v="0.18"/>
    <n v="1170"/>
    <n v="0"/>
    <n v="0"/>
    <n v="7670"/>
    <m/>
  </r>
  <r>
    <x v="11"/>
    <d v="2026-02-04T00:00:00"/>
    <s v="FEB-001/25-26"/>
    <s v="Ashok Business Service India Pvt Ltd"/>
    <s v="ABSIPL/25-26/266"/>
    <s v="Manpower Services Charges "/>
    <s v="For the month of January 2026"/>
    <n v="359472"/>
    <n v="0.18"/>
    <m/>
    <n v="32352.48"/>
    <n v="32352.48"/>
    <n v="424176.95999999996"/>
    <m/>
  </r>
  <r>
    <x v="11"/>
    <d v="2026-02-04T00:00:00"/>
    <s v="FEB-002/25-26"/>
    <s v="Cartridge Plus "/>
    <n v="4514"/>
    <s v="Printing Charges "/>
    <s v="Printing charges 4 Nos"/>
    <n v="3400"/>
    <n v="0.18"/>
    <n v="0"/>
    <n v="306"/>
    <n v="306"/>
    <n v="4012"/>
    <m/>
  </r>
  <r>
    <x v="11"/>
    <d v="2026-02-04T00:00:00"/>
    <s v="FEB-003/25-26"/>
    <s v="BAS Staffing Solutions Pvt Ltd"/>
    <n v="848"/>
    <s v="Security Service Charges "/>
    <s v="For the month of January 2026"/>
    <n v="149584"/>
    <n v="0.18"/>
    <n v="0"/>
    <n v="13462.56"/>
    <n v="13462.56"/>
    <n v="176509.12"/>
    <m/>
  </r>
  <r>
    <x v="11"/>
    <d v="2026-02-04T00:00:00"/>
    <s v="FEB-004/25-26"/>
    <s v="Bangalore Electricity Supply Company"/>
    <n v="1243199020657"/>
    <s v="Electricity Power charges "/>
    <s v="For the month of January 2026"/>
    <n v="124756"/>
    <n v="0"/>
    <n v="0"/>
    <n v="0"/>
    <n v="0"/>
    <n v="124756"/>
    <m/>
  </r>
  <r>
    <x v="11"/>
    <d v="2026-02-06T00:00:00"/>
    <s v="FEB-005/25-26"/>
    <s v="Prasad &amp; Suresh"/>
    <s v="187/2025-26"/>
    <s v="Proffessional Fees "/>
    <s v="Preparation and Fiiing Forms 9 and 9C under GST for the year ended 31st March 2025"/>
    <n v="15000"/>
    <n v="0.18"/>
    <n v="0"/>
    <n v="1350"/>
    <n v="1350"/>
    <n v="17700"/>
    <m/>
  </r>
  <r>
    <x v="11"/>
    <d v="2026-02-05T00:00:00"/>
    <s v="FEB-006/25-26"/>
    <s v="Neha Graphics "/>
    <n v="142"/>
    <s v="Printing Charges "/>
    <s v="A4 Size Die punched Stickers 10000 Nos and Inward Goods receip 5 Books"/>
    <n v="41500"/>
    <n v="0"/>
    <n v="0"/>
    <n v="0"/>
    <n v="0"/>
    <n v="41500"/>
    <m/>
  </r>
  <r>
    <x v="11"/>
    <d v="2026-02-13T00:00:00"/>
    <s v="FEB-007/25-26"/>
    <s v="Sri Udyog Integrated Services Pvt Ltd "/>
    <s v="Sui/1359"/>
    <s v="Manpower Services Charges "/>
    <s v="For the month of January 2026"/>
    <n v="602238.93000000005"/>
    <n v="0.18"/>
    <n v="0"/>
    <n v="54201.503700000001"/>
    <n v="54201.503700000001"/>
    <n v="710641.93740000005"/>
    <m/>
  </r>
  <r>
    <x v="11"/>
    <d v="2026-02-13T00:00:00"/>
    <s v="FEB-008/25-26"/>
    <s v="Sri Udyog Integrated Services Pvt Ltd "/>
    <s v="SUI/1360"/>
    <s v="Over Time Wages "/>
    <s v="For the month of January 2026"/>
    <n v="46558.07"/>
    <n v="0.18"/>
    <n v="0"/>
    <n v="4190.2263000000003"/>
    <n v="4190.2263000000003"/>
    <n v="54938.522600000004"/>
    <m/>
  </r>
  <r>
    <x v="11"/>
    <d v="2026-02-26T00:00:00"/>
    <s v="FEB-009/25-26"/>
    <s v="RS Form Teknic"/>
    <s v="RSFT/INV/33/2026"/>
    <s v="Service Charges"/>
    <s v="For the visit of ourt Engineer Mr.Prakash to your factory on 24 Feb and 25th Feb 2026"/>
    <n v="14287"/>
    <n v="0.18"/>
    <n v="2571.66"/>
    <n v="0"/>
    <n v="0"/>
    <n v="16858.66"/>
    <m/>
  </r>
  <r>
    <x v="11"/>
    <d v="2026-02-28T00:00:00"/>
    <s v="FEB-010/25-26"/>
    <s v="Maruthi Service Station"/>
    <n v="962"/>
    <s v="Petrol and Diesel Charges"/>
    <s v="Diesel 160 Ltr"/>
    <n v="14512"/>
    <n v="0"/>
    <n v="0"/>
    <n v="0"/>
    <n v="0"/>
    <n v="14512"/>
    <m/>
  </r>
  <r>
    <x v="11"/>
    <d v="2026-02-25T00:00:00"/>
    <s v="FEB-011/25-26"/>
    <s v="R.G Hotels &amp; Resort"/>
    <n v="4186"/>
    <s v="Lodging Charges"/>
    <s v="Mr.Prakash Kumar (Check in 24-02-26 and Check out date 25-02-26)"/>
    <n v="2666.67"/>
    <n v="0.05"/>
    <n v="0"/>
    <n v="66.666750000000008"/>
    <n v="66.666750000000008"/>
    <n v="2800.0034999999998"/>
    <m/>
  </r>
  <r>
    <x v="11"/>
    <d v="2026-02-28T00:00:00"/>
    <s v="FEB-012/25-26"/>
    <s v="Jupiter &amp; Company"/>
    <s v="1167/2025-26"/>
    <s v="Proffessional Fees "/>
    <s v="Fees towards Preparation of EPF and ESI Challans During Calendar Month Feb- 2026"/>
    <n v="1500"/>
    <n v="0.18"/>
    <n v="0"/>
    <n v="135"/>
    <n v="135"/>
    <n v="1770"/>
    <m/>
  </r>
  <r>
    <x v="11"/>
    <d v="2026-02-28T00:00:00"/>
    <s v="FEB-013/25-26"/>
    <s v="Sri Veerabhadraswamy Transport"/>
    <n v="322"/>
    <s v="Transportation Charges "/>
    <s v="For the month of February 2026"/>
    <n v="76950"/>
    <n v="0"/>
    <n v="0"/>
    <n v="0"/>
    <n v="0"/>
    <n v="76950"/>
    <m/>
  </r>
  <r>
    <x v="11"/>
    <d v="2026-02-28T00:00:00"/>
    <s v="FEB-014/25-26"/>
    <s v="The Professional Couriers "/>
    <s v="HRD2536679"/>
    <s v="Couriers Charges "/>
    <s v="For the month of February 2026"/>
    <n v="1285.7"/>
    <n v="0.18"/>
    <n v="0"/>
    <n v="115.71300000000001"/>
    <n v="115.71300000000001"/>
    <n v="1517.126"/>
    <m/>
  </r>
  <r>
    <x v="11"/>
    <d v="2026-02-28T00:00:00"/>
    <s v="FEB-015/25-26"/>
    <s v="Nikhila Engineering "/>
    <n v="1474"/>
    <s v="Job Work "/>
    <s v="Thermal Insulation, Acoustic insulation and Acoustic insulation without beading "/>
    <n v="59205.82"/>
    <n v="0.18"/>
    <n v="0"/>
    <n v="5328.5237999999999"/>
    <n v="5328.5237999999999"/>
    <n v="69862.867599999998"/>
    <m/>
  </r>
  <r>
    <x v="11"/>
    <d v="2026-02-28T00:00:00"/>
    <s v="FEB-016/25-26"/>
    <s v="Nikhila Engineering "/>
    <n v="1475"/>
    <s v="Job Work "/>
    <s v="Thermal Insulation and Acoustic Insulation "/>
    <n v="220439.58"/>
    <n v="0.18"/>
    <n v="0"/>
    <n v="19839.5622"/>
    <n v="19839.5622"/>
    <n v="260118.70439999999"/>
    <m/>
  </r>
  <r>
    <x v="11"/>
    <d v="2026-02-28T00:00:00"/>
    <s v="FEB-017/25-26"/>
    <s v="Nikhila Engineering "/>
    <n v="1476"/>
    <s v="Job Work "/>
    <s v="Thermal Insulation and Acoustic Insulation "/>
    <n v="145287.44"/>
    <n v="0.18"/>
    <n v="0"/>
    <n v="13075.8696"/>
    <n v="13075.8696"/>
    <n v="171439.17920000001"/>
    <m/>
  </r>
  <r>
    <x v="11"/>
    <d v="2026-02-28T00:00:00"/>
    <s v="FEB-018/25-26"/>
    <s v="Nikhila Engineering "/>
    <n v="1477"/>
    <s v="Job Work "/>
    <s v="Thermal Insulation "/>
    <n v="95266.35"/>
    <n v="0.18"/>
    <n v="0"/>
    <n v="8573.9714999999997"/>
    <n v="8573.9714999999997"/>
    <n v="112414.29300000001"/>
    <m/>
  </r>
  <r>
    <x v="11"/>
    <d v="2026-02-28T00:00:00"/>
    <s v="FEB-019/25-26"/>
    <s v="Nikhila Engineering "/>
    <n v="1478"/>
    <s v="Job Work "/>
    <s v="Thermal Insulation "/>
    <n v="193155.45"/>
    <n v="0.18"/>
    <n v="0"/>
    <n v="17383.9905"/>
    <n v="17383.9905"/>
    <n v="227923.43100000004"/>
    <m/>
  </r>
  <r>
    <x v="11"/>
    <d v="2026-02-28T00:00:00"/>
    <s v="FEB-020/25-26"/>
    <s v="Nikhila Engineering "/>
    <n v="1479"/>
    <s v="Job Work "/>
    <s v="Thermal Insulation "/>
    <n v="32750.75"/>
    <n v="0.18"/>
    <n v="0"/>
    <n v="2947.5675000000001"/>
    <n v="2947.5675000000001"/>
    <n v="38645.884999999995"/>
    <m/>
  </r>
  <r>
    <x v="11"/>
    <d v="2026-02-28T00:00:00"/>
    <s v="FEB-021/25-26"/>
    <s v="Nikhila Engineering "/>
    <n v="1480"/>
    <s v="Job Work "/>
    <s v="Thermal Insulation and Acoustic Insulation "/>
    <n v="42040.93"/>
    <n v="0.18"/>
    <n v="0"/>
    <n v="3783.6837"/>
    <n v="3783.6837"/>
    <n v="49608.297400000003"/>
    <m/>
  </r>
  <r>
    <x v="11"/>
    <d v="2026-02-28T00:00:00"/>
    <s v="FEB-022/25-26"/>
    <s v="Nikhila Engineering "/>
    <n v="1481"/>
    <s v="Job Work "/>
    <s v="Thermal Insulation "/>
    <n v="21587.25"/>
    <n v="0.18"/>
    <n v="0"/>
    <n v="1942.8525"/>
    <n v="1942.8525"/>
    <n v="25472.955000000002"/>
    <m/>
  </r>
  <r>
    <x v="11"/>
    <d v="2026-02-28T00:00:00"/>
    <s v="FEB-023/25-26"/>
    <s v="Nikhila Engineering "/>
    <n v="1482"/>
    <s v="Job Work "/>
    <s v="Thermal Insulation "/>
    <n v="11029"/>
    <n v="0.18"/>
    <n v="0"/>
    <n v="992.61"/>
    <n v="992.61"/>
    <n v="13014.220000000001"/>
    <m/>
  </r>
  <r>
    <x v="11"/>
    <d v="2026-02-28T00:00:00"/>
    <s v="FEB-024/25-26"/>
    <s v="Nikhila Engineering "/>
    <n v="1483"/>
    <s v="Job Work "/>
    <s v="Thermal Insulation and Acoustic Insulation "/>
    <n v="23651.56"/>
    <n v="0.18"/>
    <n v="0"/>
    <n v="2128.6404000000002"/>
    <n v="2128.6404000000002"/>
    <n v="27908.840800000002"/>
    <m/>
  </r>
  <r>
    <x v="11"/>
    <d v="2026-02-28T00:00:00"/>
    <s v="FEB-025/25-26"/>
    <s v="Nikhila Engineering "/>
    <n v="1484"/>
    <s v="Job Work "/>
    <s v="Thermal Insulation "/>
    <n v="21089.599999999999"/>
    <n v="0.18"/>
    <n v="0"/>
    <n v="1898.0639999999999"/>
    <n v="1898.0639999999999"/>
    <n v="24885.727999999996"/>
    <m/>
  </r>
  <r>
    <x v="11"/>
    <d v="2026-02-28T00:00:00"/>
    <s v="FEB-026/25-26"/>
    <s v="Nikhila Engineering "/>
    <n v="1485"/>
    <s v="Job Work "/>
    <s v="Thermal Insulatin and Acoustic Insulation "/>
    <n v="44293"/>
    <n v="0.18"/>
    <n v="0"/>
    <n v="3986.37"/>
    <n v="3986.37"/>
    <n v="52265.740000000005"/>
    <m/>
  </r>
  <r>
    <x v="11"/>
    <d v="2026-02-28T00:00:00"/>
    <s v="FEB-027/25-26"/>
    <s v="Nikhila Engineering "/>
    <n v="1486"/>
    <s v="Job Work "/>
    <s v="Thermal Insulation "/>
    <n v="1170.1500000000001"/>
    <n v="0.18"/>
    <n v="0"/>
    <n v="105.3135"/>
    <n v="105.3135"/>
    <n v="1380.777"/>
    <m/>
  </r>
  <r>
    <x v="11"/>
    <d v="2026-02-28T00:00:00"/>
    <s v="FEB-028/25-26"/>
    <s v="Nikhila Engineering "/>
    <n v="1487"/>
    <s v="Job Work "/>
    <s v="Acoustic Insulation without beading "/>
    <n v="5030.3"/>
    <n v="0.18"/>
    <n v="0"/>
    <n v="452.72700000000003"/>
    <n v="452.72700000000003"/>
    <n v="5935.7539999999999"/>
    <m/>
  </r>
  <r>
    <x v="11"/>
    <d v="2026-02-28T00:00:00"/>
    <s v="FEB-029/25-26"/>
    <s v="Nikhila Engineering "/>
    <n v="1488"/>
    <s v="Job Work "/>
    <s v="Thermal Insulation and Acoustic Insulation without beading "/>
    <n v="26402.35"/>
    <n v="0.18"/>
    <n v="0"/>
    <n v="2376.2114999999999"/>
    <n v="2376.2114999999999"/>
    <n v="31154.773000000001"/>
    <m/>
  </r>
  <r>
    <x v="11"/>
    <d v="2026-02-28T00:00:00"/>
    <s v="FEB-030/25-26"/>
    <s v="Nikhila Engineering "/>
    <n v="1489"/>
    <s v="Job Work "/>
    <s v="Thermal Insulation "/>
    <n v="14149.4"/>
    <n v="0.18"/>
    <n v="0"/>
    <n v="1273.4459999999999"/>
    <n v="1273.4459999999999"/>
    <n v="16696.292000000001"/>
    <m/>
  </r>
  <r>
    <x v="11"/>
    <d v="2026-02-28T00:00:00"/>
    <s v="FEB-031/25-26"/>
    <s v="Nikhila Engineering "/>
    <n v="1490"/>
    <s v="Job Work "/>
    <s v="Thermal Insulation "/>
    <n v="18049.900000000001"/>
    <n v="0.18"/>
    <n v="0"/>
    <n v="1624.491"/>
    <n v="1624.491"/>
    <n v="21298.882000000005"/>
    <m/>
  </r>
  <r>
    <x v="11"/>
    <d v="2026-02-28T00:00:00"/>
    <s v="FEB-032/25-26"/>
    <s v="Nikhila Engineering "/>
    <n v="1491"/>
    <s v="Job Work "/>
    <s v="Thermal Insulation, Acoustic Insulation and Acoustic insulation without beading "/>
    <n v="24837.85"/>
    <n v="0.18"/>
    <n v="0"/>
    <n v="2235.4065000000001"/>
    <n v="2235.4065000000001"/>
    <n v="29308.663"/>
    <m/>
  </r>
  <r>
    <x v="11"/>
    <d v="2026-02-28T00:00:00"/>
    <s v="FEB-033/25-26"/>
    <s v="Nikhila Engineering "/>
    <n v="1492"/>
    <s v="Job Work "/>
    <s v="Thermal Insulation "/>
    <n v="22044.55"/>
    <n v="0.18"/>
    <n v="0"/>
    <n v="1984.0094999999999"/>
    <n v="1984.0094999999999"/>
    <n v="26012.569"/>
    <m/>
  </r>
  <r>
    <x v="11"/>
    <d v="2026-02-11T00:00:00"/>
    <s v="FEB-034/25-26"/>
    <s v="Shandilya Softech Pvt Ltd "/>
    <s v="INV/0431-25"/>
    <s v="Proffessional Fees "/>
    <s v="Form 24Q3, Form 26Q3 and Form"/>
    <n v="4100"/>
    <n v="0.18"/>
    <n v="0"/>
    <n v="369"/>
    <n v="369"/>
    <n v="5149"/>
    <m/>
  </r>
  <r>
    <x v="12"/>
    <d v="2026-03-03T00:00:00"/>
    <s v="MAR-001/25-26"/>
    <s v="Sri Venkateshwara Enterprises"/>
    <s v="SVE/6237/25-26"/>
    <s v="Carbon-Di-Oxide Full Cylinder"/>
    <s v="135 Kgs"/>
    <n v="4050"/>
    <n v="0.18"/>
    <n v="0"/>
    <n v="364.5"/>
    <n v="364.5"/>
    <n v="4779"/>
    <m/>
  </r>
  <r>
    <x v="12"/>
    <d v="2026-03-04T00:00:00"/>
    <s v="MAR-002/25-26"/>
    <s v="BAS Staffing Solutions Pvt Ltd"/>
    <n v="917"/>
    <s v="Security Service Charges "/>
    <s v="For the month of February 2026"/>
    <n v="149442"/>
    <n v="0.18"/>
    <n v="0"/>
    <n v="13449.78"/>
    <n v="13449.78"/>
    <n v="176341.56"/>
    <m/>
  </r>
  <r>
    <x v="12"/>
    <d v="2026-03-04T00:00:00"/>
    <s v="MAR-003/25-26"/>
    <s v="Bangalore Electricity Supply Company"/>
    <n v="1243199021954"/>
    <s v="Electricity Power charges "/>
    <s v="For the month of February 2026"/>
    <n v="133871"/>
    <n v="0"/>
    <n v="0"/>
    <n v="0"/>
    <n v="0"/>
    <n v="133871"/>
    <m/>
  </r>
  <r>
    <x v="12"/>
    <d v="2026-03-09T00:00:00"/>
    <s v="MAR-004/25-26"/>
    <s v="Ashok Business Service India Pvt Ltd"/>
    <s v="ABSIPL/25-26/304"/>
    <s v="Manpower Services Charges "/>
    <s v="For the month of February 2026"/>
    <n v="334214"/>
    <n v="0.18"/>
    <n v="0"/>
    <n v="30079.26"/>
    <n v="30079.26"/>
    <n v="394372.52"/>
    <m/>
  </r>
  <r>
    <x v="12"/>
    <d v="2026-03-07T00:00:00"/>
    <s v="MAR-005/25-26"/>
    <s v="Advanced Metallurgical Laboratory LLP"/>
    <s v="UII/25-26/3083"/>
    <s v="Lab Testing Charges "/>
    <s v="Tchnical testing and Analysis Service of GI Coil 26g,24g and 22g"/>
    <n v="2250"/>
    <n v="0.18"/>
    <n v="0"/>
    <n v="202.5"/>
    <n v="202.5"/>
    <n v="2655"/>
    <m/>
  </r>
  <r>
    <x v="12"/>
    <d v="2026-03-14T00:00:00"/>
    <s v="MAR-006/25-26"/>
    <s v="Sri Udyog Integrated Services Pvt Ltd "/>
    <s v="SUI/1391"/>
    <s v="Manpower Services Charges "/>
    <s v="For the month of February 2026"/>
    <n v="585599.07999999996"/>
    <n v="0.18"/>
    <n v="0"/>
    <n v="52703.917199999996"/>
    <n v="52703.917199999996"/>
    <n v="691006.91440000001"/>
    <m/>
  </r>
  <r>
    <x v="12"/>
    <d v="2026-03-14T00:00:00"/>
    <s v="MAR-007/25-26"/>
    <s v="Sri Udyog Integrated Services Pvt Ltd "/>
    <s v="SUI/1392"/>
    <s v="Over Time Wages "/>
    <s v="For the month of February 2026"/>
    <n v="31708.99"/>
    <n v="0.18"/>
    <n v="0"/>
    <n v="2853.8091000000004"/>
    <n v="2853.8091000000004"/>
    <n v="37416.608200000002"/>
    <m/>
  </r>
  <r>
    <x v="12"/>
    <d v="2026-03-13T00:00:00"/>
    <s v="MAR-008/25-26"/>
    <s v="Cartridge Plus "/>
    <n v="4642"/>
    <s v="Printing Charges "/>
    <s v="HP Laser 88A Toner Cartridge 2 Nos &amp; HP Laser Jet 88A Toner Cartridge 1 Nos "/>
    <n v="2200"/>
    <n v="0.18"/>
    <n v="0"/>
    <n v="198"/>
    <n v="198"/>
    <n v="2596"/>
    <m/>
  </r>
  <r>
    <x v="12"/>
    <d v="2026-03-21T00:00:00"/>
    <s v="MAR-009/25-26"/>
    <s v="Hiremath Electricals"/>
    <n v="1"/>
    <s v="Inspection Charges"/>
    <s v="Charges for Inspection &amp; Testing of Camduct Machines "/>
    <n v="110250"/>
    <n v="0.18"/>
    <n v="0"/>
    <n v="9922.5"/>
    <n v="9922.5"/>
    <n v="130095"/>
    <m/>
  </r>
  <r>
    <x v="12"/>
    <d v="2026-03-27T00:00:00"/>
    <s v="MAR-010/25-26"/>
    <s v="Armstrong International Consultants"/>
    <s v="BLR/2025-26/3706"/>
    <s v="Professional fees "/>
    <s v="As 15 (R) - Gratuity report (Being consulting  fees for the actuarial valution of Gratuity &amp; Issuance of report"/>
    <n v="3500"/>
    <n v="0.18"/>
    <n v="0"/>
    <n v="315"/>
    <n v="315"/>
    <n v="4130"/>
    <m/>
  </r>
  <r>
    <x v="5"/>
    <d v="2025-09-19T00:00:00"/>
    <s v="MAR-011/25-26"/>
    <s v="AG Systems"/>
    <s v="AG/25-26/397"/>
    <s v="Couriers Charges "/>
    <s v="DTDC Courier charges against Invoice-AG/25-26/396"/>
    <n v="3770"/>
    <n v="0.18"/>
    <n v="0"/>
    <n v="339.3"/>
    <n v="339.3"/>
    <n v="4448.6000000000004"/>
    <m/>
  </r>
  <r>
    <x v="12"/>
    <d v="2026-03-31T00:00:00"/>
    <s v="MAR-012/25-26"/>
    <s v="Sri Udyog Integrated Services Pvt Ltd "/>
    <s v="SUI/1405"/>
    <s v="Manpower Services Charges "/>
    <s v="Fot the month of March 2026"/>
    <n v="513787.47"/>
    <n v="0.18"/>
    <n v="0"/>
    <n v="46240.872299999995"/>
    <n v="46240.872299999995"/>
    <n v="606269.21460000006"/>
    <m/>
  </r>
  <r>
    <x v="12"/>
    <d v="2026-03-31T00:00:00"/>
    <s v="MAR-013/25-26"/>
    <s v="Sri Udyog Integrated Services Pvt Ltd "/>
    <s v="SUI/1406"/>
    <s v="Over Time Wages "/>
    <s v="Fot the month of March 2026"/>
    <n v="90486.62"/>
    <n v="0.18"/>
    <n v="0"/>
    <n v="8143.7957999999999"/>
    <n v="8143.7957999999999"/>
    <n v="106774.21159999998"/>
    <m/>
  </r>
  <r>
    <x v="12"/>
    <d v="2026-03-31T00:00:00"/>
    <s v="MAR-014/25-26"/>
    <s v="Ashok Business Service India Pvt Ltd"/>
    <s v="ABSIPL/25-26/321"/>
    <s v="Manpower Services Charges "/>
    <s v="For the month of March 2026"/>
    <n v="360599"/>
    <n v="0.18"/>
    <n v="0"/>
    <n v="32453.91"/>
    <n v="32453.91"/>
    <n v="425506.81999999995"/>
    <m/>
  </r>
  <r>
    <x v="12"/>
    <d v="2026-03-31T00:00:00"/>
    <s v="MAR-015/25-26"/>
    <s v="BAS Staffing Solutions Pvt Ltd"/>
    <n v="981"/>
    <s v="Security Service Charges "/>
    <s v="Fot the month of March 2026"/>
    <n v="149584"/>
    <n v="0.18"/>
    <n v="0"/>
    <n v="13462.56"/>
    <n v="13462.56"/>
    <n v="176509.12"/>
    <m/>
  </r>
  <r>
    <x v="12"/>
    <d v="2026-03-31T00:00:00"/>
    <s v="MAR-016/25-26"/>
    <s v="Jupiter &amp; Company"/>
    <s v="1287/2025-26"/>
    <s v="Professional fees "/>
    <s v="Fees Towards preparation of EPF &amp; ESI Challans during calendar Month of March 2026"/>
    <n v="1500"/>
    <n v="0.18"/>
    <n v="0"/>
    <n v="135"/>
    <n v="135"/>
    <n v="1770"/>
    <m/>
  </r>
  <r>
    <x v="12"/>
    <d v="2026-03-31T00:00:00"/>
    <s v="MAR-017/25-26"/>
    <s v="Sri Veerabhadraswamy Transport"/>
    <n v="347"/>
    <s v="Transportation Charges "/>
    <s v="For the month of March 2026"/>
    <n v="90000"/>
    <n v="0"/>
    <n v="0"/>
    <n v="0"/>
    <n v="0"/>
    <n v="90000"/>
    <m/>
  </r>
  <r>
    <x v="12"/>
    <d v="2026-03-31T00:00:00"/>
    <s v="MAR-018/25-26"/>
    <s v="The Professional Couriers "/>
    <s v="HRD2539341"/>
    <s v="Couriers Charges "/>
    <s v="For the month of March 2026"/>
    <n v="941.85"/>
    <n v="0.18"/>
    <n v="0"/>
    <n v="84.766499999999994"/>
    <n v="84.766499999999994"/>
    <n v="1111.383"/>
    <m/>
  </r>
  <r>
    <x v="12"/>
    <d v="2026-03-31T00:00:00"/>
    <s v="MAR-019/25-26"/>
    <s v="Nikhila Engineering "/>
    <n v="1498"/>
    <s v="Job Work "/>
    <s v="Thermal Insulation and Acoustic Insulation "/>
    <n v="15440.6"/>
    <n v="0.18"/>
    <n v="0"/>
    <n v="1389.654"/>
    <n v="1389.654"/>
    <n v="18219.907999999999"/>
    <m/>
  </r>
  <r>
    <x v="12"/>
    <d v="2026-03-31T00:00:00"/>
    <s v="MAR-020/25-26"/>
    <s v="Nikhila Engineering "/>
    <n v="1499"/>
    <s v="Job Work "/>
    <s v="Thermal Insulation "/>
    <n v="1923.35"/>
    <n v="0.18"/>
    <n v="0"/>
    <n v="173.10149999999999"/>
    <n v="173.10149999999999"/>
    <n v="2269.5529999999999"/>
    <m/>
  </r>
  <r>
    <x v="12"/>
    <d v="2026-03-31T00:00:00"/>
    <s v="MAR-021/25-26"/>
    <s v="Nikhila Engineering "/>
    <n v="1500"/>
    <s v="Job Work "/>
    <s v="Thermal Insulation "/>
    <n v="1977.15"/>
    <n v="0.18"/>
    <n v="0"/>
    <n v="177.94350000000003"/>
    <n v="177.94350000000003"/>
    <n v="2333.0369999999998"/>
    <m/>
  </r>
  <r>
    <x v="12"/>
    <d v="2026-03-31T00:00:00"/>
    <s v="MAR-022/25-26"/>
    <s v="Nikhila Engineering "/>
    <n v="1501"/>
    <s v="Job Work "/>
    <s v="Thermal Insulation, Acoustic Insulation and Acoustic Insulatin without beading"/>
    <n v="9937.94"/>
    <n v="0.18"/>
    <n v="0"/>
    <n v="894.41460000000006"/>
    <n v="894.41460000000006"/>
    <n v="11726.769200000001"/>
    <m/>
  </r>
  <r>
    <x v="12"/>
    <d v="2026-03-31T00:00:00"/>
    <s v="MAR-023/25-26"/>
    <s v="Nikhila Engineering "/>
    <n v="1502"/>
    <s v="Job Work "/>
    <s v="Thermal Insulation "/>
    <n v="4613.3500000000004"/>
    <n v="0.18"/>
    <n v="0"/>
    <n v="415.20150000000001"/>
    <n v="415.20150000000001"/>
    <n v="5443.7530000000006"/>
    <m/>
  </r>
  <r>
    <x v="12"/>
    <d v="2026-03-31T00:00:00"/>
    <s v="MAR-024/25-26"/>
    <s v="Nikhila Engineering "/>
    <n v="1503"/>
    <s v="Job Work "/>
    <s v="Thermal Insulatin and Acoustic Insulation "/>
    <n v="56970.43"/>
    <n v="0.18"/>
    <n v="0"/>
    <n v="5127.3387000000002"/>
    <n v="5127.3387000000002"/>
    <n v="67225.107400000008"/>
    <m/>
  </r>
  <r>
    <x v="12"/>
    <d v="2026-03-31T00:00:00"/>
    <s v="MAR-025/25-26"/>
    <s v="Nikhila Engineering "/>
    <n v="1504"/>
    <s v="Job Work "/>
    <s v="Thermal Insulation And Acoustic Insulation without beading "/>
    <n v="13369.3"/>
    <n v="0.18"/>
    <n v="0"/>
    <n v="1203.2370000000001"/>
    <n v="1203.2370000000001"/>
    <n v="15775.774000000001"/>
    <m/>
  </r>
  <r>
    <x v="12"/>
    <d v="2026-03-31T00:00:00"/>
    <s v="MAR-026/25-26"/>
    <s v="Nikhila Engineering "/>
    <n v="1505"/>
    <s v="Job Work "/>
    <s v="Thermal Insulation "/>
    <n v="6603.95"/>
    <n v="0.18"/>
    <n v="0"/>
    <n v="594.35550000000001"/>
    <n v="594.35550000000001"/>
    <n v="7792.6609999999991"/>
    <m/>
  </r>
  <r>
    <x v="12"/>
    <d v="2026-03-31T00:00:00"/>
    <s v="MAR-027/25-26"/>
    <s v="Nikhila Engineering "/>
    <n v="1506"/>
    <s v="Job Work "/>
    <s v="Thermal Insulation "/>
    <n v="928.05"/>
    <n v="0.18"/>
    <n v="0"/>
    <n v="83.524499999999989"/>
    <n v="83.524499999999989"/>
    <n v="1095.0989999999999"/>
    <m/>
  </r>
  <r>
    <x v="12"/>
    <d v="2026-03-31T00:00:00"/>
    <s v="MAR-028/25-26"/>
    <s v="Nikhila Engineering "/>
    <n v="1507"/>
    <s v="Job Work "/>
    <s v="Acoustic Insulation "/>
    <n v="1342.85"/>
    <n v="0.18"/>
    <n v="0"/>
    <n v="120.8565"/>
    <n v="120.8565"/>
    <n v="1584.5630000000001"/>
    <m/>
  </r>
  <r>
    <x v="12"/>
    <d v="2026-03-31T00:00:00"/>
    <s v="MAR-029/25-26"/>
    <s v="Nikhila Engineering "/>
    <n v="1508"/>
    <s v="Job Work "/>
    <s v="Thermal Insulation and Acousic Insulation "/>
    <n v="8394.9500000000007"/>
    <n v="0.18"/>
    <n v="0"/>
    <n v="755.54550000000006"/>
    <n v="755.54550000000006"/>
    <n v="9906.0410000000011"/>
    <m/>
  </r>
  <r>
    <x v="12"/>
    <d v="2026-03-31T00:00:00"/>
    <s v="MAR-030/25-26"/>
    <s v="Nikhila Engineering "/>
    <n v="1509"/>
    <s v="Job Work "/>
    <s v="Thermal Insulation And Acoustic Insulation without beading "/>
    <n v="67075.149999999994"/>
    <n v="0.18"/>
    <n v="0"/>
    <n v="6036.7635"/>
    <n v="6036.7635"/>
    <n v="79148.676999999996"/>
    <m/>
  </r>
  <r>
    <x v="12"/>
    <d v="2026-03-31T00:00:00"/>
    <s v="MAR-031/25-26"/>
    <s v="Nikhila Engineering "/>
    <n v="1510"/>
    <s v="Job Work "/>
    <s v="Thermal Insulation "/>
    <n v="31742"/>
    <n v="0.18"/>
    <n v="0"/>
    <n v="2856.78"/>
    <n v="2856.78"/>
    <n v="37455.56"/>
    <m/>
  </r>
  <r>
    <x v="12"/>
    <d v="2026-03-31T00:00:00"/>
    <s v="MAR-032/25-26"/>
    <s v="Nikhila Engineering "/>
    <n v="1511"/>
    <s v="Job Work "/>
    <s v="Thermal Insulation, Acoustic Insulation and Acoustic Insulation without beading"/>
    <n v="428052.17"/>
    <n v="0.18"/>
    <n v="0"/>
    <n v="38524.695299999999"/>
    <n v="38524.695299999999"/>
    <n v="505101.56060000003"/>
    <m/>
  </r>
  <r>
    <x v="12"/>
    <d v="2026-03-31T00:00:00"/>
    <s v="MAR-033/25-26"/>
    <s v="Suresh Travels"/>
    <s v="820/25-26"/>
    <s v="Taxi Hire Charges "/>
    <s v="For the month of March 2026"/>
    <n v="18844"/>
    <n v="0"/>
    <n v="0"/>
    <n v="0"/>
    <n v="0"/>
    <n v="18844"/>
    <m/>
  </r>
  <r>
    <x v="12"/>
    <d v="2026-03-31T00:00:00"/>
    <s v="MAR-034/25-26"/>
    <s v="R.G Hotels &amp; Resort"/>
    <s v="4545 &amp; 4546"/>
    <s v="Lodging Charges"/>
    <s v="Mr.Deepak Check in (30-3-26) out (31-3-26)"/>
    <n v="2666.67"/>
    <n v="0.05"/>
    <n v="0"/>
    <n v="66.666750000000008"/>
    <n v="66.666750000000008"/>
    <n v="2800.0034999999998"/>
    <m/>
  </r>
  <r>
    <x v="12"/>
    <d v="2026-03-31T00:00:00"/>
    <s v="MAR-034/25-26"/>
    <s v="R.G Hotels &amp; Resort"/>
    <s v="4545 &amp; 4546"/>
    <s v="Lodging Charges"/>
    <s v="Mr.Deepak (Arwana Veg Restaurant)"/>
    <n v="420"/>
    <n v="0"/>
    <n v="0"/>
    <n v="0"/>
    <n v="0"/>
    <n v="420"/>
    <m/>
  </r>
  <r>
    <x v="13"/>
    <m/>
    <m/>
    <m/>
    <m/>
    <m/>
    <m/>
    <m/>
    <m/>
    <m/>
    <m/>
    <m/>
    <m/>
    <m/>
  </r>
  <r>
    <x v="13"/>
    <m/>
    <m/>
    <m/>
    <m/>
    <m/>
    <m/>
    <m/>
    <m/>
    <m/>
    <m/>
    <m/>
    <m/>
    <m/>
  </r>
  <r>
    <x v="13"/>
    <m/>
    <m/>
    <m/>
    <m/>
    <m/>
    <m/>
    <m/>
    <m/>
    <m/>
    <m/>
    <m/>
    <m/>
    <m/>
  </r>
  <r>
    <x v="13"/>
    <m/>
    <m/>
    <m/>
    <m/>
    <m/>
    <m/>
    <m/>
    <m/>
    <m/>
    <m/>
    <m/>
    <m/>
    <m/>
  </r>
  <r>
    <x v="13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">
  <r>
    <n v="1"/>
    <x v="0"/>
    <d v="2025-04-04T00:00:00"/>
    <m/>
    <s v="Naveen S"/>
    <s v="Weekly Pooja expenses (60 Sweets) 04/04/2025 Friday"/>
    <n v="700"/>
  </r>
  <r>
    <n v="2"/>
    <x v="0"/>
    <d v="2025-04-05T00:00:00"/>
    <m/>
    <s v="Naveen S"/>
    <s v="Refreshment Charges (Coffe, Tea Biscuit) for the moth of Mar-2025"/>
    <n v="7080"/>
  </r>
  <r>
    <n v="3"/>
    <x v="0"/>
    <d v="2025-04-07T00:00:00"/>
    <m/>
    <s v="Naveen S"/>
    <s v="Pooja Expenses ( Shri Ramanavami ) 07-04-2025 Monday"/>
    <n v="1500"/>
  </r>
  <r>
    <n v="4"/>
    <x v="0"/>
    <d v="2025-04-07T00:00:00"/>
    <m/>
    <s v="Naveen S"/>
    <s v="Travel Conveyance (Visited KNND Office &amp; Canara Bank 07-04-2025"/>
    <n v="500"/>
  </r>
  <r>
    <n v="5"/>
    <x v="0"/>
    <d v="2025-04-07T00:00:00"/>
    <m/>
    <s v="Nanjundappa "/>
    <s v="Travel &amp; Food Expenses (Malur Factory Visit-10 for the month of Mar-2025)"/>
    <n v="4000"/>
  </r>
  <r>
    <n v="6"/>
    <x v="0"/>
    <d v="2025-04-08T00:00:00"/>
    <m/>
    <s v="Naveen S"/>
    <s v="Electrical Work charges (Transformer Oil Changing work)"/>
    <n v="800"/>
  </r>
  <r>
    <n v="7"/>
    <x v="0"/>
    <d v="2025-04-11T00:00:00"/>
    <m/>
    <s v="Naveen S"/>
    <s v="Cleaning, Loading and Unloading Charges month of Apr-2025"/>
    <n v="4000"/>
  </r>
  <r>
    <n v="8"/>
    <x v="0"/>
    <d v="2025-04-11T00:00:00"/>
    <m/>
    <s v="Naveen S"/>
    <s v="Internet Charges for the month of Apr-2025"/>
    <n v="1650"/>
  </r>
  <r>
    <n v="9"/>
    <x v="0"/>
    <d v="2025-04-11T00:00:00"/>
    <m/>
    <s v="Naveen S"/>
    <s v="Weekly Pooja expenses (65 Sweets) 11/04/2025 Friday"/>
    <n v="700"/>
  </r>
  <r>
    <n v="10"/>
    <x v="0"/>
    <d v="2025-04-12T00:00:00"/>
    <m/>
    <s v="Mani N"/>
    <s v="Food Expenses (Factory team Visited Maddur Factory-3 Workers)"/>
    <n v="600"/>
  </r>
  <r>
    <n v="11"/>
    <x v="0"/>
    <d v="2025-04-12T00:00:00"/>
    <m/>
    <s v="Naveen S"/>
    <s v="HDMI Cable For Desktop"/>
    <n v="200"/>
  </r>
  <r>
    <n v="12"/>
    <x v="0"/>
    <d v="2025-04-12T00:00:00"/>
    <m/>
    <s v="Naveen S"/>
    <s v="Porter Charges ( Sample VCD Sent to KNND )"/>
    <n v="730"/>
  </r>
  <r>
    <n v="13"/>
    <x v="0"/>
    <d v="2025-04-15T00:00:00"/>
    <m/>
    <s v="Naveen S"/>
    <s v="Charcol Purchased ( Earthing )"/>
    <n v="750"/>
  </r>
  <r>
    <n v="14"/>
    <x v="0"/>
    <d v="2025-04-15T00:00:00"/>
    <m/>
    <s v="Naveen S"/>
    <s v="MS Pipe Shifting Charges ( KNND )"/>
    <n v="4000"/>
  </r>
  <r>
    <n v="15"/>
    <x v="0"/>
    <d v="2025-04-16T00:00:00"/>
    <m/>
    <s v="Naveen S"/>
    <s v="Weighment Charges ( Coil Received From J R &amp; Co and Meenakshi Steel)"/>
    <n v="500"/>
  </r>
  <r>
    <n v="16"/>
    <x v="0"/>
    <d v="2025-04-17T00:00:00"/>
    <m/>
    <s v="Naveen S"/>
    <s v="Food Expenses (Night Shift working on 17-04-2025 - 3 Workers )"/>
    <n v="330"/>
  </r>
  <r>
    <n v="17"/>
    <x v="0"/>
    <d v="2025-04-17T00:00:00"/>
    <m/>
    <s v="Naveen S"/>
    <s v="House Keeping Material Purchased"/>
    <n v="3790"/>
  </r>
  <r>
    <n v="18"/>
    <x v="0"/>
    <d v="2025-04-17T00:00:00"/>
    <m/>
    <s v="Naveen S"/>
    <s v="Porter charges ( Chain Hoist 2 ton - 2 Nos received from Ideal Tools Co..)"/>
    <n v="762"/>
  </r>
  <r>
    <n v="19"/>
    <x v="0"/>
    <d v="2025-04-18T00:00:00"/>
    <m/>
    <s v="Mani N"/>
    <s v="Food Expenses ( Visitor From MAHE Mr. Ravindra  Mohan )"/>
    <n v="990"/>
  </r>
  <r>
    <n v="20"/>
    <x v="0"/>
    <d v="2025-04-18T00:00:00"/>
    <m/>
    <s v="Naveen S"/>
    <s v="Refreshment Charges (Coffe, Tea Biscuit) IISC Team Visited)  12 &amp; 19-04-2025"/>
    <n v="280"/>
  </r>
  <r>
    <n v="21"/>
    <x v="0"/>
    <d v="2025-04-18T00:00:00"/>
    <m/>
    <s v="Naveen S"/>
    <s v="Transportation Charges (Spiral Duct Spares Received From Fedex -Shanghai)"/>
    <n v="4144"/>
  </r>
  <r>
    <n v="22"/>
    <x v="0"/>
    <d v="2025-04-18T00:00:00"/>
    <m/>
    <s v="Naveen S"/>
    <s v="Weekly Pooja expenses (65 Sweets) 18/04/2025 Friday"/>
    <n v="700"/>
  </r>
  <r>
    <n v="23"/>
    <x v="0"/>
    <d v="2025-04-19T00:00:00"/>
    <m/>
    <s v="Naveen S"/>
    <s v="MS Channel Purchased for Spiral Trolly (Bill Attatched)"/>
    <n v="6738"/>
  </r>
  <r>
    <n v="24"/>
    <x v="0"/>
    <d v="2025-04-20T00:00:00"/>
    <m/>
    <s v="Naveen S"/>
    <s v="Monthly Flower Payment (11-03-2025 To 10-04-2025)"/>
    <n v="550"/>
  </r>
  <r>
    <n v="25"/>
    <x v="0"/>
    <d v="2025-04-24T00:00:00"/>
    <m/>
    <s v="Deepak K.V"/>
    <s v="Porter Charges"/>
    <n v="5372"/>
  </r>
  <r>
    <n v="26"/>
    <x v="0"/>
    <d v="2025-04-24T00:00:00"/>
    <m/>
    <s v="Deepak K.V"/>
    <s v="Food Expenses along with Umesh, Chowdesh Gowda and Selec etc"/>
    <n v="3377"/>
  </r>
  <r>
    <n v="27"/>
    <x v="0"/>
    <d v="2025-04-24T00:00:00"/>
    <m/>
    <s v="Deepak K.V"/>
    <s v="Hevelling Bar purchased for hole Punch Machine"/>
    <n v="885"/>
  </r>
  <r>
    <n v="28"/>
    <x v="0"/>
    <d v="2025-04-24T00:00:00"/>
    <m/>
    <s v="Deepak K.V"/>
    <s v="Scale purchased for hole Punching Stand"/>
    <n v="4728"/>
  </r>
  <r>
    <n v="29"/>
    <x v="0"/>
    <d v="2025-04-24T00:00:00"/>
    <m/>
    <s v="Deepak K.V"/>
    <s v="Petrole Expenses"/>
    <n v="7312"/>
  </r>
  <r>
    <n v="30"/>
    <x v="0"/>
    <d v="2025-04-24T00:00:00"/>
    <m/>
    <s v="Deepak K.V"/>
    <s v="Petrole Expenses"/>
    <n v="8408"/>
  </r>
  <r>
    <n v="31"/>
    <x v="0"/>
    <d v="2025-04-24T00:00:00"/>
    <m/>
    <s v="Naveen S"/>
    <s v="Porter Charges (VCD Bush received from Tooling Ocean)"/>
    <n v="980"/>
  </r>
  <r>
    <n v="32"/>
    <x v="0"/>
    <d v="2025-04-25T00:00:00"/>
    <m/>
    <s v="Naveen S"/>
    <s v="Weekly Pooja Expenses (Sweets-70 Nos) 25-04-2025  Friday"/>
    <n v="700"/>
  </r>
  <r>
    <n v="33"/>
    <x v="0"/>
    <d v="2025-04-25T00:00:00"/>
    <m/>
    <s v="Naveen S"/>
    <s v="Weighment Charges ( Coil Received from Meenakshi )"/>
    <n v="280"/>
  </r>
  <r>
    <n v="34"/>
    <x v="0"/>
    <d v="2025-04-25T00:00:00"/>
    <m/>
    <s v="Mani N"/>
    <s v="Refreshment Charges (Tea-834 Nos) for the moth of APR-2025"/>
    <n v="8340"/>
  </r>
  <r>
    <n v="35"/>
    <x v="0"/>
    <d v="2025-04-26T00:00:00"/>
    <m/>
    <s v="Naveen S"/>
    <s v="Paper Roll for Plotor Machine - 1 Nos Purchased"/>
    <n v="810"/>
  </r>
  <r>
    <n v="36"/>
    <x v="0"/>
    <d v="2025-04-28T00:00:00"/>
    <m/>
    <s v="Naveen S"/>
    <s v="Porter charges (11 KV Voltage Transformer 3 Nos received from Emmanuel Electrical)"/>
    <n v="1200"/>
  </r>
  <r>
    <n v="37"/>
    <x v="1"/>
    <d v="2025-05-02T00:00:00"/>
    <m/>
    <s v="Deepak K.V"/>
    <s v="Paid to Britle Service"/>
    <n v="4500"/>
  </r>
  <r>
    <n v="38"/>
    <x v="1"/>
    <d v="2025-05-02T00:00:00"/>
    <m/>
    <s v="Naveen S"/>
    <s v="Weekly Pooja Expenses (70 Sweets) 02-05-2025 Friday"/>
    <n v="700"/>
  </r>
  <r>
    <n v="39"/>
    <x v="1"/>
    <d v="2025-05-05T00:00:00"/>
    <m/>
    <s v="Mani N"/>
    <s v="Electrical Work charges (Transformer Meter Changing Labour  work) Day 1"/>
    <n v="7200"/>
  </r>
  <r>
    <n v="40"/>
    <x v="1"/>
    <d v="2025-05-06T00:00:00"/>
    <m/>
    <s v="Naveen S"/>
    <s v="Internet Charges for the month of May-2025"/>
    <n v="1650"/>
  </r>
  <r>
    <n v="41"/>
    <x v="1"/>
    <d v="2025-05-06T00:00:00"/>
    <m/>
    <s v="Mani N"/>
    <s v="Food charges (Night Working - 6 Workers ) Oval Machine repair work"/>
    <n v="500"/>
  </r>
  <r>
    <n v="42"/>
    <x v="1"/>
    <d v="2025-05-06T00:00:00"/>
    <m/>
    <s v="Naveen S"/>
    <s v="Weighment charges ( Slitted coil received from Meenakshi Steel )"/>
    <n v="100"/>
  </r>
  <r>
    <n v="43"/>
    <x v="1"/>
    <d v="2025-05-06T00:00:00"/>
    <m/>
    <s v="Naveen S"/>
    <s v="Electrical repair work charges ( Transformer )"/>
    <n v="2000"/>
  </r>
  <r>
    <n v="44"/>
    <x v="1"/>
    <d v="2025-05-07T00:00:00"/>
    <m/>
    <s v="Mani N"/>
    <s v="Electrical Work charges ( Transformer 11 KV Voltage changing Labour work Day-2 )"/>
    <n v="6800"/>
  </r>
  <r>
    <n v="45"/>
    <x v="1"/>
    <d v="2025-05-08T00:00:00"/>
    <m/>
    <s v="Deepak K.V"/>
    <s v="Petrole Expenses"/>
    <n v="4546"/>
  </r>
  <r>
    <n v="46"/>
    <x v="1"/>
    <d v="2025-05-08T00:00:00"/>
    <m/>
    <s v="Naveen S"/>
    <s v="Medical Expenses (Injury during working time Nandalal)"/>
    <n v="250"/>
  </r>
  <r>
    <n v="47"/>
    <x v="1"/>
    <d v="2025-05-09T00:00:00"/>
    <m/>
    <s v="Naveen S"/>
    <s v="Food charges ( Visitor from MSME Z Office )"/>
    <n v="200"/>
  </r>
  <r>
    <n v="48"/>
    <x v="1"/>
    <d v="2025-05-09T00:00:00"/>
    <m/>
    <s v="Naveen S"/>
    <s v="Weekly Pooja expenses (sweets - 70 Nos) 09-05-2025 Friday"/>
    <n v="700"/>
  </r>
  <r>
    <n v="49"/>
    <x v="1"/>
    <d v="2025-05-09T00:00:00"/>
    <m/>
    <s v="Naveen S"/>
    <s v="Stationary Material purchased ( Bill Attatched )"/>
    <n v="4352"/>
  </r>
  <r>
    <n v="50"/>
    <x v="1"/>
    <d v="2025-05-10T00:00:00"/>
    <m/>
    <s v="Naveen S"/>
    <s v="Monthly Flower payment (11-04-2025 to 10-05-2025)"/>
    <n v="550"/>
  </r>
  <r>
    <n v="51"/>
    <x v="1"/>
    <d v="2025-05-12T00:00:00"/>
    <m/>
    <s v="Naveen S"/>
    <s v="Conveyane (Visiting KNND Office and Canara Bank Bangalore)"/>
    <n v="500"/>
  </r>
  <r>
    <n v="52"/>
    <x v="1"/>
    <d v="2025-05-12T00:00:00"/>
    <m/>
    <s v="Naveen S"/>
    <s v="Loading and Unloading charges for the month of May - 2025"/>
    <n v="4000"/>
  </r>
  <r>
    <n v="53"/>
    <x v="1"/>
    <d v="2025-05-13T00:00:00"/>
    <m/>
    <s v="Naveen S"/>
    <s v="Hypertherm Cooling Fan for Plasma Cutting Machine -1 VPCM-01"/>
    <n v="8968"/>
  </r>
  <r>
    <n v="54"/>
    <x v="1"/>
    <d v="2025-05-14T00:00:00"/>
    <m/>
    <s v="Naveen S"/>
    <s v="Porter Charges (Hypertherm Cooling Fan received from KNND office)"/>
    <n v="570"/>
  </r>
  <r>
    <n v="55"/>
    <x v="1"/>
    <d v="2025-05-14T00:00:00"/>
    <m/>
    <s v="Naveen S"/>
    <s v="Porter charges ( Cleats sent to IISC Site )"/>
    <n v="850"/>
  </r>
  <r>
    <n v="56"/>
    <x v="1"/>
    <d v="2025-05-15T00:00:00"/>
    <m/>
    <s v="Naveen S"/>
    <s v="Food charges (Mr.Prasad &amp; Prakash from RS Form Tecknic visited Factory 14-05-25 &amp; 15-05-2025)"/>
    <n v="720"/>
  </r>
  <r>
    <n v="57"/>
    <x v="1"/>
    <d v="2025-05-15T00:00:00"/>
    <m/>
    <s v="Naveen S"/>
    <s v="Hypertherm Cooling Fan for Service Charges ( Amount paid Raghu )"/>
    <n v="2000"/>
  </r>
  <r>
    <n v="58"/>
    <x v="1"/>
    <d v="2025-05-16T00:00:00"/>
    <m/>
    <s v="Naveen S"/>
    <s v="Weekly Pooja Expenses ( 60 Sweets ) 16-05-2025 Friday"/>
    <n v="700"/>
  </r>
  <r>
    <n v="59"/>
    <x v="1"/>
    <d v="2025-05-16T00:00:00"/>
    <m/>
    <s v="Naveen S"/>
    <s v="First Aid Kit &amp; Medicines Purchased "/>
    <n v="1310"/>
  </r>
  <r>
    <n v="60"/>
    <x v="1"/>
    <d v="2025-05-16T00:00:00"/>
    <m/>
    <s v="Naveen S"/>
    <s v="Weighment charges (Coil received from Mandot Steel )"/>
    <n v="450"/>
  </r>
  <r>
    <n v="61"/>
    <x v="1"/>
    <d v="2025-05-16T00:00:00"/>
    <m/>
    <s v="Naveen S"/>
    <s v="Porter Charges ( Stabilizer Sent to AV Technologies Peenya Bangalore )"/>
    <n v="1629"/>
  </r>
  <r>
    <n v="62"/>
    <x v="1"/>
    <d v="2025-05-21T00:00:00"/>
    <m/>
    <s v="Naveen S"/>
    <s v="Refreshment Charges (IISC Team Visited Factory Tea and Buiscut )"/>
    <n v="150"/>
  </r>
  <r>
    <n v="63"/>
    <x v="1"/>
    <d v="2025-05-21T00:00:00"/>
    <m/>
    <s v="Deepak K.V"/>
    <s v="Pnuematic Connectors For Oval Die"/>
    <n v="1623"/>
  </r>
  <r>
    <n v="64"/>
    <x v="1"/>
    <d v="2025-05-22T00:00:00"/>
    <m/>
    <s v="Naveen S"/>
    <s v="Porter Charges ( Stabilizer received from AV Technologies )"/>
    <n v="1820"/>
  </r>
  <r>
    <n v="65"/>
    <x v="1"/>
    <d v="2025-05-22T00:00:00"/>
    <m/>
    <s v="Naveen S"/>
    <s v="Porter Charges ( GI Mesh &amp; MS Chain received from Izzy Agencies )"/>
    <n v="1380"/>
  </r>
  <r>
    <n v="66"/>
    <x v="1"/>
    <d v="2025-05-23T00:00:00"/>
    <m/>
    <s v="Naveen S"/>
    <s v="Weekly pooja expences (70 Sweets) 23-05-2025 Friday "/>
    <n v="700"/>
  </r>
  <r>
    <n v="67"/>
    <x v="1"/>
    <d v="2025-05-24T00:00:00"/>
    <m/>
    <s v="Naveen S"/>
    <s v="Weighment charges (Coil received from Mandot Steel )"/>
    <n v="180"/>
  </r>
  <r>
    <n v="68"/>
    <x v="1"/>
    <d v="2025-05-30T00:00:00"/>
    <m/>
    <s v="Naveen S"/>
    <s v="Weekly Pooja Expenses (70 Sweets) 30-05-2025 Friday"/>
    <n v="700"/>
  </r>
  <r>
    <n v="69"/>
    <x v="1"/>
    <d v="2025-05-30T00:00:00"/>
    <m/>
    <s v="Naveen S"/>
    <s v="Refreshment Expenses (Water Battle and Snacks for IISC Team)"/>
    <n v="200"/>
  </r>
  <r>
    <n v="70"/>
    <x v="1"/>
    <d v="2025-05-31T00:00:00"/>
    <m/>
    <s v="Naveen S"/>
    <s v="Bearing 51212 Purchased (coil Lifting Crane)"/>
    <n v="590"/>
  </r>
  <r>
    <n v="71"/>
    <x v="2"/>
    <d v="2025-06-02T00:00:00"/>
    <m/>
    <s v="Naveen S"/>
    <s v="Travel Conveyance (Visited KNND Office &amp; Canara Bank Bangalore)"/>
    <n v="500"/>
  </r>
  <r>
    <n v="72"/>
    <x v="2"/>
    <d v="2025-06-01T00:00:00"/>
    <m/>
    <s v="Deepak K.V"/>
    <s v="Petrole Expenses"/>
    <n v="4345"/>
  </r>
  <r>
    <n v="73"/>
    <x v="2"/>
    <d v="2025-06-05T00:00:00"/>
    <m/>
    <s v="Naveen S"/>
    <s v="House keeping Material Purchased"/>
    <n v="3820"/>
  </r>
  <r>
    <n v="74"/>
    <x v="2"/>
    <d v="2025-06-06T00:00:00"/>
    <m/>
    <s v="Naveen S"/>
    <s v="Refreshment Charges (Tea-460 Nos 02-05-2025 to 15-05-2025)"/>
    <n v="4600"/>
  </r>
  <r>
    <n v="75"/>
    <x v="2"/>
    <d v="2025-06-06T00:00:00"/>
    <m/>
    <s v="Naveen S"/>
    <s v="Refreshment Charges ( Tea 635 Nos - 16-05-2025 to 31-05-2025)"/>
    <n v="6350"/>
  </r>
  <r>
    <n v="76"/>
    <x v="2"/>
    <d v="2025-06-06T00:00:00"/>
    <m/>
    <s v="Naveen S"/>
    <s v="Weekly Pooja Expenses (Sweets - 70 Nos) 06-06-2025 Friday "/>
    <n v="700"/>
  </r>
  <r>
    <n v="77"/>
    <x v="2"/>
    <d v="2025-06-06T00:00:00"/>
    <m/>
    <s v="Manjunath GM"/>
    <s v="Visit to Camduct factory on 8-05-2025 &amp; 06-06-2025"/>
    <n v="1020"/>
  </r>
  <r>
    <n v="78"/>
    <x v="2"/>
    <d v="2025-06-07T00:00:00"/>
    <m/>
    <s v="Deepak K.V"/>
    <s v="Room Charges In Mumbai . Deepak, Mani and Prasad"/>
    <n v="7500"/>
  </r>
  <r>
    <n v="79"/>
    <x v="2"/>
    <d v="2025-06-07T00:00:00"/>
    <m/>
    <s v="Deepak K.V"/>
    <s v="Travel expenses Home to Airport to Home."/>
    <n v="2400"/>
  </r>
  <r>
    <n v="80"/>
    <x v="2"/>
    <d v="2025-06-07T00:00:00"/>
    <m/>
    <s v="Deepak K.V"/>
    <s v="Food Expenses In Mumbai "/>
    <n v="4420"/>
  </r>
  <r>
    <n v="81"/>
    <x v="2"/>
    <d v="2025-06-07T00:00:00"/>
    <m/>
    <s v="Deepak K.V"/>
    <s v="Mumbai To Airport To Kalyan travelling Charges "/>
    <n v="1358"/>
  </r>
  <r>
    <n v="82"/>
    <x v="2"/>
    <d v="2025-06-07T00:00:00"/>
    <m/>
    <s v="Deepak K.V"/>
    <s v="Mumbai - Ant charges In Mubai"/>
    <n v="150"/>
  </r>
  <r>
    <n v="83"/>
    <x v="2"/>
    <d v="2025-06-07T00:00:00"/>
    <m/>
    <s v="Deepak K.V"/>
    <s v="Food expenses along with Umesh"/>
    <n v="3472"/>
  </r>
  <r>
    <n v="84"/>
    <x v="2"/>
    <d v="2025-06-07T00:00:00"/>
    <m/>
    <s v="Deepak K.V"/>
    <s v="Petrole Expenses"/>
    <n v="7590"/>
  </r>
  <r>
    <n v="85"/>
    <x v="2"/>
    <d v="2025-06-10T00:00:00"/>
    <m/>
    <s v="Naveen S"/>
    <s v="Loading and Unloading charges for the month of June-2025"/>
    <n v="4000"/>
  </r>
  <r>
    <n v="86"/>
    <x v="2"/>
    <d v="2025-06-10T00:00:00"/>
    <m/>
    <s v="Naveen S"/>
    <s v="Internet charges for the month of June - 2025"/>
    <n v="1650"/>
  </r>
  <r>
    <n v="87"/>
    <x v="2"/>
    <d v="2025-06-10T00:00:00"/>
    <m/>
    <s v="Deepak K.V"/>
    <s v="Staff Food expenses"/>
    <n v="7868"/>
  </r>
  <r>
    <n v="88"/>
    <x v="2"/>
    <d v="2025-06-11T00:00:00"/>
    <m/>
    <s v="Mani N"/>
    <s v="Travel and Food charges Expenses (Camduct Team 5 Workers visited Maddur Factory)"/>
    <n v="1490"/>
  </r>
  <r>
    <n v="89"/>
    <x v="2"/>
    <d v="2025-06-12T00:00:00"/>
    <m/>
    <s v="Naveen S"/>
    <s v="Weighment Charges ( Coil received form JR &amp; Co )"/>
    <n v="180"/>
  </r>
  <r>
    <n v="90"/>
    <x v="2"/>
    <d v="2025-06-12T00:00:00"/>
    <m/>
    <s v="Naveen S"/>
    <s v="Monthly Flower Payment (11-05-2025 To 10-06-2025)"/>
    <n v="550"/>
  </r>
  <r>
    <n v="91"/>
    <x v="2"/>
    <d v="2025-06-13T00:00:00"/>
    <m/>
    <s v="Naveen S"/>
    <s v="Weekly Pooja expenses ( Sweets - 75 Nos ) 13-06-2025 Friday"/>
    <n v="700"/>
  </r>
  <r>
    <n v="92"/>
    <x v="2"/>
    <d v="2025-06-15T00:00:00"/>
    <m/>
    <s v="Naveen S"/>
    <s v="Internet New connection Wifi Modem &amp; Package Charges"/>
    <n v="6150"/>
  </r>
  <r>
    <n v="93"/>
    <x v="2"/>
    <d v="2025-06-18T00:00:00"/>
    <m/>
    <s v="Naveen S"/>
    <s v="Weighment charges ( Coil and L Angles received from JR &amp; Co and Silicon Steel)"/>
    <n v="200"/>
  </r>
  <r>
    <n v="94"/>
    <x v="2"/>
    <d v="2025-06-18T00:00:00"/>
    <m/>
    <s v="Naveen S"/>
    <s v="Refreshment Charges  ( BAS Security Agency team Visited Tea, Water bottle and Biscuit)"/>
    <n v="200"/>
  </r>
  <r>
    <n v="95"/>
    <x v="2"/>
    <d v="2025-06-19T00:00:00"/>
    <m/>
    <s v="Naveen S"/>
    <s v="Transportation charges ( Urja Sealant received from Pune )"/>
    <n v="1645"/>
  </r>
  <r>
    <n v="96"/>
    <x v="2"/>
    <d v="2025-06-19T00:00:00"/>
    <m/>
    <s v="Naveen S"/>
    <s v="Refreshment charges ( IISC team visited Factory Tea, Water bottle and Biscuit )"/>
    <n v="200"/>
  </r>
  <r>
    <n v="97"/>
    <x v="2"/>
    <d v="2025-06-20T00:00:00"/>
    <m/>
    <s v="Naveen S"/>
    <s v="Weekly Pooja Expenses (Sweets - 70 Nos) 20-06-2025 Friday"/>
    <n v="700"/>
  </r>
  <r>
    <n v="98"/>
    <x v="2"/>
    <d v="2025-06-20T00:00:00"/>
    <m/>
    <s v="Naveen S"/>
    <s v="Food Expenses ( Mani &amp; Anjinappa visited Maddure Factory )"/>
    <n v="230"/>
  </r>
  <r>
    <n v="99"/>
    <x v="2"/>
    <d v="2025-06-20T00:00:00"/>
    <m/>
    <s v="Naveen S"/>
    <s v="WD Spray and Thinner purchased (Maddur Factory ) "/>
    <n v="350"/>
  </r>
  <r>
    <n v="100"/>
    <x v="2"/>
    <d v="2025-06-20T00:00:00"/>
    <m/>
    <s v="Naveen S"/>
    <s v="Display port HDMI Cable - 2 Nos purchased"/>
    <n v="1043"/>
  </r>
  <r>
    <n v="101"/>
    <x v="2"/>
    <d v="2025-06-21T00:00:00"/>
    <m/>
    <s v="Naveen S"/>
    <s v="Electrical repair work charges ( Fuse  Setting - 2 tims )"/>
    <n v="400"/>
  </r>
  <r>
    <n v="102"/>
    <x v="2"/>
    <d v="2025-06-24T00:00:00"/>
    <m/>
    <s v="Naveen S"/>
    <s v="Visited KNND Office Bangalore &amp; Canara Bank cunnighan Road, Bangalore"/>
    <n v="500"/>
  </r>
  <r>
    <n v="103"/>
    <x v="2"/>
    <d v="2025-06-25T00:00:00"/>
    <m/>
    <s v="Naveen S"/>
    <s v="Weighment Charges ( Coil received form JR &amp; Co )"/>
    <n v="200"/>
  </r>
  <r>
    <n v="104"/>
    <x v="2"/>
    <d v="2025-06-26T00:00:00"/>
    <m/>
    <s v="Naveen S"/>
    <s v="House Keeping Material Purchased "/>
    <n v="4500"/>
  </r>
  <r>
    <n v="105"/>
    <x v="2"/>
    <d v="2025-06-26T00:00:00"/>
    <m/>
    <s v="Naveen S"/>
    <s v="Refreshment Charges (Tea, Biscuit and Water bottle-KNND IISC team 19-06-2025 &amp;27-06-2025 L&amp;T Team) "/>
    <n v="380"/>
  </r>
  <r>
    <n v="106"/>
    <x v="2"/>
    <d v="2025-06-27T00:00:00"/>
    <m/>
    <s v="Naveen S"/>
    <s v="Weekly Pooja expenses (Sweets-70 Nos) 27-06-2025 Friday"/>
    <n v="700"/>
  </r>
  <r>
    <n v="107"/>
    <x v="2"/>
    <d v="2025-06-27T00:00:00"/>
    <m/>
    <s v="Naveen S"/>
    <s v="Transportation Charges ( Gear Motor received from TNPL )"/>
    <n v="320"/>
  </r>
  <r>
    <n v="108"/>
    <x v="2"/>
    <d v="2025-06-28T00:00:00"/>
    <m/>
    <s v="Deepak K.V"/>
    <s v="Travel and Food Expenses ( Mr.Prasad visited Mumbai 29-05-2025) Duct m/c Inspection Visit (Crown Star)"/>
    <n v="2854"/>
  </r>
  <r>
    <n v="109"/>
    <x v="2"/>
    <d v="2025-06-29T00:00:00"/>
    <m/>
    <s v="Naveen S"/>
    <s v="Food Expenses ( Sunday Working 29-06-2025) 6 Workers"/>
    <n v="650"/>
  </r>
  <r>
    <n v="110"/>
    <x v="2"/>
    <d v="2025-06-30T00:00:00"/>
    <m/>
    <s v="Deepak K.V"/>
    <s v="Travel &amp; Food Fare (Mr.Prasad visit Mumbai 30-05-2025) Duct M/C Inspection visit (Crown Star)"/>
    <n v="7494"/>
  </r>
  <r>
    <n v="111"/>
    <x v="2"/>
    <d v="2025-06-30T00:00:00"/>
    <m/>
    <s v="Naveen S"/>
    <s v="Computer maintance ( Mouse Pad - 4 Nos purchased )"/>
    <n v="903"/>
  </r>
  <r>
    <n v="112"/>
    <x v="2"/>
    <d v="2025-06-30T00:00:00"/>
    <m/>
    <s v="Naveen S"/>
    <s v="Stationary Material purchased  "/>
    <n v="550"/>
  </r>
  <r>
    <n v="113"/>
    <x v="2"/>
    <d v="2025-06-30T00:00:00"/>
    <m/>
    <s v="Deepak K.V"/>
    <s v="Car Repair work (Cable Assy - Clutch &amp; Pin Changed)"/>
    <n v="1309"/>
  </r>
  <r>
    <n v="114"/>
    <x v="2"/>
    <d v="2025-06-30T00:00:00"/>
    <m/>
    <s v="Deepak K.V"/>
    <s v="Stationary updating Charges (Paid to Abhinav)"/>
    <n v="5900"/>
  </r>
  <r>
    <n v="115"/>
    <x v="2"/>
    <d v="2025-06-30T00:00:00"/>
    <m/>
    <s v="Deepak K.V"/>
    <s v="Petrole Expenses (13-06-2025 and  23-06-2025"/>
    <n v="7397"/>
  </r>
  <r>
    <n v="116"/>
    <x v="2"/>
    <d v="2025-06-30T00:00:00"/>
    <m/>
    <s v="Deepak K.V"/>
    <s v="Food expenses at Maddur, Selec Team, Umesh and Automation Team"/>
    <n v="7091"/>
  </r>
  <r>
    <n v="117"/>
    <x v="2"/>
    <d v="2025-06-30T00:00:00"/>
    <m/>
    <s v="Deepak K.V"/>
    <s v="Pnuematic Connectors For Oval Die"/>
    <n v="295"/>
  </r>
  <r>
    <n v="118"/>
    <x v="2"/>
    <d v="2025-06-30T00:00:00"/>
    <m/>
    <s v="Deepak K.V"/>
    <s v="Porter Charges "/>
    <n v="1251"/>
  </r>
  <r>
    <n v="119"/>
    <x v="2"/>
    <d v="2025-06-30T00:00:00"/>
    <m/>
    <s v="Naveen S"/>
    <s v="MKAIA Annual Subscripiton 2025-26"/>
    <n v="1500"/>
  </r>
  <r>
    <n v="120"/>
    <x v="3"/>
    <d v="2025-07-02T00:00:00"/>
    <m/>
    <s v="Naveen S"/>
    <s v="Waste Cycle Tube purchased (Maddur Factory)"/>
    <n v="500"/>
  </r>
  <r>
    <n v="121"/>
    <x v="3"/>
    <d v="2025-07-03T00:00:00"/>
    <m/>
    <s v="Naveen S"/>
    <s v="Food Expenses (Mani &amp; Anjinappa visited Maddur Factory)"/>
    <n v="200"/>
  </r>
  <r>
    <n v="122"/>
    <x v="3"/>
    <d v="2025-07-04T00:00:00"/>
    <m/>
    <s v="Naveen S"/>
    <s v="Weekly Pooja expenses (70 Sweets) 04-07-2025 Friday"/>
    <n v="700"/>
  </r>
  <r>
    <n v="123"/>
    <x v="3"/>
    <d v="2025-07-04T00:00:00"/>
    <m/>
    <s v="Naveen S"/>
    <s v="Transportation Charges ( UPS received from PowerCare Technology)"/>
    <n v="740"/>
  </r>
  <r>
    <n v="124"/>
    <x v="3"/>
    <d v="2025-07-08T00:00:00"/>
    <m/>
    <s v="Naveen S"/>
    <s v="Cement 1 Bag Purchased"/>
    <n v="400"/>
  </r>
  <r>
    <n v="125"/>
    <x v="3"/>
    <d v="2025-07-09T00:00:00"/>
    <m/>
    <s v="Naveen S"/>
    <s v="Refreshment Charges (IISC Team Visited Factory - 5 Members)"/>
    <n v="250"/>
  </r>
  <r>
    <n v="126"/>
    <x v="3"/>
    <d v="2025-07-10T00:00:00"/>
    <m/>
    <s v="Naveen S"/>
    <s v="Loading and Unloading charges for the month of June-2025"/>
    <n v="4000"/>
  </r>
  <r>
    <n v="127"/>
    <x v="3"/>
    <d v="2025-07-10T00:00:00"/>
    <m/>
    <s v="Mani N"/>
    <s v="Travel and Food Expenses (Factory Team visited maddur Factory 07-07-2025 to 09-07-2025)"/>
    <n v="4720"/>
  </r>
  <r>
    <n v="128"/>
    <x v="3"/>
    <d v="2025-07-11T00:00:00"/>
    <m/>
    <s v="Naveen S"/>
    <s v="Monthly Flower Payment (11-06-2025 to 10-07-2025)"/>
    <n v="550"/>
  </r>
  <r>
    <n v="129"/>
    <x v="3"/>
    <d v="2025-07-11T00:00:00"/>
    <m/>
    <s v="Naveen S"/>
    <s v="Weekly Pooja Expenses (Sweets - 70 Nos) 11-07-2025 Friday"/>
    <n v="700"/>
  </r>
  <r>
    <n v="130"/>
    <x v="3"/>
    <d v="2025-07-11T00:00:00"/>
    <m/>
    <s v="Naveen S"/>
    <s v="Stationary item Purchased ( A4 70GSM - 1 Bundle)"/>
    <n v="2020"/>
  </r>
  <r>
    <n v="131"/>
    <x v="3"/>
    <d v="2025-07-12T00:00:00"/>
    <m/>
    <s v="Deepak K.V"/>
    <s v="For Security Mobile Screen Guard and Cover"/>
    <n v="450"/>
  </r>
  <r>
    <n v="132"/>
    <x v="3"/>
    <d v="2025-07-12T00:00:00"/>
    <m/>
    <s v="Deepak K.V"/>
    <s v="Petrole Expenses"/>
    <n v="3225"/>
  </r>
  <r>
    <n v="133"/>
    <x v="3"/>
    <d v="2025-07-13T00:00:00"/>
    <m/>
    <s v="Deepak K.V"/>
    <s v="Software Upgrade Caheges ( Paid to Abhinav)"/>
    <n v="4100"/>
  </r>
  <r>
    <n v="134"/>
    <x v="3"/>
    <d v="2025-07-14T00:00:00"/>
    <m/>
    <s v="Naveen S"/>
    <s v="Visited KNND Office Bangalore &amp; Canara Bank cunnighan Road, Bangalore"/>
    <n v="500"/>
  </r>
  <r>
    <n v="135"/>
    <x v="3"/>
    <d v="2025-07-15T00:00:00"/>
    <m/>
    <s v="Naveen S"/>
    <s v="Internet charges for the month of July - 2025 (2 Connecton)"/>
    <n v="3300"/>
  </r>
  <r>
    <n v="136"/>
    <x v="3"/>
    <d v="2025-07-16T00:00:00"/>
    <m/>
    <s v="Naveen S"/>
    <s v="Weighment charges ( Coil received from Mandot steel )"/>
    <n v="460"/>
  </r>
  <r>
    <n v="137"/>
    <x v="3"/>
    <d v="2025-07-16T00:00:00"/>
    <m/>
    <s v="Nanjundappa "/>
    <s v="Electrical item Purchased (Relay purchaes)"/>
    <n v="236"/>
  </r>
  <r>
    <n v="138"/>
    <x v="3"/>
    <d v="2025-07-16T00:00:00"/>
    <m/>
    <s v="Naveen S"/>
    <s v="Medical Expenses "/>
    <n v="410"/>
  </r>
  <r>
    <n v="139"/>
    <x v="3"/>
    <d v="2025-07-17T00:00:00"/>
    <m/>
    <s v="Mani N"/>
    <s v="Blue Paint purchased"/>
    <n v="1170"/>
  </r>
  <r>
    <n v="140"/>
    <x v="3"/>
    <d v="2025-07-17T00:00:00"/>
    <m/>
    <s v="Naveen S"/>
    <s v="Porter charges ( Jermex Spares received from Raman Engineering )"/>
    <n v="752"/>
  </r>
  <r>
    <n v="141"/>
    <x v="3"/>
    <d v="2025-07-18T00:00:00"/>
    <m/>
    <s v="Srinivas T.R"/>
    <s v="Marriage Gift (Employee)"/>
    <n v="5000"/>
  </r>
  <r>
    <n v="142"/>
    <x v="3"/>
    <d v="2025-07-18T00:00:00"/>
    <m/>
    <s v="Naveen S"/>
    <s v="Weekly Pooja expenses (Sweets 70 Nos) 18-07-2025 Friday"/>
    <n v="700"/>
  </r>
  <r>
    <n v="143"/>
    <x v="3"/>
    <d v="2025-07-21T00:00:00"/>
    <m/>
    <s v="Naveen S"/>
    <s v="Electrical Work charges ( Fuse correction )"/>
    <n v="200"/>
  </r>
  <r>
    <n v="144"/>
    <x v="3"/>
    <d v="2025-07-21T00:00:00"/>
    <m/>
    <s v="Naveen S"/>
    <s v="Sharpex 5.2 ft Long arm Reach piller Stick - 1 Nos"/>
    <n v="3109"/>
  </r>
  <r>
    <n v="145"/>
    <x v="3"/>
    <d v="2025-07-22T00:00:00"/>
    <m/>
    <s v="Naveen S"/>
    <s v="Garden Medicine purchase (Bill attached)"/>
    <n v="1360"/>
  </r>
  <r>
    <n v="146"/>
    <x v="3"/>
    <d v="2025-07-22T00:00:00"/>
    <m/>
    <s v="Mani N"/>
    <s v="Travel and Food expenses (visited Hyderabad) 19-07-2025"/>
    <n v="3492"/>
  </r>
  <r>
    <n v="147"/>
    <x v="3"/>
    <d v="2025-07-23T00:00:00"/>
    <m/>
    <s v="Naveen S"/>
    <s v="Container Unloading Charges (Crane)"/>
    <n v="4300"/>
  </r>
  <r>
    <n v="148"/>
    <x v="3"/>
    <d v="2025-07-24T00:00:00"/>
    <m/>
    <s v="Naveen S"/>
    <s v="Diesel Can 4 Nos purchased"/>
    <n v="1120"/>
  </r>
  <r>
    <n v="149"/>
    <x v="3"/>
    <d v="2025-07-25T00:00:00"/>
    <m/>
    <s v="Naveen S"/>
    <s v="Weekly Pooja expenses ( 70 Sweets ) 25-07-2025 Friday"/>
    <n v="700"/>
  </r>
  <r>
    <n v="150"/>
    <x v="3"/>
    <d v="2025-07-25T00:00:00"/>
    <m/>
    <s v="Naveen S"/>
    <s v="Hole Punching Machine oil pipe Crimped"/>
    <n v="450"/>
  </r>
  <r>
    <n v="151"/>
    <x v="3"/>
    <d v="2025-07-25T00:00:00"/>
    <m/>
    <s v="Naveen S"/>
    <s v="Locker sticker (SL - 01 to 81-72) purchased "/>
    <n v="1300"/>
  </r>
  <r>
    <n v="152"/>
    <x v="3"/>
    <d v="2025-07-25T00:00:00"/>
    <m/>
    <s v="Naveen S"/>
    <s v="Diesel 38 Ltr Purchased (Maddur Factory)"/>
    <n v="3500"/>
  </r>
  <r>
    <n v="153"/>
    <x v="3"/>
    <d v="2025-07-26T00:00:00"/>
    <m/>
    <s v="Naveen S"/>
    <s v="Stihl Engine Oil 1 Nos Purchased for Garding Machine"/>
    <n v="749"/>
  </r>
  <r>
    <n v="154"/>
    <x v="3"/>
    <d v="2025-07-26T00:00:00"/>
    <m/>
    <s v="Naveen S"/>
    <s v="Travel Fare (Factory team visited Maddur Factory - Workers)"/>
    <n v="1545"/>
  </r>
  <r>
    <n v="155"/>
    <x v="3"/>
    <d v="2025-07-28T00:00:00"/>
    <m/>
    <s v="Naveen S"/>
    <s v="Weighment charges (Coil received from J.R &amp; Co,, And Mandot Steel)"/>
    <n v="610"/>
  </r>
  <r>
    <n v="156"/>
    <x v="3"/>
    <d v="2025-07-28T00:00:00"/>
    <m/>
    <s v="Naveen S"/>
    <s v="Travel Fare ( Mr. Naveen visited KNND Office Bangalore )"/>
    <n v="300"/>
  </r>
  <r>
    <n v="157"/>
    <x v="3"/>
    <d v="2025-07-29T00:00:00"/>
    <m/>
    <s v="Naveen S"/>
    <s v="Porter charges ( Neoprene Gasket received from Nerotech Solution Pvt Ltd)"/>
    <n v="1844"/>
  </r>
  <r>
    <n v="158"/>
    <x v="3"/>
    <d v="2025-07-29T00:00:00"/>
    <m/>
    <s v="Naveen S"/>
    <s v="House keeping material purchased"/>
    <n v="4200"/>
  </r>
  <r>
    <n v="159"/>
    <x v="3"/>
    <d v="2025-07-29T00:00:00"/>
    <m/>
    <s v="Naveen S"/>
    <s v="Porter charges (Cleat Die tool received from Solid Machine Works)"/>
    <n v="980"/>
  </r>
  <r>
    <n v="160"/>
    <x v="3"/>
    <d v="2025-07-29T00:00:00"/>
    <m/>
    <s v="Naveen S"/>
    <s v="Paper Roll for Plottor machine (24 Inches x 50m)"/>
    <n v="790"/>
  </r>
  <r>
    <n v="161"/>
    <x v="3"/>
    <d v="2025-07-30T00:00:00"/>
    <m/>
    <s v="Naveen S"/>
    <s v="Food charges (Factory team Working 5 Days maddur factory 23-07-2025 to 27-07-2025"/>
    <n v="6870"/>
  </r>
  <r>
    <n v="162"/>
    <x v="3"/>
    <d v="2025-07-30T00:00:00"/>
    <m/>
    <s v="Naveen S"/>
    <s v="First Aid Kit &amp; Medicines Purchased "/>
    <n v="1820"/>
  </r>
  <r>
    <n v="163"/>
    <x v="3"/>
    <d v="2025-07-30T00:00:00"/>
    <m/>
    <s v="Naveen S"/>
    <s v="Porter charges (Material received from SR Enterprises Peenya Bangalore)"/>
    <n v="1508"/>
  </r>
  <r>
    <n v="164"/>
    <x v="3"/>
    <d v="2025-07-31T00:00:00"/>
    <m/>
    <s v="Naveen S"/>
    <s v="Weighment charges ( Coil received from J R &amp; Co..)"/>
    <n v="300"/>
  </r>
  <r>
    <n v="165"/>
    <x v="3"/>
    <d v="2025-07-31T00:00:00"/>
    <m/>
    <s v="Deepak K.V"/>
    <s v="Car Service Rear Door Glass - Pending during Service"/>
    <n v="1508"/>
  </r>
  <r>
    <n v="166"/>
    <x v="4"/>
    <d v="2025-08-01T00:00:00"/>
    <m/>
    <s v="Naveen S"/>
    <s v="Weekly Pooja expenses ( 70 Sweets )"/>
    <n v="700"/>
  </r>
  <r>
    <n v="167"/>
    <x v="4"/>
    <d v="2025-08-02T00:00:00"/>
    <m/>
    <s v="Naveen S"/>
    <s v="Transportation charges (8mm Hole Handle received from Jaspreet Steelmet)"/>
    <n v="2650"/>
  </r>
  <r>
    <n v="168"/>
    <x v="4"/>
    <d v="2025-08-04T00:00:00"/>
    <m/>
    <s v="Naveen S"/>
    <s v="Travel Fare (Mr. Naveen visited KNND Office Bangalore and Canara Bank Cunnigham Road Bangalore)"/>
    <n v="500"/>
  </r>
  <r>
    <n v="169"/>
    <x v="4"/>
    <d v="2025-08-06T00:00:00"/>
    <m/>
    <s v="Nanjundappa "/>
    <s v="Electrical Material Purchased (MSP4P240A-4 Nos) for Industrial Fan"/>
    <n v="944"/>
  </r>
  <r>
    <n v="170"/>
    <x v="4"/>
    <d v="2025-08-07T00:00:00"/>
    <m/>
    <s v="Naveen S"/>
    <s v="Nokia Mobile purchased for Office use "/>
    <n v="1400"/>
  </r>
  <r>
    <n v="171"/>
    <x v="4"/>
    <d v="2025-08-08T00:00:00"/>
    <m/>
    <s v="Naveen S"/>
    <s v="Weekly Pooja Expenses (70-Sweets) 08-08-2025 Friday"/>
    <n v="700"/>
  </r>
  <r>
    <n v="172"/>
    <x v="4"/>
    <d v="2025-08-08T00:00:00"/>
    <m/>
    <s v="Naveen S"/>
    <s v="Porter charges (Electrical Item received from KNND Office)"/>
    <n v="610"/>
  </r>
  <r>
    <n v="173"/>
    <x v="4"/>
    <d v="2025-08-08T00:00:00"/>
    <m/>
    <s v="Naveen S"/>
    <s v="Weighment charges (Coil received from J.R &amp; Co,, And Mandot Steel)"/>
    <n v="250"/>
  </r>
  <r>
    <n v="174"/>
    <x v="4"/>
    <d v="2025-08-09T00:00:00"/>
    <m/>
    <s v="Naveen S"/>
    <s v="Loading and Unloading charges for the month of August 2025"/>
    <n v="4000"/>
  </r>
  <r>
    <n v="175"/>
    <x v="4"/>
    <d v="2025-08-09T00:00:00"/>
    <m/>
    <s v="Deepak K.V"/>
    <s v="Up-Down charges-Home-Airport-Home During Delhi visit (22-07-2025 - 23-07-20205)"/>
    <n v="2400"/>
  </r>
  <r>
    <n v="176"/>
    <x v="4"/>
    <d v="2025-08-09T00:00:00"/>
    <m/>
    <s v="Deepak K.V"/>
    <s v="Guest House charges at Noida Delhi"/>
    <n v="2000"/>
  </r>
  <r>
    <n v="177"/>
    <x v="4"/>
    <d v="2025-08-09T00:00:00"/>
    <m/>
    <s v="Deepak K.V"/>
    <s v="Food expenses Delhi Umesh,Selec,Automation and Ravi Kulakarni Etc."/>
    <n v="3686"/>
  </r>
  <r>
    <n v="178"/>
    <x v="4"/>
    <d v="2025-08-09T00:00:00"/>
    <m/>
    <s v="Deepak K.V"/>
    <s v="Petrol and Toll Expenses for the month of Aug-Peenya"/>
    <n v="7718"/>
  </r>
  <r>
    <n v="179"/>
    <x v="4"/>
    <d v="2025-08-09T00:00:00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Deepak K.V"/>
    <s v="Porter charges ( 18-07-2025 - 19-07-2025 )"/>
    <n v="534"/>
  </r>
  <r>
    <n v="180"/>
    <x v="4"/>
    <d v="2025-08-10T00:00:00"/>
    <m/>
    <s v="Naveen S"/>
    <s v="Monthly Flower Payment (01-07-2025 to 10-08-2025)"/>
    <n v="550"/>
  </r>
  <r>
    <n v="181"/>
    <x v="4"/>
    <d v="2025-08-14T00:00:00"/>
    <m/>
    <s v="Naveen S"/>
    <s v="Maddur Machine Unloading charges "/>
    <n v="2700"/>
  </r>
  <r>
    <n v="182"/>
    <x v="4"/>
    <d v="2025-08-15T00:00:00"/>
    <m/>
    <s v="Naveen S"/>
    <s v="Pooja Expenses ( Independence Day )"/>
    <n v="500"/>
  </r>
  <r>
    <n v="183"/>
    <x v="4"/>
    <d v="2025-08-16T00:00:00"/>
    <m/>
    <s v="Naveen S"/>
    <s v="Weekly Pooja Expenses (Sweets-70Nos) 16-08-2025 Saturday"/>
    <n v="700"/>
  </r>
  <r>
    <n v="184"/>
    <x v="4"/>
    <d v="2025-08-16T00:00:00"/>
    <m/>
    <s v="Naveen S"/>
    <s v="Oval Machine Spares Loading and Unloading Charges "/>
    <n v="5300"/>
  </r>
  <r>
    <n v="185"/>
    <x v="4"/>
    <d v="2025-08-16T00:00:00"/>
    <m/>
    <s v="Naveen S"/>
    <s v="Donation (Amount Paid to Govt School Nosegere for Independence  Day Celebration)"/>
    <n v="5000"/>
  </r>
  <r>
    <n v="186"/>
    <x v="4"/>
    <d v="2025-08-17T00:00:00"/>
    <m/>
    <s v="Naveen S"/>
    <s v="Electricale Material Purchased "/>
    <n v="708"/>
  </r>
  <r>
    <n v="187"/>
    <x v="4"/>
    <d v="2025-08-18T00:00:00"/>
    <m/>
    <s v="Naveen S"/>
    <s v="Electrical Fuse Connection Labour charges (BESCOM)"/>
    <n v="200"/>
  </r>
  <r>
    <n v="188"/>
    <x v="4"/>
    <d v="2025-08-18T00:00:00"/>
    <m/>
    <s v="Naveen S"/>
    <s v="Internet Charges for the Month fo Aug 2025 (2- Connection) (1650+1650)"/>
    <n v="3300"/>
  </r>
  <r>
    <n v="189"/>
    <x v="4"/>
    <d v="2025-08-19T00:00:00"/>
    <m/>
    <s v="Mani N"/>
    <s v="Loading charges (Mani &amp; Team Stayed in Maddur)"/>
    <n v="1860"/>
  </r>
  <r>
    <n v="190"/>
    <x v="4"/>
    <d v="2025-08-20T00:00:00"/>
    <m/>
    <s v="Mani N"/>
    <s v="Food Expenses (Maddur Factory)"/>
    <n v="2800"/>
  </r>
  <r>
    <n v="191"/>
    <x v="4"/>
    <d v="2025-08-22T00:00:00"/>
    <m/>
    <s v="Naveen S"/>
    <s v="Weekly Pooja Expenses (Sweets-70 Nos) 22-08-2025 Friday"/>
    <n v="700"/>
  </r>
  <r>
    <n v="192"/>
    <x v="4"/>
    <d v="2025-08-22T00:00:00"/>
    <m/>
    <s v="Naveen S"/>
    <s v="Coil Unloading charges "/>
    <n v="1600"/>
  </r>
  <r>
    <n v="193"/>
    <x v="4"/>
    <d v="2025-08-22T00:00:00"/>
    <m/>
    <s v="Naveen S"/>
    <s v="Weighment charges (Coil received from Meenakshi &amp; Mandot Steel)"/>
    <n v="380"/>
  </r>
  <r>
    <n v="194"/>
    <x v="4"/>
    <d v="2025-08-23T00:00:00"/>
    <m/>
    <s v="Naveen S"/>
    <s v="Refreshment Charges (IISC Team Visited Factory 23-08-2025) Coffe, Biscuit and Water Bottle"/>
    <n v="200"/>
  </r>
  <r>
    <n v="195"/>
    <x v="4"/>
    <d v="2025-08-23T00:00:00"/>
    <m/>
    <s v="Naveen S"/>
    <s v="Stationary Material purchased ( Bill Attatched )"/>
    <n v="4300"/>
  </r>
  <r>
    <n v="196"/>
    <x v="4"/>
    <d v="2025-08-25T00:00:00"/>
    <m/>
    <s v="Naveen S"/>
    <s v="Weighment charges (Coil received from Mandot Steel )"/>
    <n v="180"/>
  </r>
  <r>
    <n v="197"/>
    <x v="4"/>
    <d v="2025-08-28T00:00:00"/>
    <m/>
    <s v="Manjunath GM"/>
    <s v="Camduct Visit on 26-08-2025"/>
    <n v="350"/>
  </r>
  <r>
    <n v="198"/>
    <x v="4"/>
    <d v="2025-08-28T00:00:00"/>
    <m/>
    <s v="Naveen S"/>
    <s v="Water Filter service and Leakage resolved charges "/>
    <n v="2000"/>
  </r>
  <r>
    <n v="199"/>
    <x v="4"/>
    <d v="2025-08-28T00:00:00"/>
    <m/>
    <s v="Naveen S"/>
    <s v="Paint EB.6.8296 Purchased "/>
    <n v="310"/>
  </r>
  <r>
    <n v="200"/>
    <x v="4"/>
    <d v="2025-08-29T00:00:00"/>
    <m/>
    <s v="Naveen S"/>
    <s v="Weekly Pooja Expenses (70 Sweets) 29-08-2025 Friday"/>
    <n v="700"/>
  </r>
  <r>
    <n v="201"/>
    <x v="4"/>
    <d v="2025-08-31T00:00:00"/>
    <m/>
    <s v="Basavaraj K.T Sir"/>
    <s v="Travel Expenses (Visited Delhi)"/>
    <n v="3996"/>
  </r>
  <r>
    <n v="202"/>
    <x v="4"/>
    <d v="2025-08-31T00:00:00"/>
    <m/>
    <s v="Naveen S"/>
    <s v="Weighment charges (Coil received from Mandot Steel )"/>
    <n v="380"/>
  </r>
  <r>
    <n v="203"/>
    <x v="5"/>
    <d v="2025-09-01T00:00:00"/>
    <m/>
    <s v="Naveen S"/>
    <s v="House Keeping Material Purchased"/>
    <n v="3706"/>
  </r>
  <r>
    <n v="204"/>
    <x v="5"/>
    <d v="2025-09-05T00:00:00"/>
    <m/>
    <s v="Naveen S"/>
    <s v="Weekly Pooja Expenses ( Sweets - 70 Nos) 05-09-2025 Friday"/>
    <n v="700"/>
  </r>
  <r>
    <n v="205"/>
    <x v="5"/>
    <d v="2025-09-09T00:00:00"/>
    <m/>
    <s v="Naveen S"/>
    <s v="Weighment Charges (Coil received from D.S DuctoFab &amp; Meenakshi Steel)"/>
    <n v="350"/>
  </r>
  <r>
    <n v="206"/>
    <x v="5"/>
    <d v="2025-09-09T00:00:00"/>
    <m/>
    <s v="Naveen S"/>
    <s v="Electricity Fuse Correction Charges"/>
    <n v="200"/>
  </r>
  <r>
    <n v="207"/>
    <x v="5"/>
    <d v="2025-09-09T00:00:00"/>
    <m/>
    <s v="Naveen S"/>
    <s v="Refreshment Charges (Tea+Biscuits + Bottle for IISC team visited Factory)"/>
    <n v="200"/>
  </r>
  <r>
    <n v="208"/>
    <x v="5"/>
    <d v="2025-09-10T00:00:00"/>
    <m/>
    <s v="Naveen S"/>
    <s v="Monthly Flower Payment 11/08/2025 to 10-09-2025"/>
    <n v="550"/>
  </r>
  <r>
    <n v="209"/>
    <x v="5"/>
    <d v="2025-09-10T00:00:00"/>
    <m/>
    <s v="Deepak K.V"/>
    <s v="Stationary Purchased for Security (Camduct India Pvt Ltd)"/>
    <n v="924"/>
  </r>
  <r>
    <n v="210"/>
    <x v="5"/>
    <d v="2025-09-10T00:00:00"/>
    <m/>
    <s v="Deepak K.V"/>
    <s v="Porter charges from  Metronix to Ador for Encoder"/>
    <n v="380"/>
  </r>
  <r>
    <n v="211"/>
    <x v="5"/>
    <d v="2025-09-10T00:00:00"/>
    <m/>
    <s v="Deepak K.V"/>
    <s v="Cab charges Pune Airport to Ador"/>
    <n v="500"/>
  </r>
  <r>
    <n v="212"/>
    <x v="5"/>
    <d v="2025-09-10T00:00:00"/>
    <m/>
    <s v="Deepak K.V"/>
    <s v="Encoder Wheel KNND to Sumukha Industries Peenya"/>
    <n v="295"/>
  </r>
  <r>
    <n v="213"/>
    <x v="5"/>
    <d v="2025-09-10T00:00:00"/>
    <m/>
    <s v="Deepak K.V"/>
    <s v="Food Expenses (Umesh, Selec &amp; Abhinav Pune Etc Aug &amp; Sep 2025)"/>
    <n v="3597"/>
  </r>
  <r>
    <n v="214"/>
    <x v="5"/>
    <d v="2025-09-10T00:00:00"/>
    <m/>
    <s v="Deepak K.V"/>
    <s v="Petrol charges Aug-2025"/>
    <n v="7520"/>
  </r>
  <r>
    <n v="215"/>
    <x v="5"/>
    <d v="2025-09-10T00:00:00"/>
    <m/>
    <s v="Deepak K.V"/>
    <s v="Paid to Chandan KNND for Sales"/>
    <n v="1700"/>
  </r>
  <r>
    <n v="216"/>
    <x v="5"/>
    <d v="2025-09-11T00:00:00"/>
    <m/>
    <s v="Naveen S"/>
    <s v="Loading &amp; Unloading charges for the Month of Sep 2025"/>
    <n v="4000"/>
  </r>
  <r>
    <n v="217"/>
    <x v="5"/>
    <d v="2025-09-12T00:00:00"/>
    <m/>
    <s v="Naveen S"/>
    <s v="Transportation charges (TUPL Worm Geared Motar received from TNPL Bangalore)"/>
    <n v="210"/>
  </r>
  <r>
    <n v="218"/>
    <x v="5"/>
    <d v="2025-09-12T00:00:00"/>
    <m/>
    <s v="Naveen S"/>
    <s v="Internet charges for the Month of Sep-2025 (2 Connection)"/>
    <n v="3300"/>
  </r>
  <r>
    <n v="219"/>
    <x v="5"/>
    <d v="2025-09-12T00:00:00"/>
    <m/>
    <s v="Naveen S"/>
    <s v="Weekly Pooja expenses (Sweets - 70 Nos) 12/09/2025 Friday"/>
    <n v="700"/>
  </r>
  <r>
    <n v="220"/>
    <x v="5"/>
    <d v="2025-09-12T00:00:00"/>
    <m/>
    <s v="Naveen S"/>
    <s v="Weighment Charges (Coil received from Meenakshi Steel)"/>
    <n v="200"/>
  </r>
  <r>
    <n v="221"/>
    <x v="5"/>
    <d v="2025-09-12T00:00:00"/>
    <m/>
    <s v="Naveen S"/>
    <s v="Transportation charges (Stabilizer received from AV Technologies)"/>
    <n v="2000"/>
  </r>
  <r>
    <n v="222"/>
    <x v="5"/>
    <d v="2025-09-13T00:00:00"/>
    <m/>
    <s v="Naveen S"/>
    <s v="Porter charges (Electrical Material UPS &amp; Batteries received from KNND Office)"/>
    <n v="1380"/>
  </r>
  <r>
    <n v="223"/>
    <x v="5"/>
    <d v="2025-09-13T00:00:00"/>
    <m/>
    <s v="Naveen S"/>
    <s v="Porter charges (SWIVEL Caster Whales received from Elegant Traders)"/>
    <n v="1623"/>
  </r>
  <r>
    <n v="224"/>
    <x v="5"/>
    <d v="2025-09-16T00:00:00"/>
    <m/>
    <s v="Deepak K.V"/>
    <s v="Petrol Expenses for the month of Sep 2025"/>
    <n v="7005"/>
  </r>
  <r>
    <n v="225"/>
    <x v="5"/>
    <d v="2025-09-18T00:00:00"/>
    <m/>
    <s v="Naveen S"/>
    <s v="Food &amp; Refreshment expenses (Auditors visited Camduct Factory)"/>
    <n v="962"/>
  </r>
  <r>
    <n v="226"/>
    <x v="5"/>
    <d v="2025-09-19T00:00:00"/>
    <m/>
    <s v="Naveen S"/>
    <s v="Weekly Pooja expenses (65 Sweets) 19-09-2025 Friday"/>
    <n v="700"/>
  </r>
  <r>
    <n v="227"/>
    <x v="5"/>
    <d v="2025-09-23T00:00:00"/>
    <m/>
    <s v="Manjunath GM"/>
    <s v="Camduct visit on 23-09-2025"/>
    <n v="350"/>
  </r>
  <r>
    <n v="228"/>
    <x v="5"/>
    <d v="2025-09-26T00:00:00"/>
    <m/>
    <s v="Naveen S"/>
    <s v="Weekly Pooja expenses (70 Sweets) 26-07-2025 Friday"/>
    <n v="700"/>
  </r>
  <r>
    <n v="229"/>
    <x v="5"/>
    <d v="2025-09-27T00:00:00"/>
    <m/>
    <s v="Chandan G"/>
    <s v="Office Visit Tally Update"/>
    <n v="350"/>
  </r>
  <r>
    <n v="230"/>
    <x v="5"/>
    <d v="2025-09-29T00:00:00"/>
    <m/>
    <s v="Naveen S"/>
    <s v="Porter charges (Sweet Boxes received from KNND Office)"/>
    <n v="1430"/>
  </r>
  <r>
    <n v="231"/>
    <x v="5"/>
    <d v="2025-09-29T00:00:00"/>
    <m/>
    <s v="Naveen S"/>
    <s v="House Keeping Material (M Glass cleaner 500 Ml - 2 Nos) Purchased"/>
    <n v="150"/>
  </r>
  <r>
    <n v="232"/>
    <x v="5"/>
    <d v="2025-09-29T00:00:00"/>
    <m/>
    <s v="Naveen S"/>
    <s v="Weighment charges ( L Angle received from Silicon Steels)"/>
    <n v="200"/>
  </r>
  <r>
    <n v="233"/>
    <x v="5"/>
    <d v="2025-09-29T00:00:00"/>
    <m/>
    <s v="Naveen S"/>
    <s v="Ayuda Pooja Expenses - Flower 55 KG - 30-09-2025"/>
    <n v="6800"/>
  </r>
  <r>
    <n v="234"/>
    <x v="5"/>
    <d v="2025-09-30T00:00:00"/>
    <m/>
    <s v="Deepak K.V"/>
    <s v="Petrol Expenses for the month of Sep 2025"/>
    <n v="7206"/>
  </r>
  <r>
    <n v="235"/>
    <x v="5"/>
    <d v="2025-09-30T00:00:00"/>
    <m/>
    <s v="Naveen S"/>
    <s v="Ayuda Pooja Expenses - Flower 55 Kg - 30-09-2025"/>
    <n v="6250"/>
  </r>
  <r>
    <n v="236"/>
    <x v="5"/>
    <d v="2025-09-30T00:00:00"/>
    <m/>
    <s v="Naveen S"/>
    <s v="Ayuda Pooja Expenses - (Pooja Material + Coin Change + Rangoli Expenses)"/>
    <n v="5560"/>
  </r>
  <r>
    <n v="237"/>
    <x v="5"/>
    <d v="2025-09-30T00:00:00"/>
    <m/>
    <s v="Naveen S"/>
    <s v="Dasara Collections"/>
    <n v="4800"/>
  </r>
  <r>
    <n v="238"/>
    <x v="5"/>
    <d v="2025-09-30T00:00:00"/>
    <m/>
    <s v="Naveen S"/>
    <s v="Ayuda Pooja Expenses (Fruits + Coconuts + Dry Fruits + Milk)"/>
    <n v="6110"/>
  </r>
  <r>
    <n v="239"/>
    <x v="6"/>
    <d v="2025-10-03T00:00:00"/>
    <m/>
    <s v="Naveen S"/>
    <s v="Weekly Pooja Expenses (Sweets - 70 Nos) 03-10-2025 Friday"/>
    <n v="700"/>
  </r>
  <r>
    <n v="240"/>
    <x v="6"/>
    <d v="2025-10-03T00:00:00"/>
    <m/>
    <s v="Mani N"/>
    <s v="Travel Expenses ( Mr. Prasad visited factory)"/>
    <n v="2742"/>
  </r>
  <r>
    <n v="241"/>
    <x v="6"/>
    <d v="2025-10-04T00:00:00"/>
    <m/>
    <s v="Naveen S"/>
    <s v="Transportation Charges (Sealant received from Urja Pune)"/>
    <n v="2240"/>
  </r>
  <r>
    <n v="242"/>
    <x v="6"/>
    <d v="2025-10-06T00:00:00"/>
    <m/>
    <s v="Naveen S"/>
    <s v="House Keeping Material Purchased (Broom and Map)"/>
    <n v="1290"/>
  </r>
  <r>
    <n v="243"/>
    <x v="6"/>
    <d v="2025-10-08T00:00:00"/>
    <m/>
    <s v="Naveen S"/>
    <s v="Garden Plant Medicines &amp; Tools Service Charges "/>
    <n v="290"/>
  </r>
  <r>
    <n v="244"/>
    <x v="6"/>
    <d v="2025-10-08T00:00:00"/>
    <m/>
    <s v="Naveen S"/>
    <s v="Monthly Flower Payment (11-09-2025 To 10-10-2025)"/>
    <n v="550"/>
  </r>
  <r>
    <n v="245"/>
    <x v="6"/>
    <d v="2025-10-09T00:00:00"/>
    <m/>
    <s v="Naveen S"/>
    <s v="Loading &amp; Unloading charges for the month of Oct-2025"/>
    <n v="4000"/>
  </r>
  <r>
    <n v="246"/>
    <x v="6"/>
    <d v="2025-10-09T00:00:00"/>
    <m/>
    <s v="Naveen S"/>
    <s v="Transportation Charges (Long nut received from Sangvi Fastners)"/>
    <n v="1610"/>
  </r>
  <r>
    <n v="247"/>
    <x v="6"/>
    <d v="2025-10-10T00:00:00"/>
    <m/>
    <s v="Naveen S"/>
    <s v="Weekly Pooja Expenses (Sweets - 70 Nos) 10-10-2025 Friday)"/>
    <n v="700"/>
  </r>
  <r>
    <n v="248"/>
    <x v="6"/>
    <d v="2025-10-10T00:00:00"/>
    <m/>
    <s v="Naveen S"/>
    <s v="Weighment charges (Coil received from Mandot Steel)"/>
    <n v="150"/>
  </r>
  <r>
    <n v="249"/>
    <x v="6"/>
    <d v="2025-10-10T00:00:00"/>
    <m/>
    <s v="Naveen S"/>
    <s v="Internet charges for the Month of Oct - 2025"/>
    <n v="3300"/>
  </r>
  <r>
    <n v="250"/>
    <x v="6"/>
    <d v="2025-10-11T00:00:00"/>
    <m/>
    <s v="Naveen S"/>
    <s v="Stationary material Purchased (Bills attached)"/>
    <n v="3570"/>
  </r>
  <r>
    <n v="251"/>
    <x v="6"/>
    <d v="2025-10-13T00:00:00"/>
    <m/>
    <s v="Naveen S"/>
    <s v="Stationary - (Paper Roll - 24&quot;x50m 80 Gsm) 1 Nos purchased"/>
    <n v="840"/>
  </r>
  <r>
    <n v="252"/>
    <x v="6"/>
    <d v="2025-10-14T00:00:00"/>
    <m/>
    <s v="Naveen S"/>
    <s v="Weighment charges (Coil received from Mandot Steel)"/>
    <n v="150"/>
  </r>
  <r>
    <n v="253"/>
    <x v="6"/>
    <d v="2025-10-15T00:00:00"/>
    <m/>
    <s v="Naveen S"/>
    <s v="Food and Beverage charges (MSME 2 Office Visiting Factory 14-10-2025 &amp; 15-10-2025)"/>
    <n v="1107"/>
  </r>
  <r>
    <n v="254"/>
    <x v="6"/>
    <d v="2025-10-17T00:00:00"/>
    <m/>
    <s v="Deepak K.V"/>
    <s v="Car Insurance expenses"/>
    <n v="6148"/>
  </r>
  <r>
    <n v="255"/>
    <x v="6"/>
    <d v="2025-10-17T00:00:00"/>
    <m/>
    <s v="Deepak K.V"/>
    <s v="Food Expenses Umesh, Selec and Abhinav Etc"/>
    <n v="3554"/>
  </r>
  <r>
    <n v="256"/>
    <x v="6"/>
    <d v="2025-10-17T00:00:00"/>
    <m/>
    <s v="Naveen S"/>
    <s v="Weekly Pooja expenses ( Sweets 65 Nos) 17-10-2025 Friday "/>
    <n v="700"/>
  </r>
  <r>
    <n v="257"/>
    <x v="6"/>
    <d v="2025-10-18T00:00:00"/>
    <m/>
    <s v="Naveen S"/>
    <s v="Porter charges (Sample Duct Sent to KNND Office )"/>
    <n v="1680"/>
  </r>
  <r>
    <n v="258"/>
    <x v="6"/>
    <d v="2025-10-22T00:00:00"/>
    <m/>
    <s v="Naveen S"/>
    <s v="Porter charges (Split Air Damper Sample Sent ot KNND Office)"/>
    <n v="850"/>
  </r>
  <r>
    <n v="259"/>
    <x v="6"/>
    <d v="2025-10-24T00:00:00"/>
    <m/>
    <s v="Naveen S"/>
    <s v="Weekly Pooja Expenses (Sweets 60 Nos) 24-10-2025 Friday"/>
    <n v="700"/>
  </r>
  <r>
    <n v="260"/>
    <x v="6"/>
    <d v="2025-10-24T00:00:00"/>
    <m/>
    <s v="Naveen S"/>
    <s v="Old Cycle Tyre Tube and Hukku Lever Purchased "/>
    <n v="2540"/>
  </r>
  <r>
    <n v="261"/>
    <x v="6"/>
    <d v="2025-10-24T00:00:00"/>
    <m/>
    <s v="Naveen S"/>
    <s v="House Keeping material purchased (Bill Attache)"/>
    <n v="3244"/>
  </r>
  <r>
    <n v="262"/>
    <x v="6"/>
    <d v="2025-10-25T00:00:00"/>
    <m/>
    <s v="Naveen S"/>
    <s v="Water Filter Tap 1 Nos purchased"/>
    <n v="300"/>
  </r>
  <r>
    <n v="263"/>
    <x v="6"/>
    <d v="2025-10-26T00:00:00"/>
    <m/>
    <s v="Naveen S"/>
    <s v="Food charges ( Sunday Working - 3 Worker)"/>
    <n v="600"/>
  </r>
  <r>
    <n v="264"/>
    <x v="6"/>
    <d v="2025-10-26T00:00:00"/>
    <m/>
    <s v="Naveen S"/>
    <s v="Water Filter Service Charges"/>
    <n v="1350"/>
  </r>
  <r>
    <n v="265"/>
    <x v="6"/>
    <d v="2025-10-27T00:00:00"/>
    <m/>
    <s v="Naveen S"/>
    <s v="Empty Plastic Bags Purchased "/>
    <n v="7200"/>
  </r>
  <r>
    <n v="266"/>
    <x v="6"/>
    <d v="2025-10-27T00:00:00"/>
    <m/>
    <s v="Naveen S"/>
    <s v="Weighment charges (Coil received from D.S Ducto Fab)"/>
    <n v="300"/>
  </r>
  <r>
    <n v="267"/>
    <x v="6"/>
    <d v="2025-10-27T00:00:00"/>
    <m/>
    <s v="Naveen S"/>
    <s v="Refreshment charges (IISC team visited - Tea + Biscuits)"/>
    <n v="200"/>
  </r>
  <r>
    <n v="268"/>
    <x v="6"/>
    <d v="2025-10-28T00:00:00"/>
    <m/>
    <s v="Naveen S"/>
    <s v="Electrical Charges (3 Core wire changed to water Ground Tank)"/>
    <n v="700"/>
  </r>
  <r>
    <n v="269"/>
    <x v="6"/>
    <d v="2025-10-28T00:00:00"/>
    <m/>
    <s v="Naveen S"/>
    <s v="Plumbing Work charges (Water Tank - 1 Fixed)"/>
    <n v="6000"/>
  </r>
  <r>
    <n v="270"/>
    <x v="6"/>
    <d v="2025-10-29T00:00:00"/>
    <m/>
    <s v="Naveen S"/>
    <s v="Water Can 20 Ltr - 9 Nos purchased"/>
    <n v="270"/>
  </r>
  <r>
    <n v="271"/>
    <x v="6"/>
    <d v="2025-10-30T00:00:00"/>
    <m/>
    <s v="Naveen S"/>
    <s v="Stationary material Purchased (Bills attached)"/>
    <n v="1125"/>
  </r>
  <r>
    <n v="272"/>
    <x v="6"/>
    <d v="2025-10-30T00:00:00"/>
    <m/>
    <s v="Naveen S"/>
    <s v="Plumbing work charges (Water Tank - 2 &amp; Fittings fixed charges)"/>
    <n v="6000"/>
  </r>
  <r>
    <n v="273"/>
    <x v="6"/>
    <d v="2025-10-30T00:00:00"/>
    <m/>
    <s v="Naveen S"/>
    <s v="Food Expenses (Overtime Work on 30/10/2025 Evening)"/>
    <n v="690"/>
  </r>
  <r>
    <n v="274"/>
    <x v="6"/>
    <d v="2025-10-30T00:00:00"/>
    <m/>
    <s v="Naveen S"/>
    <s v="Travel Conveyance (Visited KNND &amp; Bank On 04-10-2025 and 18-10-2025) "/>
    <n v="800"/>
  </r>
  <r>
    <n v="275"/>
    <x v="6"/>
    <d v="2025-10-30T00:00:00"/>
    <m/>
    <s v="Deepak K.V"/>
    <s v="Bolt &amp; Nut Purchased for Hydraulic Cornamatic machine - 2"/>
    <n v="1351"/>
  </r>
  <r>
    <n v="276"/>
    <x v="6"/>
    <d v="2025-10-30T00:00:00"/>
    <m/>
    <s v="Deepak K.V"/>
    <s v="Loading charges of Hydraulic Cornamatic machine(Assembly, Rework for 3 labours)"/>
    <n v="900"/>
  </r>
  <r>
    <n v="277"/>
    <x v="6"/>
    <d v="2025-10-30T00:00:00"/>
    <m/>
    <s v="Deepak K.V"/>
    <s v="Food Expenses - Abhinav, Umesh and Selec"/>
    <n v="1015"/>
  </r>
  <r>
    <n v="278"/>
    <x v="6"/>
    <d v="2025-10-30T00:00:00"/>
    <m/>
    <s v="Deepak K.V"/>
    <s v="Petrol Expenses  "/>
    <n v="6404"/>
  </r>
  <r>
    <n v="279"/>
    <x v="6"/>
    <d v="2025-10-30T00:00:00"/>
    <m/>
    <s v="Deepak K.V"/>
    <s v="Petrol Expenses"/>
    <n v="3918"/>
  </r>
  <r>
    <n v="280"/>
    <x v="6"/>
    <d v="2025-10-31T00:00:00"/>
    <m/>
    <s v="Naveen S"/>
    <s v="Food Expenses (Overtime work on 31-10-2025 night)"/>
    <n v="500"/>
  </r>
  <r>
    <n v="281"/>
    <x v="6"/>
    <d v="2025-10-31T00:00:00"/>
    <m/>
    <s v="Manjunath GM"/>
    <s v="Camduct visit on 31-10-2025"/>
    <n v="350"/>
  </r>
  <r>
    <n v="282"/>
    <x v="6"/>
    <d v="2025-10-31T00:00:00"/>
    <m/>
    <s v="Naveen S"/>
    <s v="Weekly Pooja expenses (60 Sweets) 31-10-2025 Friday"/>
    <n v="700"/>
  </r>
  <r>
    <n v="283"/>
    <x v="7"/>
    <d v="2025-11-02T00:00:00"/>
    <m/>
    <s v="Naveen S"/>
    <s v="Food Charges (Sunday overtime work on 02-11-2025 15 Workrs)"/>
    <n v="900"/>
  </r>
  <r>
    <n v="284"/>
    <x v="7"/>
    <d v="2025-11-03T00:00:00"/>
    <m/>
    <s v="Naveen S"/>
    <s v="Crane charges (Coil Unloading - received From Meenakshi Steel)"/>
    <n v="1500"/>
  </r>
  <r>
    <n v="285"/>
    <x v="7"/>
    <d v="2025-11-04T00:00:00"/>
    <m/>
    <s v="Naveen S"/>
    <s v="Weighment charges (Coil received from Meenakshi Steel)"/>
    <n v="380"/>
  </r>
  <r>
    <n v="286"/>
    <x v="7"/>
    <d v="2025-11-04T00:00:00"/>
    <m/>
    <s v="Naveen S"/>
    <s v="Travel expenses ( Mubarak and Chandrashekar visited AIIMS Madurai)"/>
    <n v="1300"/>
  </r>
  <r>
    <n v="287"/>
    <x v="7"/>
    <d v="2025-11-04T00:00:00"/>
    <m/>
    <s v="Manjunath GM"/>
    <s v="Camduct visit on 04-11-2025"/>
    <n v="350"/>
  </r>
  <r>
    <n v="288"/>
    <x v="7"/>
    <d v="2025-11-07T00:00:00"/>
    <m/>
    <s v="Naveen S"/>
    <s v="First Aid Kit Medicine purchased"/>
    <n v="1065"/>
  </r>
  <r>
    <n v="289"/>
    <x v="7"/>
    <d v="2025-11-07T00:00:00"/>
    <m/>
    <s v="Naveen S"/>
    <s v="Weekly Pooja Expenses -(70 Sweets) 07-11-2025 Friday "/>
    <n v="700"/>
  </r>
  <r>
    <n v="290"/>
    <x v="7"/>
    <d v="2025-11-08T00:00:00"/>
    <m/>
    <s v="Mubarak"/>
    <s v="Travel Fare (Bus Expenses Madurai to Hosur 04-11-2025)"/>
    <n v="1405"/>
  </r>
  <r>
    <n v="291"/>
    <x v="7"/>
    <d v="2025-11-08T00:00:00"/>
    <m/>
    <s v="Naveen S"/>
    <s v="Porter Charges (Hydraulic Cylinder Send to SBS Industries)"/>
    <n v="880"/>
  </r>
  <r>
    <n v="292"/>
    <x v="7"/>
    <d v="2025-11-08T00:00:00"/>
    <m/>
    <s v="Mubarak"/>
    <s v="Travel and Food Expenses (Visited AIIMS Madurai)"/>
    <n v="3800"/>
  </r>
  <r>
    <n v="293"/>
    <x v="7"/>
    <d v="2025-11-10T00:00:00"/>
    <m/>
    <s v="Naveen S"/>
    <s v="Travel Conveyance (Naveen visited KNND Office &amp; Canara Bank)"/>
    <n v="500"/>
  </r>
  <r>
    <n v="294"/>
    <x v="7"/>
    <d v="2025-11-11T00:00:00"/>
    <m/>
    <s v="Naveen S"/>
    <s v="Monthly Flower Payment (11-10-2025 to 10-11-2025)"/>
    <n v="550"/>
  </r>
  <r>
    <n v="295"/>
    <x v="7"/>
    <d v="2025-11-11T00:00:00"/>
    <m/>
    <s v="Naveen S"/>
    <s v="Internet Charges for the Month of Nov-2025 (Connection 1 &amp; 2)"/>
    <n v="3300"/>
  </r>
  <r>
    <n v="296"/>
    <x v="7"/>
    <d v="2025-11-11T00:00:00"/>
    <m/>
    <s v="Naveen S"/>
    <s v="Porter Charges (Hydraulic Cylinder received from SBS Industries )"/>
    <n v="800"/>
  </r>
  <r>
    <n v="297"/>
    <x v="7"/>
    <d v="2025-11-13T00:00:00"/>
    <m/>
    <s v="Deepak K.V"/>
    <s v="Home - Airport - Home"/>
    <n v="2500"/>
  </r>
  <r>
    <n v="298"/>
    <x v="7"/>
    <d v="2025-11-13T00:00:00"/>
    <m/>
    <s v="Naveen S"/>
    <s v="House Keeping material Purchased"/>
    <n v="4668"/>
  </r>
  <r>
    <n v="299"/>
    <x v="7"/>
    <d v="2025-11-14T00:00:00"/>
    <m/>
    <s v="Naveen S"/>
    <s v="Weekly Pooja Expenses (Sweets - 65 Nos) 14-11-2025 Friday"/>
    <n v="700"/>
  </r>
  <r>
    <n v="300"/>
    <x v="7"/>
    <d v="2025-11-15T00:00:00"/>
    <m/>
    <s v="Naveen S"/>
    <s v="Loading &amp; Unloading charges for the month Nov-2025"/>
    <n v="4000"/>
  </r>
  <r>
    <n v="301"/>
    <x v="7"/>
    <d v="2025-11-20T00:00:00"/>
    <m/>
    <s v="Naveen S"/>
    <s v="Hospital charges (MR.Ajay Kumar Injured - CMS Contract)"/>
    <n v="450"/>
  </r>
  <r>
    <n v="302"/>
    <x v="7"/>
    <d v="2025-11-21T00:00:00"/>
    <m/>
    <s v="Naveen S"/>
    <s v="Refreshment charges (Tea+Biscuits Purchased for Selec team)"/>
    <n v="150"/>
  </r>
  <r>
    <n v="303"/>
    <x v="7"/>
    <d v="2025-11-21T00:00:00"/>
    <m/>
    <s v="Naveen S"/>
    <s v="Weekly Pooja Expenses (Sweets - 65 Nos) 21-11-2025 Friday "/>
    <n v="700"/>
  </r>
  <r>
    <n v="304"/>
    <x v="7"/>
    <d v="2025-11-26T00:00:00"/>
    <m/>
    <s v="Mani N"/>
    <s v="Refreshment  charges (Tea - 429 Nos) For the month of Jun &amp; July - 2025"/>
    <n v="4290"/>
  </r>
  <r>
    <n v="305"/>
    <x v="7"/>
    <d v="2025-11-26T00:00:00"/>
    <m/>
    <s v="Deepak K.V"/>
    <s v="Porter charges Malur - Peeny - Malur"/>
    <n v="6369"/>
  </r>
  <r>
    <n v="306"/>
    <x v="7"/>
    <d v="2025-11-26T00:00:00"/>
    <m/>
    <s v="Naveen S"/>
    <s v="Transportation Charges (Material received from Sri Raghavendra Industries+Universal Energy by Porter)"/>
    <n v="2791"/>
  </r>
  <r>
    <n v="307"/>
    <x v="7"/>
    <d v="2025-11-26T00:00:00"/>
    <m/>
    <s v="Naveen S"/>
    <s v="Transportation Charges (Sealant received from Urja Sealant Pune)"/>
    <n v="2180"/>
  </r>
  <r>
    <n v="308"/>
    <x v="7"/>
    <d v="2025-11-26T00:00:00"/>
    <m/>
    <s v="Naveen S"/>
    <s v="Weighment Charges (Coil Received from J.R &amp; Co.)"/>
    <n v="280"/>
  </r>
  <r>
    <n v="309"/>
    <x v="7"/>
    <d v="2025-11-26T00:00:00"/>
    <m/>
    <s v="Manjunath GM"/>
    <s v="Camduct visit on 26-11-2025"/>
    <n v="350"/>
  </r>
  <r>
    <n v="310"/>
    <x v="7"/>
    <d v="2025-11-27T00:00:00"/>
    <m/>
    <s v="Naveen S"/>
    <s v="Hardware Material - Hydraulic Hose Pipe changed"/>
    <n v="2200"/>
  </r>
  <r>
    <n v="311"/>
    <x v="7"/>
    <d v="2025-11-28T00:00:00"/>
    <m/>
    <s v="Naveen S"/>
    <s v="Weekly Pooja expenses (Sweets-60 nos) 28-11-2025 Friday"/>
    <n v="700"/>
  </r>
  <r>
    <n v="312"/>
    <x v="7"/>
    <d v="2025-11-28T00:00:00"/>
    <m/>
    <s v="Deepak K.V"/>
    <s v="M12 Sensor Purchased (Bill Attached0"/>
    <n v="2006"/>
  </r>
  <r>
    <n v="313"/>
    <x v="7"/>
    <d v="2025-11-30T00:00:00"/>
    <m/>
    <s v="Deepak K.V"/>
    <s v="Porter charges (Sensor received from M.Raj Technology &amp; Electric send to Metal Work)"/>
    <n v="2350"/>
  </r>
  <r>
    <n v="314"/>
    <x v="7"/>
    <d v="2025-11-30T00:00:00"/>
    <m/>
    <s v="Naveen S"/>
    <s v="Water Can 20 Ltr - 10 Nos Purchased"/>
    <n v="300"/>
  </r>
  <r>
    <n v="315"/>
    <x v="7"/>
    <d v="2025-11-30T00:00:00"/>
    <m/>
    <s v="Deepak K.V"/>
    <s v="Food Expenses for the month of Nov-2025"/>
    <n v="2890"/>
  </r>
  <r>
    <n v="316"/>
    <x v="7"/>
    <d v="2025-11-30T00:00:00"/>
    <m/>
    <s v="Deepak K.V"/>
    <s v="Petrol expenses for the month of Nov-2025"/>
    <n v="1526"/>
  </r>
  <r>
    <n v="317"/>
    <x v="7"/>
    <d v="2025-11-30T00:00:00"/>
    <m/>
    <s v="Deepak K.V"/>
    <s v="Petrol expenses for the month of Nov-2025"/>
    <n v="3418"/>
  </r>
  <r>
    <n v="318"/>
    <x v="7"/>
    <d v="2025-11-30T00:00:00"/>
    <m/>
    <s v="Deepak K.V"/>
    <s v="Petrol expenses for the month of Nov-2025"/>
    <n v="6718"/>
  </r>
  <r>
    <n v="319"/>
    <x v="7"/>
    <d v="2025-11-30T00:00:00"/>
    <m/>
    <s v="Deepak K.V"/>
    <s v="Bearing block for round Seam closer -2"/>
    <n v="1888"/>
  </r>
  <r>
    <n v="320"/>
    <x v="8"/>
    <d v="2025-12-02T00:00:00"/>
    <m/>
    <s v="Naveen S"/>
    <s v="Weighment charges (Coil received from J.R &amp; Co)"/>
    <n v="180"/>
  </r>
  <r>
    <n v="321"/>
    <x v="8"/>
    <d v="2025-12-04T00:00:00"/>
    <m/>
    <s v="Naveen S"/>
    <s v="Stationary material Purchased ( Nandi Box File - 10 Nos )"/>
    <n v="1100"/>
  </r>
  <r>
    <n v="322"/>
    <x v="8"/>
    <d v="2025-12-04T00:00:00"/>
    <m/>
    <s v="Naveen S"/>
    <s v="Refreshment Charges (Tea, Biscuit and water bottle purchased- IISC team visited)"/>
    <n v="200"/>
  </r>
  <r>
    <n v="323"/>
    <x v="8"/>
    <d v="2025-12-04T00:00:00"/>
    <m/>
    <s v="Naveen S"/>
    <s v="Out side Job charges ( Hose Pipe &amp; Adopter fixing)"/>
    <n v="600"/>
  </r>
  <r>
    <n v="324"/>
    <x v="8"/>
    <d v="2025-12-05T00:00:00"/>
    <m/>
    <s v="Naveen S"/>
    <s v="Weekly pooja material purchased (Sweets - 60 Nos) 05-12-2025"/>
    <n v="700"/>
  </r>
  <r>
    <n v="325"/>
    <x v="8"/>
    <d v="2025-12-06T00:00:00"/>
    <m/>
    <s v="Naveen S"/>
    <s v="Porter charges (Compressor spare send to Techno Power Solution)"/>
    <n v="850"/>
  </r>
  <r>
    <n v="326"/>
    <x v="8"/>
    <d v="2025-12-09T00:00:00"/>
    <m/>
    <s v="Naveen S"/>
    <s v="Monthly Flower charges payment ( 11-11-2025 To 10-12-2025)"/>
    <n v="550"/>
  </r>
  <r>
    <n v="327"/>
    <x v="8"/>
    <d v="2025-12-10T00:00:00"/>
    <m/>
    <s v="Naveen S"/>
    <s v="Food Expenses (Visitor from MSME-Zed)"/>
    <n v="310"/>
  </r>
  <r>
    <n v="328"/>
    <x v="8"/>
    <d v="2025-12-10T00:00:00"/>
    <m/>
    <s v="Naveen S"/>
    <s v="Loading and Unloading charges for the month of Dec-2025"/>
    <n v="4000"/>
  </r>
  <r>
    <n v="329"/>
    <x v="8"/>
    <d v="2025-12-12T00:00:00"/>
    <m/>
    <s v="Naveen S"/>
    <s v="Weekly Pooja expenses (Sweets - 70 Nos) on 12-12-2025 Friday"/>
    <n v="700"/>
  </r>
  <r>
    <n v="330"/>
    <x v="8"/>
    <d v="2025-12-12T00:00:00"/>
    <m/>
    <s v="Naveen S"/>
    <s v="Weighment charges (Coil received from J R &amp; Co)"/>
    <n v="100"/>
  </r>
  <r>
    <n v="331"/>
    <x v="8"/>
    <d v="2025-12-13T00:00:00"/>
    <m/>
    <s v="Naveen S"/>
    <s v="Food &amp; Hotel Room Rent charges (Visited Kolhapur)"/>
    <n v="2075"/>
  </r>
  <r>
    <n v="332"/>
    <x v="8"/>
    <d v="2025-12-13T00:00:00"/>
    <m/>
    <s v="Naveen S"/>
    <s v="Travel Fare (Visiting Kolhapur for Panel repair Work)"/>
    <n v="2939"/>
  </r>
  <r>
    <n v="333"/>
    <x v="8"/>
    <d v="2025-12-13T00:00:00"/>
    <m/>
    <s v="Naveen S"/>
    <s v="Transportation charges (Geared motor received from TGPL)"/>
    <n v="220"/>
  </r>
  <r>
    <n v="334"/>
    <x v="8"/>
    <d v="2025-12-14T00:00:00"/>
    <m/>
    <s v="Mani N"/>
    <s v="Food charges (Sunday overtime work - 14-12-2025) 20x60 - 1200"/>
    <n v="1200"/>
  </r>
  <r>
    <n v="335"/>
    <x v="8"/>
    <d v="2025-12-15T00:00:00"/>
    <m/>
    <s v="Naveen S"/>
    <s v="Internet charges for the month of Dec-2025 (2 Connection)"/>
    <n v="3300"/>
  </r>
  <r>
    <n v="336"/>
    <x v="8"/>
    <d v="2025-12-15T00:00:00"/>
    <m/>
    <s v="Naveen S"/>
    <s v="Stationary Material Purchased (A-4 Sheet - 10 Nos)"/>
    <n v="2100"/>
  </r>
  <r>
    <n v="337"/>
    <x v="8"/>
    <d v="2025-12-15T00:00:00"/>
    <m/>
    <s v="Naveen S"/>
    <s v="Water Filter Service charges"/>
    <n v="1800"/>
  </r>
  <r>
    <n v="338"/>
    <x v="8"/>
    <d v="2025-12-15T00:00:00"/>
    <m/>
    <s v="Naveen S"/>
    <s v="Stationary material purchased"/>
    <n v="160"/>
  </r>
  <r>
    <n v="339"/>
    <x v="8"/>
    <d v="2025-12-16T00:00:00"/>
    <m/>
    <s v="Naveen S"/>
    <s v="Transportation charges (Street light received from Munato Agencies0"/>
    <n v="300"/>
  </r>
  <r>
    <n v="340"/>
    <x v="8"/>
    <d v="2025-12-17T00:00:00"/>
    <m/>
    <s v="Naveen S"/>
    <s v="Food and Refreshment charges (visitor from MSME -ZED M 15-12-2025 to  17-12-2025)"/>
    <n v="680"/>
  </r>
  <r>
    <n v="341"/>
    <x v="8"/>
    <d v="2025-12-18T00:00:00"/>
    <m/>
    <s v="Naveen S"/>
    <s v="Porter charges (Flood Light received from Izzy Agencies)"/>
    <n v="1410"/>
  </r>
  <r>
    <n v="342"/>
    <x v="8"/>
    <d v="2025-12-19T00:00:00"/>
    <m/>
    <s v="Naveen S"/>
    <s v="Weekly Pooja Expenses (Sweets - 60) 19-12-2025 Friday"/>
    <n v="700"/>
  </r>
  <r>
    <n v="343"/>
    <x v="8"/>
    <d v="2025-12-20T00:00:00"/>
    <m/>
    <s v="Naveen S"/>
    <s v="Food &amp; Refreshment charges (Visitor from MSME -Zed)"/>
    <n v="394"/>
  </r>
  <r>
    <n v="344"/>
    <x v="8"/>
    <d v="2025-12-20T00:00:00"/>
    <m/>
    <s v="Naveen S"/>
    <s v="House Keeping material purchased "/>
    <n v="4095"/>
  </r>
  <r>
    <n v="345"/>
    <x v="8"/>
    <d v="2025-12-24T00:00:00"/>
    <m/>
    <s v="Naveen S"/>
    <s v="HDMI Cable purchased - 2 Nos"/>
    <n v="500"/>
  </r>
  <r>
    <n v="346"/>
    <x v="8"/>
    <d v="2025-12-24T00:00:00"/>
    <m/>
    <s v="Manjunath GM"/>
    <s v="Camduct visit On 24-12-2025"/>
    <n v="350"/>
  </r>
  <r>
    <n v="347"/>
    <x v="8"/>
    <d v="2025-12-25T00:00:00"/>
    <m/>
    <s v="Naveen S"/>
    <s v="Cement, M-Sand and Gravel Stone purchased (Bill Attached)"/>
    <n v="2100"/>
  </r>
  <r>
    <n v="348"/>
    <x v="8"/>
    <d v="2025-12-26T00:00:00"/>
    <m/>
    <s v="Naveen S"/>
    <s v="Weekly pooja expenses (Sweets - 50 Nos) 26-12-2025 Friday"/>
    <n v="700"/>
  </r>
  <r>
    <n v="349"/>
    <x v="8"/>
    <d v="2025-12-27T00:00:00"/>
    <m/>
    <s v="Naveen S"/>
    <s v="GSS L-Angles received - Weighment charges"/>
    <n v="100"/>
  </r>
  <r>
    <n v="350"/>
    <x v="8"/>
    <d v="2025-12-30T00:00:00"/>
    <m/>
    <s v="Deepak K.V"/>
    <s v="Car towing and Inspection charges "/>
    <n v="2100"/>
  </r>
  <r>
    <n v="351"/>
    <x v="8"/>
    <d v="2025-12-31T00:00:00"/>
    <m/>
    <s v="Deepak K.V"/>
    <s v="Loading charges at peenya"/>
    <n v="300"/>
  </r>
  <r>
    <n v="352"/>
    <x v="8"/>
    <d v="2025-12-31T00:00:00"/>
    <m/>
    <s v="Deepak K.V"/>
    <s v="Porter charges for December 2025"/>
    <n v="3452"/>
  </r>
  <r>
    <n v="353"/>
    <x v="8"/>
    <d v="2025-12-31T00:00:00"/>
    <m/>
    <s v="Deepak K.V"/>
    <s v="Food expenses for the month of December 2025"/>
    <n v="4042"/>
  </r>
  <r>
    <n v="354"/>
    <x v="8"/>
    <d v="2025-12-31T00:00:00"/>
    <m/>
    <s v="Deepak K.V"/>
    <s v="Scale for hole punching machine - 2"/>
    <n v="362"/>
  </r>
  <r>
    <n v="355"/>
    <x v="8"/>
    <d v="2025-12-31T00:00:00"/>
    <m/>
    <s v="Deepak K.V"/>
    <s v="Petrol expenses December 2025"/>
    <n v="7530"/>
  </r>
  <r>
    <n v="356"/>
    <x v="8"/>
    <d v="2025-12-31T00:00:00"/>
    <m/>
    <s v="Deepak K.V"/>
    <s v="Petrol expenses December 2025"/>
    <n v="7414"/>
  </r>
  <r>
    <n v="357"/>
    <x v="8"/>
    <d v="2025-12-31T00:00:00"/>
    <m/>
    <s v="Deepak K.V"/>
    <s v="Petrol expenses December 2025"/>
    <n v="4016"/>
  </r>
  <r>
    <n v="358"/>
    <x v="8"/>
    <d v="2025-12-31T00:00:00"/>
    <m/>
    <s v="Deepak K.V"/>
    <s v="Penuematic Cylinder purchased for spiral machine"/>
    <n v="1715"/>
  </r>
  <r>
    <n v="359"/>
    <x v="8"/>
    <d v="2025-12-31T00:00:00"/>
    <m/>
    <s v="Naveen S"/>
    <s v="Weighment charges (GSS L-Angle received from Silicon Steel)"/>
    <n v="100"/>
  </r>
  <r>
    <n v="360"/>
    <x v="9"/>
    <d v="2026-01-02T00:00:00"/>
    <m/>
    <s v="Naveen S"/>
    <s v="Weekly pooja expenses  (Sweets - 60 Nos) 02-01-2026 Friday"/>
    <n v="700"/>
  </r>
  <r>
    <n v="361"/>
    <x v="9"/>
    <d v="2026-01-02T00:00:00"/>
    <m/>
    <s v="Naveen S"/>
    <s v="Porter charges (Electrical Material received from Munot Agencies)"/>
    <n v="1681"/>
  </r>
  <r>
    <n v="362"/>
    <x v="9"/>
    <d v="2026-01-02T00:00:00"/>
    <m/>
    <s v="Naveen S"/>
    <s v="Refreshment charges (New Year Celebration)"/>
    <n v="2850"/>
  </r>
  <r>
    <n v="363"/>
    <x v="9"/>
    <d v="2026-01-02T00:00:00"/>
    <m/>
    <s v="Deepak K.V"/>
    <s v="Fastners purchased for hole punch machine"/>
    <n v="276"/>
  </r>
  <r>
    <n v="364"/>
    <x v="9"/>
    <d v="2026-01-05T00:00:00"/>
    <m/>
    <s v="Naveen S"/>
    <s v="Electrical Work charges (Fuse Check)"/>
    <n v="200"/>
  </r>
  <r>
    <n v="365"/>
    <x v="9"/>
    <d v="2026-01-06T00:00:00"/>
    <m/>
    <s v="Naveen S"/>
    <s v="Porter charges (Material sent to sri Raghavendra Industries)"/>
    <n v="1603"/>
  </r>
  <r>
    <n v="366"/>
    <x v="9"/>
    <d v="2026-01-09T00:00:00"/>
    <m/>
    <s v="Naveen S"/>
    <s v="Internet charges for the month of Jan - 2026 ( 2 Connection)"/>
    <n v="3300"/>
  </r>
  <r>
    <n v="375"/>
    <x v="9"/>
    <d v="2026-01-09T00:00:00"/>
    <m/>
    <s v="Naveen S"/>
    <s v="Porter charges (Spot Welding Controller Sent to System Electric Services)"/>
    <n v="1265"/>
  </r>
  <r>
    <n v="368"/>
    <x v="9"/>
    <d v="2026-01-09T00:00:00"/>
    <m/>
    <s v="Naveen S"/>
    <s v="Spot Welding M/C Controller repair Charges"/>
    <n v="2800"/>
  </r>
  <r>
    <n v="369"/>
    <x v="9"/>
    <d v="2026-01-09T00:00:00"/>
    <m/>
    <s v="Naveen S"/>
    <s v="Weekly Pooja expenses (55 Sweets ) 09-01-2026 Friday"/>
    <n v="700"/>
  </r>
  <r>
    <n v="370"/>
    <x v="9"/>
    <d v="2026-01-10T00:00:00"/>
    <m/>
    <s v="Naveen S"/>
    <s v="Monthly Flower payment (11-12-2025 to 10-01-2026)"/>
    <n v="550"/>
  </r>
  <r>
    <n v="371"/>
    <x v="9"/>
    <d v="2026-01-10T00:00:00"/>
    <m/>
    <s v="Naveen S"/>
    <s v="Loading and Unloading charges for the Month of Jan 2026"/>
    <n v="4000"/>
  </r>
  <r>
    <n v="372"/>
    <x v="9"/>
    <d v="2026-01-10T00:00:00"/>
    <m/>
    <s v="Naveen S"/>
    <s v="Hydraulic Service charges (Bill Attached)"/>
    <n v="4720"/>
  </r>
  <r>
    <n v="373"/>
    <x v="9"/>
    <d v="2026-01-12T00:00:00"/>
    <m/>
    <s v="Naveen S"/>
    <s v="First Aid kit Medicine purchased"/>
    <n v="1470"/>
  </r>
  <r>
    <n v="374"/>
    <x v="9"/>
    <d v="2026-01-13T00:00:00"/>
    <m/>
    <s v="Naveen S"/>
    <s v="Scrap and Insulation yard Cleaning charges "/>
    <n v="5000"/>
  </r>
  <r>
    <n v="375"/>
    <x v="9"/>
    <d v="2026-01-13T00:00:00"/>
    <m/>
    <s v="Naveen S"/>
    <s v="Weighment charges (Coil received from Mandot Steel)"/>
    <n v="200"/>
  </r>
  <r>
    <n v="376"/>
    <x v="9"/>
    <d v="2026-01-16T00:00:00"/>
    <m/>
    <s v="Naveen S"/>
    <s v="Weekly pooja expenses (70 Sweets) 16-01-2026 Friday"/>
    <n v="700"/>
  </r>
  <r>
    <n v="377"/>
    <x v="9"/>
    <d v="2026-01-17T00:00:00"/>
    <m/>
    <s v="Naveen S"/>
    <s v="Weighment charges (coil received from Mandot Steel)"/>
    <n v="180"/>
  </r>
  <r>
    <n v="378"/>
    <x v="9"/>
    <d v="2026-01-22T00:00:00"/>
    <m/>
    <s v="Naveen S"/>
    <s v="Porter charges (Spot Welding machine service charges)"/>
    <n v="3220"/>
  </r>
  <r>
    <n v="379"/>
    <x v="9"/>
    <d v="2026-01-22T00:00:00"/>
    <m/>
    <s v="Naveen S"/>
    <s v="Porter charges (Cleats sent to Air Control)"/>
    <n v="440"/>
  </r>
  <r>
    <n v="380"/>
    <x v="9"/>
    <d v="2026-01-22T00:00:00"/>
    <m/>
    <s v="Naveen S"/>
    <s v="Travel Fare (Mubarak visited Air Control Site)"/>
    <n v="500"/>
  </r>
  <r>
    <n v="381"/>
    <x v="9"/>
    <d v="2026-01-22T00:00:00"/>
    <m/>
    <s v="Naveen S"/>
    <s v="Porter charges (material sent to Infosys Bangalore)"/>
    <n v="2375"/>
  </r>
  <r>
    <n v="382"/>
    <x v="9"/>
    <d v="2026-01-23T00:00:00"/>
    <m/>
    <s v="Naveen S"/>
    <s v="Weekly pooja expenses (70 Sweets ) 23-01-2026 Friday"/>
    <n v="700"/>
  </r>
  <r>
    <n v="383"/>
    <x v="9"/>
    <d v="2026-01-23T00:00:00"/>
    <m/>
    <s v="Naveen S"/>
    <s v="Porter charges ( Cornamatic elbow fitting received from SBS Industries Peenya)"/>
    <n v="790"/>
  </r>
  <r>
    <n v="384"/>
    <x v="9"/>
    <d v="2026-01-23T00:00:00"/>
    <m/>
    <s v="Naveen S"/>
    <s v="Porter charges (Welding machine received from Raman Engineering)"/>
    <n v="1430"/>
  </r>
  <r>
    <n v="385"/>
    <x v="9"/>
    <d v="2026-01-23T00:00:00"/>
    <m/>
    <s v="Naveen S"/>
    <s v="Porter charges (Stabilizer received from Av Technologies)"/>
    <n v="1950"/>
  </r>
  <r>
    <n v="386"/>
    <x v="9"/>
    <d v="2026-01-24T00:00:00"/>
    <m/>
    <s v="Naveen S"/>
    <s v="Crane charges (Machine Loading charges)"/>
    <n v="4800"/>
  </r>
  <r>
    <n v="387"/>
    <x v="9"/>
    <d v="2026-01-29T00:00:00"/>
    <m/>
    <s v="Naveen S"/>
    <s v="House Keeping material purchased (Bill Attache)"/>
    <n v="4211"/>
  </r>
  <r>
    <n v="388"/>
    <x v="9"/>
    <d v="2026-01-30T00:00:00"/>
    <m/>
    <s v="Naveen S"/>
    <s v="Weekly pooja expenses (Sweets - 50 Nos ) 30-01-2026 Friday"/>
    <n v="700"/>
  </r>
  <r>
    <n v="389"/>
    <x v="9"/>
    <d v="2026-01-30T00:00:00"/>
    <m/>
    <s v="Deepak K.V"/>
    <s v="Petrol Expenses - January 2026"/>
    <n v="3650"/>
  </r>
  <r>
    <n v="390"/>
    <x v="9"/>
    <d v="2026-01-30T00:00:00"/>
    <m/>
    <s v="Deepak K.V"/>
    <s v="Taxi charges from Airport to Home"/>
    <n v="1530"/>
  </r>
  <r>
    <n v="391"/>
    <x v="10"/>
    <d v="2026-02-02T00:00:00"/>
    <m/>
    <s v="Naveen S"/>
    <s v="Madicines for Garden plant"/>
    <n v="1200"/>
  </r>
  <r>
    <n v="392"/>
    <x v="10"/>
    <d v="2026-02-03T00:00:00"/>
    <m/>
    <s v="Naveen S"/>
    <s v="Stationary Material (Long Book Note - 10 Nos) purchased"/>
    <n v="300"/>
  </r>
  <r>
    <n v="393"/>
    <x v="10"/>
    <d v="2026-02-04T00:00:00"/>
    <m/>
    <s v="Naveen S"/>
    <s v="Crane charges (Machine shifting to Haryana Factory)"/>
    <n v="3200"/>
  </r>
  <r>
    <n v="394"/>
    <x v="10"/>
    <d v="2026-02-06T00:00:00"/>
    <m/>
    <s v="Naveen S"/>
    <s v="Weekly Pooja Expenses (65 Sweets) 06-02-26 Friday"/>
    <n v="700"/>
  </r>
  <r>
    <n v="395"/>
    <x v="10"/>
    <d v="2026-02-07T00:00:00"/>
    <m/>
    <s v="Naveen S"/>
    <s v="Travel Fare (Visited KNND Office Bangalore)"/>
    <n v="300"/>
  </r>
  <r>
    <n v="396"/>
    <x v="10"/>
    <d v="2026-02-10T00:00:00"/>
    <m/>
    <s v="Naveen S"/>
    <s v="Monthly Flower Payment (11-01-2026 to 10-02-2026)"/>
    <n v="550"/>
  </r>
  <r>
    <n v="397"/>
    <x v="10"/>
    <d v="2026-02-10T00:00:00"/>
    <m/>
    <s v="Naveen S"/>
    <s v="Transportation charges ( Material Sent to Bahadurgarh unit )"/>
    <n v="1200"/>
  </r>
  <r>
    <n v="398"/>
    <x v="10"/>
    <d v="2026-02-11T00:00:00"/>
    <m/>
    <s v="Naveen S"/>
    <s v="Loading and Unloading charges for the month of Feb 2026"/>
    <n v="4000"/>
  </r>
  <r>
    <n v="399"/>
    <x v="10"/>
    <d v="2026-02-11T00:00:00"/>
    <m/>
    <s v="Naveen S"/>
    <s v="Porter charges (Cleats sent to Air Control Bangalore)"/>
    <n v="1806"/>
  </r>
  <r>
    <n v="400"/>
    <x v="10"/>
    <d v="2026-02-12T00:00:00"/>
    <m/>
    <s v="Naveen S"/>
    <s v="Medicine for Garden Plants"/>
    <n v="820"/>
  </r>
  <r>
    <n v="401"/>
    <x v="10"/>
    <d v="2026-02-13T00:00:00"/>
    <m/>
    <s v="Naveen S"/>
    <s v="Weekly pooja Expenses (60 Sweets ) 13-02-2026 Friday"/>
    <n v="700"/>
  </r>
  <r>
    <n v="402"/>
    <x v="10"/>
    <d v="2026-02-13T00:00:00"/>
    <m/>
    <s v="Naveen S"/>
    <s v="Weighment charges (Aluminium Coil &amp; GSS Coil received)"/>
    <n v="460"/>
  </r>
  <r>
    <n v="403"/>
    <x v="10"/>
    <d v="2026-02-13T00:00:00"/>
    <m/>
    <s v="Naveen S"/>
    <s v="Porter charges (CPC Compressor parts sent to Bangalore) Airend"/>
    <n v="810"/>
  </r>
  <r>
    <n v="404"/>
    <x v="10"/>
    <d v="2026-02-13T00:00:00"/>
    <m/>
    <s v="Naveen S"/>
    <s v="Porter charges (Whisper Blade sent to Sumukha Industries)"/>
    <n v="1702"/>
  </r>
  <r>
    <n v="405"/>
    <x v="10"/>
    <d v="2026-02-14T00:00:00"/>
    <m/>
    <s v="Naveen S"/>
    <s v="Stationary purchased (Bills Attached)"/>
    <n v="2940"/>
  </r>
  <r>
    <n v="406"/>
    <x v="10"/>
    <d v="2026-02-16T00:00:00"/>
    <m/>
    <s v="Naveen S"/>
    <s v="Internet charges for the month of Feb-2026 (2 Connection)"/>
    <n v="3300"/>
  </r>
  <r>
    <n v="407"/>
    <x v="10"/>
    <d v="2026-02-17T00:00:00"/>
    <m/>
    <s v="Naveen S"/>
    <s v="Internet service charges (Fiber 2500 and Media Converter 2500)"/>
    <n v="5000"/>
  </r>
  <r>
    <n v="408"/>
    <x v="10"/>
    <d v="2026-02-17T00:00:00"/>
    <m/>
    <s v="Naveen S"/>
    <s v="Porter charges (Beading machine, Cornamatic press Block received from Sri Raghavendra Industries)"/>
    <n v="1640"/>
  </r>
  <r>
    <n v="409"/>
    <x v="10"/>
    <d v="2026-02-20T00:00:00"/>
    <m/>
    <s v="Naveen S"/>
    <s v="Weekly Pooja expenses (60 Sweets ) 20-02-2026 Friday"/>
    <n v="700"/>
  </r>
  <r>
    <n v="410"/>
    <x v="10"/>
    <d v="2026-02-20T00:00:00"/>
    <m/>
    <s v="Naveen S"/>
    <s v="Transportation charges (Stationary material - Sticker and IGR Book raceived from KNND Office)"/>
    <n v="1355"/>
  </r>
  <r>
    <n v="411"/>
    <x v="10"/>
    <d v="2026-02-20T00:00:00"/>
    <m/>
    <s v="Naveen S"/>
    <s v="Madical Expenses (Employee Injured during working time - Dharmendra)"/>
    <n v="300"/>
  </r>
  <r>
    <n v="412"/>
    <x v="10"/>
    <d v="2026-02-20T00:00:00"/>
    <m/>
    <s v="Naveen S"/>
    <s v="Transportation charges (Sealant received from UrJa Sealant)"/>
    <n v="2255"/>
  </r>
  <r>
    <n v="413"/>
    <x v="10"/>
    <d v="2026-02-20T00:00:00"/>
    <m/>
    <s v="Deepak K.V"/>
    <s v="Petrol expenses - February 2026"/>
    <n v="6815"/>
  </r>
  <r>
    <n v="414"/>
    <x v="10"/>
    <d v="2026-02-21T00:00:00"/>
    <m/>
    <s v="Mani N"/>
    <s v="Travel expenses (Mr.Buddhadeb Barik visited from Chennai to malur Factory)"/>
    <n v="1880"/>
  </r>
  <r>
    <n v="415"/>
    <x v="10"/>
    <d v="2026-02-23T00:00:00"/>
    <m/>
    <s v="Naveen S"/>
    <s v="Weighment charges (Aluminium Coil and Gi Coil received)"/>
    <n v="500"/>
  </r>
  <r>
    <n v="416"/>
    <x v="10"/>
    <d v="2026-02-24T00:00:00"/>
    <m/>
    <s v="Deepak K.V"/>
    <s v="Petrol expenses - February 2026"/>
    <n v="3838"/>
  </r>
  <r>
    <n v="417"/>
    <x v="10"/>
    <d v="2026-02-24T00:00:00"/>
    <m/>
    <s v="Deepak K.V"/>
    <s v="Food expenses - Umesh and Abhinav"/>
    <n v="2744"/>
  </r>
  <r>
    <n v="418"/>
    <x v="10"/>
    <d v="2026-02-24T00:00:00"/>
    <m/>
    <s v="Deepak K.V"/>
    <s v="Petrol charges  "/>
    <n v="1356"/>
  </r>
  <r>
    <n v="419"/>
    <x v="10"/>
    <d v="2026-02-25T00:00:00"/>
    <m/>
    <s v="Naveen S"/>
    <s v="Food and refreshment charges (Mr. Prakash and Naveen visited factory on 24-02-2026 &amp; 25-02-2026)"/>
    <n v="300"/>
  </r>
  <r>
    <n v="420"/>
    <x v="10"/>
    <d v="2026-02-25T00:00:00"/>
    <m/>
    <s v="Naveen S"/>
    <s v="Porter charges (0-ring received from SBS &amp; Value received from AVK Industrial)"/>
    <n v="1005"/>
  </r>
  <r>
    <n v="421"/>
    <x v="10"/>
    <d v="2026-02-26T00:00:00"/>
    <m/>
    <s v="Naveen S"/>
    <s v="Porter charges (Material received from Sri Sumukha Industries) 20/00/ 18.55 Long strip"/>
    <n v="2040"/>
  </r>
  <r>
    <n v="422"/>
    <x v="10"/>
    <d v="2026-02-27T00:00:00"/>
    <m/>
    <s v="Naveen S"/>
    <s v="Weekly Pooja material purchased (60 Sweets) 27-02-2026)"/>
    <n v="700"/>
  </r>
  <r>
    <n v="423"/>
    <x v="10"/>
    <d v="2026-02-28T00:00:00"/>
    <m/>
    <s v="Mani N"/>
    <s v="Food Expenses (Sunday Overtime Work - 3 Workers) 01-02-2026 and 15-02-2026"/>
    <n v="400"/>
  </r>
  <r>
    <n v="424"/>
    <x v="11"/>
    <d v="2026-03-02T00:00:00"/>
    <m/>
    <s v="Naveen S"/>
    <s v="House Keeping material purchased"/>
    <n v="3205"/>
  </r>
  <r>
    <n v="425"/>
    <x v="11"/>
    <d v="2026-03-02T00:00:00"/>
    <m/>
    <s v="Naveen S"/>
    <s v="Stationary material purchased (Bill attached)"/>
    <n v="1180"/>
  </r>
  <r>
    <n v="426"/>
    <x v="11"/>
    <d v="2026-03-06T00:00:00"/>
    <m/>
    <s v="Naveen S"/>
    <s v="Weekly pooja material purchased (60 Sweets) 06-03-2026 Friday"/>
    <n v="700"/>
  </r>
  <r>
    <n v="427"/>
    <x v="11"/>
    <d v="2026-03-10T00:00:00"/>
    <m/>
    <s v="Naveen S"/>
    <s v="Loading and Unloading charges for the month of Mar-2026"/>
    <n v="4000"/>
  </r>
  <r>
    <n v="428"/>
    <x v="11"/>
    <d v="2026-03-10T00:00:00"/>
    <m/>
    <s v="Naveen S"/>
    <s v="Monthly flower payment (11-02-2026 to 10-03-2026)"/>
    <n v="550"/>
  </r>
  <r>
    <n v="429"/>
    <x v="11"/>
    <d v="2026-03-11T00:00:00"/>
    <m/>
    <s v="Naveen S"/>
    <s v="Internet charges for the month of Mar-2026"/>
    <n v="3300"/>
  </r>
  <r>
    <n v="430"/>
    <x v="11"/>
    <d v="2026-03-12T00:00:00"/>
    <m/>
    <s v="Naveen S"/>
    <s v="Wire rope for Duct Lfter"/>
    <n v="1650"/>
  </r>
  <r>
    <n v="431"/>
    <x v="11"/>
    <d v="2026-03-13T00:00:00"/>
    <m/>
    <s v="Naveen S"/>
    <s v="Weighment charges (Coil received from Meenakshi Steel)"/>
    <n v="360"/>
  </r>
  <r>
    <n v="432"/>
    <x v="11"/>
    <d v="2026-03-13T00:00:00"/>
    <m/>
    <s v="Naveen S"/>
    <s v="Weekly Pooja material purchased (60 Sweets) 13-03-2026 Friday"/>
    <n v="700"/>
  </r>
  <r>
    <n v="433"/>
    <x v="11"/>
    <d v="2026-03-14T00:00:00"/>
    <m/>
    <s v="Naveen S"/>
    <s v="Internet service charges (Installed friber and Media converter)"/>
    <n v="5000"/>
  </r>
  <r>
    <n v="434"/>
    <x v="11"/>
    <d v="2026-03-14T00:00:00"/>
    <m/>
    <s v="Naveen S"/>
    <s v="First Aid Kit and Medicine purchased"/>
    <n v="1610"/>
  </r>
  <r>
    <n v="435"/>
    <x v="11"/>
    <d v="2026-03-17T00:00:00"/>
    <m/>
    <s v="Naveen S"/>
    <s v="Travel convenience (Naveen visited KNND Office 11-03-2026 and 16-03-2026)"/>
    <n v="1000"/>
  </r>
  <r>
    <n v="436"/>
    <x v="11"/>
    <d v="2026-03-17T00:00:00"/>
    <m/>
    <s v="Naveen S"/>
    <s v="Food charges (Mr.Naveen S.M Umesh and Abhinav)"/>
    <n v="450"/>
  </r>
  <r>
    <n v="437"/>
    <x v="11"/>
    <d v="2026-03-17T00:00:00"/>
    <m/>
    <s v="Naveen S"/>
    <s v="Porter charges (Electrical Panel from Hystra &amp; San---- Indstries)"/>
    <n v="2100"/>
  </r>
  <r>
    <n v="438"/>
    <x v="11"/>
    <d v="2026-03-18T00:00:00"/>
    <m/>
    <s v="Naveen S"/>
    <s v="Weighment charges (20g Coil received from JR &amp; Co)"/>
    <n v="100"/>
  </r>
  <r>
    <n v="439"/>
    <x v="11"/>
    <d v="2026-03-21T00:00:00"/>
    <m/>
    <s v="Naveen S"/>
    <s v="Weekly Pooja expenses (Sweets -50 Nos ) 21-03-2026 Saturday"/>
    <n v="700"/>
  </r>
  <r>
    <n v="440"/>
    <x v="11"/>
    <d v="2026-03-22T00:00:00"/>
    <m/>
    <s v="Naveen S"/>
    <s v="Food expenses (Sunday Overtime Work - 17 Workers morning Breakfast)"/>
    <n v="1020"/>
  </r>
  <r>
    <n v="441"/>
    <x v="11"/>
    <d v="2026-03-25T00:00:00"/>
    <m/>
    <s v="Nanjundappa "/>
    <s v="24 Hrs Timer for Street Light Purchased"/>
    <n v="850"/>
  </r>
  <r>
    <n v="442"/>
    <x v="11"/>
    <d v="2026-03-25T00:00:00"/>
    <m/>
    <s v="Naveen S"/>
    <s v="Food charges (Abhinav and Naveen SM 21-03-2026, 23,24, &amp; 25th )"/>
    <n v="300"/>
  </r>
  <r>
    <n v="443"/>
    <x v="11"/>
    <d v="2026-03-25T00:00:00"/>
    <m/>
    <s v="Naveen S"/>
    <s v="Porter charges (Corner Die sent to Tooling Ocean)"/>
    <n v="1721"/>
  </r>
  <r>
    <n v="444"/>
    <x v="11"/>
    <d v="2026-03-26T00:00:00"/>
    <m/>
    <s v="Naveen S"/>
    <s v="Food charges (Overtime work - Night Dinner for 6 Workers)"/>
    <n v="450"/>
  </r>
  <r>
    <n v="445"/>
    <x v="11"/>
    <d v="2026-03-26T00:00:00"/>
    <m/>
    <s v="Naveen S"/>
    <s v="Refreshment charges ((Sandeep Sir &amp; Team Visited Factory on 26-03-2026)"/>
    <n v="150"/>
  </r>
  <r>
    <n v="446"/>
    <x v="11"/>
    <d v="2026-03-27T00:00:00"/>
    <m/>
    <s v="Naveen S"/>
    <s v="Weekly Pooja expenses (Sri Ramanavami Special Pooja ) 27-03-2026"/>
    <n v="3350"/>
  </r>
  <r>
    <n v="447"/>
    <x v="11"/>
    <d v="2026-03-27T00:00:00"/>
    <m/>
    <s v="Naveen S"/>
    <s v="V-Guard Stabilizer for SAMSUNG Refrigerator"/>
    <n v="2650"/>
  </r>
  <r>
    <n v="448"/>
    <x v="11"/>
    <d v="2026-03-28T00:00:00"/>
    <m/>
    <s v="Naveen S"/>
    <s v="Refreshment charges (Butter Milk - 105 Nos &amp; Curd - 6 Ltr)"/>
    <n v="1386"/>
  </r>
  <r>
    <n v="449"/>
    <x v="11"/>
    <d v="2026-03-28T00:00:00"/>
    <m/>
    <s v="Naveen S"/>
    <s v="Food charges (Naveen SM, Deepak and Umesh visited Factory)"/>
    <n v="430"/>
  </r>
  <r>
    <n v="450"/>
    <x v="11"/>
    <d v="2026-03-29T00:00:00"/>
    <m/>
    <s v="Naveen S"/>
    <s v="Food charges (Sunday over time work - 27 Workers) 29-03-2026"/>
    <n v="1680"/>
  </r>
  <r>
    <n v="451"/>
    <x v="11"/>
    <d v="2026-03-29T00:00:00"/>
    <m/>
    <s v="Deepak K.V"/>
    <s v="Petrol expenses for the month of March 2026"/>
    <n v="6886"/>
  </r>
  <r>
    <n v="452"/>
    <x v="11"/>
    <d v="2026-03-30T00:00:00"/>
    <m/>
    <s v="Deepak K.V"/>
    <s v="Food expenses Abhinav, Umesh and KNND Team"/>
    <n v="5612"/>
  </r>
  <r>
    <n v="453"/>
    <x v="11"/>
    <d v="2026-03-30T00:00:00"/>
    <m/>
    <s v="Deepak K.V"/>
    <s v="Car repair charges"/>
    <n v="5200"/>
  </r>
  <r>
    <n v="454"/>
    <x v="11"/>
    <d v="2026-03-30T00:00:00"/>
    <m/>
    <s v="Deepak K.V"/>
    <s v="Petrol expenses for the month of March 2026"/>
    <n v="5043"/>
  </r>
  <r>
    <n v="455"/>
    <x v="11"/>
    <d v="2026-03-30T00:00:00"/>
    <m/>
    <s v="Deepak K.V"/>
    <s v="Porter charges"/>
    <n v="521"/>
  </r>
  <r>
    <n v="456"/>
    <x v="11"/>
    <d v="2026-03-30T00:00:00"/>
    <m/>
    <s v="Naveen S"/>
    <s v="Refreshment charges (Butter Milk - 50 Nos)"/>
    <n v="500"/>
  </r>
  <r>
    <n v="457"/>
    <x v="11"/>
    <d v="2026-03-31T00:00:00"/>
    <m/>
    <s v="Naveen S"/>
    <s v="Refreshment charges (Butter Milk - 50 Nos)"/>
    <n v="500"/>
  </r>
  <r>
    <m/>
    <x v="12"/>
    <s v=" "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s v=""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3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  <r>
    <m/>
    <x v="1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A4D6B-0899-4ED2-9E8F-AD066D608E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rowHeaderCaption="Month">
  <location ref="B3:C16" firstHeaderRow="1" firstDataRow="1" firstDataCol="1"/>
  <pivotFields count="20">
    <pivotField axis="axisRow" showAll="0">
      <items count="17">
        <item x="0"/>
        <item x="1"/>
        <item h="1" x="13"/>
        <item x="2"/>
        <item x="3"/>
        <item x="4"/>
        <item x="5"/>
        <item x="6"/>
        <item x="7"/>
        <item x="8"/>
        <item x="9"/>
        <item h="1" x="12"/>
        <item x="10"/>
        <item x="11"/>
        <item h="1" m="1" x="14"/>
        <item h="1" m="1" x="15"/>
        <item t="default"/>
      </items>
    </pivotField>
    <pivotField showAll="0"/>
    <pivotField showAl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rowItems>
  <colItems count="1">
    <i/>
  </colItems>
  <dataFields count="1">
    <dataField name="Total  Invoice's Value" fld="19" baseField="0" baseItem="0" numFmtId="165"/>
  </dataFields>
  <formats count="14"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0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grandRow="1" axis="axisRow" fieldPosition="0"/>
    </format>
    <format dxfId="8">
      <pivotArea dataOnly="0" grandRow="1" axis="axisRow" fieldPosition="0"/>
    </format>
    <format dxfId="7">
      <pivotArea outline="0" collapsedLevelsAreSubtotals="1" fieldPosition="0"/>
    </format>
    <format dxfId="6">
      <pivotArea collapsedLevelsAreSubtotals="1" fieldPosition="0">
        <references count="1">
          <reference field="0" count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B1E30-2924-4445-A3FC-E33CF0C0C4B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rowHeaderCaption="Month">
  <location ref="E3:F16" firstHeaderRow="1" firstDataRow="1" firstDataCol="1"/>
  <pivotFields count="14">
    <pivotField axis="axisRow" showAll="0">
      <items count="16">
        <item x="0"/>
        <item x="1"/>
        <item h="1" x="9"/>
        <item h="1" x="13"/>
        <item x="2"/>
        <item x="3"/>
        <item x="4"/>
        <item x="5"/>
        <item x="6"/>
        <item x="7"/>
        <item x="8"/>
        <item x="10"/>
        <item x="11"/>
        <item x="12"/>
        <item h="1" m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Total  Invoice's Value" fld="12" baseField="0" baseItem="0" numFmtId="165"/>
  </dataFields>
  <formats count="15">
    <format dxfId="28">
      <pivotArea field="0" type="button" dataOnly="0" labelOnly="1" outline="0" axis="axisRow" fieldPosition="0"/>
    </format>
    <format dxfId="27">
      <pivotArea dataOnly="0" labelOnly="1" outline="0" axis="axisValues" fieldPosition="0"/>
    </format>
    <format dxfId="26">
      <pivotArea field="0" type="button" dataOnly="0" labelOnly="1" outline="0" axis="axisRow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2987F-0983-4323-A896-7040BC6DDFB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 ">
  <location ref="H3:I16" firstHeaderRow="1" firstDataRow="1" firstDataCol="1"/>
  <pivotFields count="7">
    <pivotField showAll="0"/>
    <pivotField axis="axisRow" showAll="0">
      <items count="17">
        <item x="0"/>
        <item x="1"/>
        <item x="2"/>
        <item x="3"/>
        <item m="1" x="15"/>
        <item x="4"/>
        <item x="5"/>
        <item x="6"/>
        <item x="7"/>
        <item h="1" x="14"/>
        <item x="8"/>
        <item x="9"/>
        <item x="10"/>
        <item x="11"/>
        <item h="1" x="13"/>
        <item h="1" x="1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Total  Voucher Value" fld="6" baseField="0" baseItem="0"/>
  </dataFields>
  <formats count="20">
    <format dxfId="48">
      <pivotArea field="1" type="button" dataOnly="0" labelOnly="1" outline="0" axis="axisRow" fieldPosition="0"/>
    </format>
    <format dxfId="47">
      <pivotArea dataOnly="0" labelOnly="1" outline="0" axis="axisValues" fieldPosition="0"/>
    </format>
    <format dxfId="46">
      <pivotArea field="1" type="button" dataOnly="0" labelOnly="1" outline="0" axis="axisRow" fieldPosition="0"/>
    </format>
    <format dxfId="45">
      <pivotArea dataOnly="0" labelOnly="1" outline="0" axis="axisValues" fieldPosition="0"/>
    </format>
    <format dxfId="44">
      <pivotArea dataOnly="0" grandRow="1" axis="axisRow" fieldPosition="0"/>
    </format>
    <format dxfId="43">
      <pivotArea dataOnly="0" grandRow="1" axis="axisRow" fieldPosition="0"/>
    </format>
    <format dxfId="42">
      <pivotArea grandRow="1" outline="0" collapsedLevelsAreSubtotals="1" fieldPosition="0"/>
    </format>
    <format dxfId="41">
      <pivotArea dataOnly="0" fieldPosition="0">
        <references count="1">
          <reference field="1" count="0"/>
        </references>
      </pivotArea>
    </format>
    <format dxfId="40">
      <pivotArea dataOnly="0" grandRow="1" axis="axisRow" fieldPosition="0"/>
    </format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F22"/>
  <sheetViews>
    <sheetView workbookViewId="0">
      <selection activeCell="B7" sqref="B7:F22"/>
    </sheetView>
  </sheetViews>
  <sheetFormatPr defaultRowHeight="15" x14ac:dyDescent="0.25"/>
  <cols>
    <col min="3" max="3" width="29.5703125" customWidth="1"/>
    <col min="4" max="4" width="17.5703125" customWidth="1"/>
    <col min="5" max="5" width="14.28515625" bestFit="1" customWidth="1"/>
  </cols>
  <sheetData>
    <row r="6" spans="2:6" ht="15.75" thickBot="1" x14ac:dyDescent="0.3"/>
    <row r="7" spans="2:6" ht="15.75" thickBot="1" x14ac:dyDescent="0.3">
      <c r="B7" s="149" t="s">
        <v>0</v>
      </c>
      <c r="C7" s="150"/>
      <c r="D7" s="150"/>
      <c r="E7" s="150"/>
      <c r="F7" s="151"/>
    </row>
    <row r="8" spans="2:6" ht="15.75" thickBot="1" x14ac:dyDescent="0.3">
      <c r="B8" s="1" t="s">
        <v>1</v>
      </c>
      <c r="C8" s="2" t="s">
        <v>2</v>
      </c>
      <c r="D8" s="1" t="s">
        <v>3</v>
      </c>
      <c r="E8" s="2" t="s">
        <v>4</v>
      </c>
      <c r="F8" s="1" t="s">
        <v>5</v>
      </c>
    </row>
    <row r="9" spans="2:6" x14ac:dyDescent="0.25">
      <c r="B9" s="3">
        <v>1</v>
      </c>
      <c r="C9" t="s">
        <v>6</v>
      </c>
      <c r="D9" s="4" t="s">
        <v>7</v>
      </c>
      <c r="E9" t="s">
        <v>8</v>
      </c>
      <c r="F9" s="4">
        <v>66080</v>
      </c>
    </row>
    <row r="10" spans="2:6" x14ac:dyDescent="0.25">
      <c r="B10" s="5">
        <v>2</v>
      </c>
      <c r="C10" t="s">
        <v>9</v>
      </c>
      <c r="D10" s="6" t="s">
        <v>10</v>
      </c>
      <c r="E10" t="s">
        <v>11</v>
      </c>
      <c r="F10" s="6">
        <v>139222</v>
      </c>
    </row>
    <row r="11" spans="2:6" x14ac:dyDescent="0.25">
      <c r="B11" s="5">
        <v>3</v>
      </c>
      <c r="C11" t="s">
        <v>12</v>
      </c>
      <c r="D11" s="6" t="s">
        <v>13</v>
      </c>
      <c r="E11" t="s">
        <v>14</v>
      </c>
      <c r="F11" s="6">
        <v>345744</v>
      </c>
    </row>
    <row r="12" spans="2:6" x14ac:dyDescent="0.25">
      <c r="B12" s="5">
        <v>4</v>
      </c>
      <c r="C12" t="s">
        <v>15</v>
      </c>
      <c r="D12" s="6" t="s">
        <v>16</v>
      </c>
      <c r="E12" t="s">
        <v>17</v>
      </c>
      <c r="F12" s="6">
        <v>2655</v>
      </c>
    </row>
    <row r="13" spans="2:6" x14ac:dyDescent="0.25">
      <c r="B13" s="5">
        <v>5</v>
      </c>
      <c r="C13" t="s">
        <v>18</v>
      </c>
      <c r="D13" s="6" t="s">
        <v>19</v>
      </c>
      <c r="E13" t="s">
        <v>20</v>
      </c>
      <c r="F13" s="6">
        <v>2561</v>
      </c>
    </row>
    <row r="14" spans="2:6" x14ac:dyDescent="0.25">
      <c r="B14" s="5">
        <v>6</v>
      </c>
      <c r="C14" t="s">
        <v>12</v>
      </c>
      <c r="D14" s="6" t="s">
        <v>21</v>
      </c>
      <c r="E14" t="s">
        <v>22</v>
      </c>
      <c r="F14" s="6">
        <v>350343</v>
      </c>
    </row>
    <row r="15" spans="2:6" ht="15.75" thickBot="1" x14ac:dyDescent="0.3">
      <c r="B15" s="5">
        <v>7</v>
      </c>
      <c r="C15" t="s">
        <v>23</v>
      </c>
      <c r="D15" s="6" t="s">
        <v>24</v>
      </c>
      <c r="E15" t="s">
        <v>25</v>
      </c>
      <c r="F15" s="7">
        <v>22300</v>
      </c>
    </row>
    <row r="16" spans="2:6" ht="15.75" thickBot="1" x14ac:dyDescent="0.3">
      <c r="B16" s="149" t="s">
        <v>26</v>
      </c>
      <c r="C16" s="150"/>
      <c r="D16" s="150"/>
      <c r="E16" s="151"/>
      <c r="F16" s="8">
        <f>SUM(F9:F15)</f>
        <v>928905</v>
      </c>
    </row>
    <row r="17" spans="2:6" ht="15.75" thickBot="1" x14ac:dyDescent="0.3"/>
    <row r="18" spans="2:6" ht="15.75" thickBot="1" x14ac:dyDescent="0.3">
      <c r="B18" s="149" t="s">
        <v>27</v>
      </c>
      <c r="C18" s="150"/>
      <c r="D18" s="150"/>
      <c r="E18" s="150"/>
      <c r="F18" s="151"/>
    </row>
    <row r="19" spans="2:6" ht="15.75" thickBot="1" x14ac:dyDescent="0.3">
      <c r="B19" s="9" t="s">
        <v>1</v>
      </c>
      <c r="C19" s="1" t="s">
        <v>2</v>
      </c>
      <c r="D19" s="1" t="s">
        <v>3</v>
      </c>
      <c r="E19" s="2" t="s">
        <v>28</v>
      </c>
      <c r="F19" s="1" t="s">
        <v>5</v>
      </c>
    </row>
    <row r="20" spans="2:6" x14ac:dyDescent="0.25">
      <c r="B20" s="3">
        <v>1</v>
      </c>
      <c r="C20" t="s">
        <v>29</v>
      </c>
      <c r="D20" s="4" t="s">
        <v>30</v>
      </c>
      <c r="E20" t="s">
        <v>31</v>
      </c>
      <c r="F20" s="4">
        <v>89953</v>
      </c>
    </row>
    <row r="21" spans="2:6" ht="15.75" thickBot="1" x14ac:dyDescent="0.3">
      <c r="B21" s="10">
        <v>2</v>
      </c>
      <c r="C21" t="s">
        <v>32</v>
      </c>
      <c r="D21" s="7" t="s">
        <v>33</v>
      </c>
      <c r="E21" t="s">
        <v>34</v>
      </c>
      <c r="F21" s="7">
        <v>773</v>
      </c>
    </row>
    <row r="22" spans="2:6" ht="15.75" thickBot="1" x14ac:dyDescent="0.3">
      <c r="B22" s="149" t="s">
        <v>26</v>
      </c>
      <c r="C22" s="150"/>
      <c r="D22" s="150"/>
      <c r="E22" s="151"/>
      <c r="F22" s="8">
        <f>SUM(F20:F21)</f>
        <v>90726</v>
      </c>
    </row>
  </sheetData>
  <mergeCells count="4">
    <mergeCell ref="B7:F7"/>
    <mergeCell ref="B16:E16"/>
    <mergeCell ref="B18:F18"/>
    <mergeCell ref="B22:E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6"/>
  <sheetViews>
    <sheetView showGridLines="0" tabSelected="1" zoomScale="120" zoomScaleNormal="120" workbookViewId="0">
      <selection activeCell="I8" sqref="I8"/>
    </sheetView>
  </sheetViews>
  <sheetFormatPr defaultRowHeight="15" x14ac:dyDescent="0.25"/>
  <cols>
    <col min="2" max="2" width="9.42578125" bestFit="1" customWidth="1"/>
    <col min="3" max="3" width="16.140625" bestFit="1" customWidth="1"/>
    <col min="5" max="5" width="9.42578125" bestFit="1" customWidth="1"/>
    <col min="6" max="6" width="16.140625" bestFit="1" customWidth="1"/>
    <col min="8" max="8" width="10.5703125" bestFit="1" customWidth="1"/>
    <col min="9" max="9" width="17.85546875" bestFit="1" customWidth="1"/>
    <col min="10" max="10" width="22" bestFit="1" customWidth="1"/>
    <col min="11" max="11" width="3.42578125" bestFit="1" customWidth="1"/>
    <col min="12" max="13" width="4.42578125" bestFit="1" customWidth="1"/>
    <col min="14" max="15" width="5.5703125" bestFit="1" customWidth="1"/>
    <col min="16" max="20" width="4.42578125" bestFit="1" customWidth="1"/>
    <col min="21" max="21" width="5.5703125" bestFit="1" customWidth="1"/>
    <col min="22" max="23" width="4.42578125" bestFit="1" customWidth="1"/>
    <col min="24" max="24" width="5.5703125" bestFit="1" customWidth="1"/>
    <col min="25" max="25" width="4.42578125" bestFit="1" customWidth="1"/>
    <col min="26" max="26" width="5.5703125" bestFit="1" customWidth="1"/>
    <col min="27" max="31" width="4.42578125" bestFit="1" customWidth="1"/>
    <col min="32" max="33" width="5.5703125" bestFit="1" customWidth="1"/>
    <col min="34" max="34" width="4.42578125" bestFit="1" customWidth="1"/>
    <col min="35" max="35" width="5.5703125" bestFit="1" customWidth="1"/>
    <col min="36" max="39" width="4.42578125" bestFit="1" customWidth="1"/>
    <col min="40" max="40" width="6.7109375" bestFit="1" customWidth="1"/>
    <col min="41" max="41" width="4.42578125" bestFit="1" customWidth="1"/>
    <col min="42" max="42" width="5.5703125" bestFit="1" customWidth="1"/>
    <col min="43" max="46" width="4.42578125" bestFit="1" customWidth="1"/>
    <col min="47" max="47" width="5.5703125" bestFit="1" customWidth="1"/>
    <col min="48" max="49" width="4.42578125" bestFit="1" customWidth="1"/>
    <col min="50" max="75" width="5.5703125" bestFit="1" customWidth="1"/>
    <col min="76" max="76" width="6.7109375" bestFit="1" customWidth="1"/>
    <col min="77" max="117" width="5.5703125" bestFit="1" customWidth="1"/>
    <col min="118" max="118" width="9" bestFit="1" customWidth="1"/>
    <col min="119" max="120" width="5.5703125" bestFit="1" customWidth="1"/>
    <col min="121" max="121" width="6.7109375" bestFit="1" customWidth="1"/>
    <col min="122" max="134" width="5.5703125" bestFit="1" customWidth="1"/>
    <col min="135" max="135" width="6.7109375" bestFit="1" customWidth="1"/>
    <col min="136" max="162" width="5.5703125" bestFit="1" customWidth="1"/>
    <col min="163" max="163" width="6.7109375" bestFit="1" customWidth="1"/>
    <col min="164" max="175" width="5.5703125" bestFit="1" customWidth="1"/>
    <col min="176" max="181" width="6.7109375" bestFit="1" customWidth="1"/>
    <col min="182" max="182" width="7.28515625" bestFit="1" customWidth="1"/>
    <col min="183" max="183" width="11.28515625" bestFit="1" customWidth="1"/>
  </cols>
  <sheetData>
    <row r="1" spans="2:9" x14ac:dyDescent="0.25">
      <c r="B1" s="152" t="s">
        <v>57</v>
      </c>
      <c r="C1" s="152"/>
      <c r="D1" s="56"/>
      <c r="E1" s="153" t="s">
        <v>58</v>
      </c>
      <c r="F1" s="153"/>
      <c r="H1" s="154" t="s">
        <v>71</v>
      </c>
      <c r="I1" s="154"/>
    </row>
    <row r="2" spans="2:9" hidden="1" x14ac:dyDescent="0.25">
      <c r="B2" s="56"/>
      <c r="C2" s="56"/>
      <c r="D2" s="56"/>
      <c r="E2" s="56"/>
      <c r="F2" s="56"/>
      <c r="H2" s="90"/>
      <c r="I2" s="90"/>
    </row>
    <row r="3" spans="2:9" x14ac:dyDescent="0.25">
      <c r="B3" s="57" t="s">
        <v>56</v>
      </c>
      <c r="C3" s="57" t="s">
        <v>59</v>
      </c>
      <c r="D3" s="56"/>
      <c r="E3" s="57" t="s">
        <v>56</v>
      </c>
      <c r="F3" s="57" t="s">
        <v>59</v>
      </c>
      <c r="H3" s="91" t="s">
        <v>69</v>
      </c>
      <c r="I3" s="91" t="s">
        <v>70</v>
      </c>
    </row>
    <row r="4" spans="2:9" x14ac:dyDescent="0.25">
      <c r="B4" s="58" t="s">
        <v>54</v>
      </c>
      <c r="C4" s="59">
        <v>18670111.797866803</v>
      </c>
      <c r="D4" s="56"/>
      <c r="E4" s="58" t="s">
        <v>54</v>
      </c>
      <c r="F4" s="59">
        <v>1664449.0978000001</v>
      </c>
      <c r="H4" s="89" t="s">
        <v>54</v>
      </c>
      <c r="I4" s="94">
        <v>88386</v>
      </c>
    </row>
    <row r="5" spans="2:9" x14ac:dyDescent="0.25">
      <c r="B5" s="58" t="s">
        <v>352</v>
      </c>
      <c r="C5" s="59">
        <v>12351462.080399999</v>
      </c>
      <c r="D5" s="56"/>
      <c r="E5" s="58" t="s">
        <v>352</v>
      </c>
      <c r="F5" s="59">
        <v>4621495.3562000003</v>
      </c>
      <c r="H5" s="89" t="s">
        <v>352</v>
      </c>
      <c r="I5" s="94">
        <v>63088</v>
      </c>
    </row>
    <row r="6" spans="2:9" x14ac:dyDescent="0.25">
      <c r="B6" s="58" t="s">
        <v>648</v>
      </c>
      <c r="C6" s="59">
        <v>12452813.175900001</v>
      </c>
      <c r="D6" s="56"/>
      <c r="E6" s="58" t="s">
        <v>648</v>
      </c>
      <c r="F6" s="59">
        <v>3965058.6349999998</v>
      </c>
      <c r="H6" s="89" t="s">
        <v>648</v>
      </c>
      <c r="I6" s="94">
        <v>119575</v>
      </c>
    </row>
    <row r="7" spans="2:9" x14ac:dyDescent="0.25">
      <c r="B7" s="58" t="s">
        <v>875</v>
      </c>
      <c r="C7" s="59">
        <v>20778988.315700002</v>
      </c>
      <c r="D7" s="56"/>
      <c r="E7" s="58" t="s">
        <v>875</v>
      </c>
      <c r="F7" s="59">
        <v>2319223.1467999998</v>
      </c>
      <c r="H7" s="89" t="s">
        <v>875</v>
      </c>
      <c r="I7" s="94">
        <v>77638</v>
      </c>
    </row>
    <row r="8" spans="2:9" x14ac:dyDescent="0.25">
      <c r="B8" s="58" t="s">
        <v>1226</v>
      </c>
      <c r="C8" s="59">
        <v>21357695.899600003</v>
      </c>
      <c r="D8" s="56"/>
      <c r="E8" s="58" t="s">
        <v>1226</v>
      </c>
      <c r="F8" s="59">
        <v>7044145.2581999991</v>
      </c>
      <c r="H8" s="89" t="s">
        <v>1226</v>
      </c>
      <c r="I8" s="94">
        <v>66806</v>
      </c>
    </row>
    <row r="9" spans="2:9" x14ac:dyDescent="0.25">
      <c r="B9" s="58" t="s">
        <v>1488</v>
      </c>
      <c r="C9" s="59">
        <v>12101648.865400001</v>
      </c>
      <c r="E9" s="58" t="s">
        <v>1488</v>
      </c>
      <c r="F9" s="59">
        <v>4016551.8036000007</v>
      </c>
      <c r="H9" s="89" t="s">
        <v>1488</v>
      </c>
      <c r="I9" s="94">
        <v>82608</v>
      </c>
    </row>
    <row r="10" spans="2:9" x14ac:dyDescent="0.25">
      <c r="B10" s="58" t="s">
        <v>1747</v>
      </c>
      <c r="C10" s="59">
        <v>12656922.027200002</v>
      </c>
      <c r="E10" s="58" t="s">
        <v>1747</v>
      </c>
      <c r="F10" s="59">
        <v>4547562.3884000005</v>
      </c>
      <c r="H10" s="89" t="s">
        <v>1747</v>
      </c>
      <c r="I10" s="94">
        <v>83328</v>
      </c>
    </row>
    <row r="11" spans="2:9" x14ac:dyDescent="0.25">
      <c r="B11" s="58" t="s">
        <v>2051</v>
      </c>
      <c r="C11" s="59">
        <v>4318120.8719999995</v>
      </c>
      <c r="E11" s="58" t="s">
        <v>2051</v>
      </c>
      <c r="F11" s="59">
        <v>2971884.8424000004</v>
      </c>
      <c r="H11" s="89" t="s">
        <v>2051</v>
      </c>
      <c r="I11" s="94">
        <v>70854</v>
      </c>
    </row>
    <row r="12" spans="2:9" x14ac:dyDescent="0.25">
      <c r="B12" s="58" t="s">
        <v>2249</v>
      </c>
      <c r="C12" s="59">
        <v>8949634.8531999979</v>
      </c>
      <c r="E12" s="58" t="s">
        <v>2249</v>
      </c>
      <c r="F12" s="59">
        <v>2470660.2193999998</v>
      </c>
      <c r="H12" s="89" t="s">
        <v>2249</v>
      </c>
      <c r="I12" s="94">
        <v>65444</v>
      </c>
    </row>
    <row r="13" spans="2:9" x14ac:dyDescent="0.25">
      <c r="B13" s="58" t="s">
        <v>2496</v>
      </c>
      <c r="C13" s="59">
        <v>7828677.6410000008</v>
      </c>
      <c r="E13" s="58" t="s">
        <v>2496</v>
      </c>
      <c r="F13" s="59">
        <v>3109588.8356000013</v>
      </c>
      <c r="H13" s="89" t="s">
        <v>2496</v>
      </c>
      <c r="I13" s="94">
        <v>58491</v>
      </c>
    </row>
    <row r="14" spans="2:9" x14ac:dyDescent="0.25">
      <c r="B14" s="58" t="s">
        <v>2702</v>
      </c>
      <c r="C14" s="59">
        <v>19170085.691519998</v>
      </c>
      <c r="E14" s="58" t="s">
        <v>2702</v>
      </c>
      <c r="F14" s="59">
        <v>2879139.1809000005</v>
      </c>
      <c r="H14" s="89" t="s">
        <v>2702</v>
      </c>
      <c r="I14" s="94">
        <v>56816</v>
      </c>
    </row>
    <row r="15" spans="2:9" x14ac:dyDescent="0.25">
      <c r="B15" s="58" t="s">
        <v>2908</v>
      </c>
      <c r="C15" s="59">
        <v>13467190.9288</v>
      </c>
      <c r="E15" s="58" t="s">
        <v>2908</v>
      </c>
      <c r="F15" s="59">
        <v>3772346.4185000006</v>
      </c>
      <c r="H15" s="89" t="s">
        <v>2908</v>
      </c>
      <c r="I15" s="94">
        <v>64854</v>
      </c>
    </row>
    <row r="16" spans="2:9" x14ac:dyDescent="0.25">
      <c r="B16" s="60" t="s">
        <v>55</v>
      </c>
      <c r="C16" s="61">
        <v>164103352.14858681</v>
      </c>
      <c r="E16" s="60" t="s">
        <v>55</v>
      </c>
      <c r="F16" s="61">
        <v>43382105.182800002</v>
      </c>
      <c r="H16" s="92" t="s">
        <v>55</v>
      </c>
      <c r="I16" s="93">
        <v>897888</v>
      </c>
    </row>
  </sheetData>
  <mergeCells count="3">
    <mergeCell ref="B1:C1"/>
    <mergeCell ref="E1:F1"/>
    <mergeCell ref="H1:I1"/>
  </mergeCell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32"/>
  <sheetViews>
    <sheetView showGridLines="0" zoomScaleNormal="100" workbookViewId="0">
      <pane ySplit="3" topLeftCell="A647" activePane="bottomLeft" state="frozen"/>
      <selection pane="bottomLeft" activeCell="P673" sqref="P673"/>
    </sheetView>
  </sheetViews>
  <sheetFormatPr defaultRowHeight="17.100000000000001" customHeight="1" x14ac:dyDescent="0.25"/>
  <cols>
    <col min="1" max="1" width="10.42578125" bestFit="1" customWidth="1"/>
    <col min="2" max="2" width="12.28515625" customWidth="1"/>
    <col min="3" max="3" width="12.28515625" style="22" customWidth="1"/>
    <col min="4" max="4" width="12.7109375" customWidth="1"/>
    <col min="5" max="5" width="31.42578125" style="106" bestFit="1" customWidth="1"/>
    <col min="6" max="6" width="34" style="22" bestFit="1" customWidth="1"/>
    <col min="7" max="7" width="44.7109375" style="22" bestFit="1" customWidth="1"/>
    <col min="8" max="8" width="83.140625" style="106" bestFit="1" customWidth="1"/>
    <col min="9" max="9" width="15.85546875" style="159" bestFit="1" customWidth="1"/>
    <col min="10" max="10" width="14.28515625" style="22" bestFit="1" customWidth="1"/>
    <col min="11" max="11" width="12.140625" style="22" bestFit="1" customWidth="1"/>
    <col min="12" max="12" width="15.28515625" style="22" customWidth="1"/>
    <col min="13" max="13" width="10.5703125" style="22" customWidth="1"/>
    <col min="14" max="14" width="13.140625" style="22" bestFit="1" customWidth="1"/>
    <col min="15" max="15" width="17.28515625" style="113" bestFit="1" customWidth="1"/>
    <col min="16" max="16" width="8.85546875" style="22" customWidth="1"/>
    <col min="17" max="17" width="12.140625" style="117" bestFit="1" customWidth="1"/>
    <col min="18" max="18" width="13.140625" style="113" bestFit="1" customWidth="1"/>
    <col min="19" max="19" width="12.140625" style="113" bestFit="1" customWidth="1"/>
    <col min="20" max="20" width="12.140625" style="22" customWidth="1"/>
    <col min="21" max="21" width="14.85546875" style="113" bestFit="1" customWidth="1"/>
  </cols>
  <sheetData>
    <row r="1" spans="1:21" ht="23.25" x14ac:dyDescent="0.35">
      <c r="A1" s="146" t="s">
        <v>75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8"/>
    </row>
    <row r="2" spans="1:21" ht="18.75" x14ac:dyDescent="0.3">
      <c r="B2" s="32"/>
      <c r="C2" s="98"/>
      <c r="D2" s="32"/>
      <c r="E2" s="103"/>
      <c r="F2" s="98"/>
      <c r="G2" s="98"/>
      <c r="H2" s="103"/>
      <c r="I2" s="103"/>
      <c r="J2" s="98"/>
      <c r="K2" s="98"/>
      <c r="L2" s="109">
        <f t="shared" ref="L2:S2" si="0">SUM(L4:L1018)</f>
        <v>137152702.08626002</v>
      </c>
      <c r="M2" s="109">
        <f t="shared" si="0"/>
        <v>1916108.76</v>
      </c>
      <c r="N2" s="109">
        <f t="shared" si="0"/>
        <v>12884.5</v>
      </c>
      <c r="O2" s="110">
        <f t="shared" si="0"/>
        <v>139081695.34626001</v>
      </c>
      <c r="P2" s="109">
        <f t="shared" si="0"/>
        <v>116.78000000000188</v>
      </c>
      <c r="Q2" s="110">
        <f t="shared" si="0"/>
        <v>3491138.4246000005</v>
      </c>
      <c r="R2" s="110">
        <f t="shared" si="0"/>
        <v>10765924.788863402</v>
      </c>
      <c r="S2" s="110">
        <f t="shared" si="0"/>
        <v>10765924.788863402</v>
      </c>
      <c r="T2" s="109"/>
      <c r="U2" s="110">
        <f>SUM(U4:U1018)</f>
        <v>164103352.14858675</v>
      </c>
    </row>
    <row r="3" spans="1:21" s="14" customFormat="1" ht="31.5" x14ac:dyDescent="0.25">
      <c r="A3" s="18" t="s">
        <v>50</v>
      </c>
      <c r="B3" s="99" t="s">
        <v>51</v>
      </c>
      <c r="C3" s="43" t="s">
        <v>52</v>
      </c>
      <c r="D3" s="100" t="s">
        <v>53</v>
      </c>
      <c r="E3" s="104" t="s">
        <v>3</v>
      </c>
      <c r="F3" s="30" t="s">
        <v>61</v>
      </c>
      <c r="G3" s="30" t="s">
        <v>2</v>
      </c>
      <c r="H3" s="104" t="s">
        <v>37</v>
      </c>
      <c r="I3" s="104" t="s">
        <v>73</v>
      </c>
      <c r="J3" s="30" t="s">
        <v>63</v>
      </c>
      <c r="K3" s="30" t="s">
        <v>62</v>
      </c>
      <c r="L3" s="30" t="s">
        <v>44</v>
      </c>
      <c r="M3" s="30" t="s">
        <v>38</v>
      </c>
      <c r="N3" s="30" t="s">
        <v>43</v>
      </c>
      <c r="O3" s="111" t="s">
        <v>39</v>
      </c>
      <c r="P3" s="30" t="s">
        <v>45</v>
      </c>
      <c r="Q3" s="116" t="s">
        <v>40</v>
      </c>
      <c r="R3" s="111" t="s">
        <v>41</v>
      </c>
      <c r="S3" s="111" t="s">
        <v>42</v>
      </c>
      <c r="T3" s="30" t="s">
        <v>65</v>
      </c>
      <c r="U3" s="111" t="s">
        <v>48</v>
      </c>
    </row>
    <row r="4" spans="1:21" ht="17.100000000000001" customHeight="1" x14ac:dyDescent="0.25">
      <c r="A4" s="20">
        <f>IF(C4="","",COUNTA($C$4:C4))</f>
        <v>1</v>
      </c>
      <c r="B4" s="20" t="str">
        <f t="shared" ref="B4" si="1">IF(C4="","",TEXT(C4,"mmmm"))</f>
        <v>April</v>
      </c>
      <c r="C4" s="45">
        <v>45749</v>
      </c>
      <c r="D4" s="31" t="s">
        <v>78</v>
      </c>
      <c r="E4" s="105" t="s">
        <v>99</v>
      </c>
      <c r="F4" s="26"/>
      <c r="G4" s="157" t="s">
        <v>100</v>
      </c>
      <c r="H4" s="106" t="s">
        <v>101</v>
      </c>
      <c r="J4" s="22">
        <v>1</v>
      </c>
      <c r="K4" s="64">
        <v>880.52</v>
      </c>
      <c r="L4" s="23">
        <f t="shared" ref="L4:L5" si="2">J4*K4</f>
        <v>880.52</v>
      </c>
      <c r="M4" s="23">
        <v>0</v>
      </c>
      <c r="N4" s="23">
        <v>0</v>
      </c>
      <c r="O4" s="112">
        <f t="shared" ref="O4:O5" si="3">L4+M4+N4</f>
        <v>880.52</v>
      </c>
      <c r="P4" s="33">
        <v>0.18</v>
      </c>
      <c r="Q4" s="115">
        <v>0</v>
      </c>
      <c r="R4" s="112">
        <f t="shared" ref="R4" si="4">O4*9/100</f>
        <v>79.246800000000007</v>
      </c>
      <c r="S4" s="112">
        <f t="shared" ref="S4" si="5">O4*9/100</f>
        <v>79.246800000000007</v>
      </c>
      <c r="T4" s="23">
        <v>0</v>
      </c>
      <c r="U4" s="112">
        <f t="shared" ref="U4:U5" si="6">O4+R4+S4</f>
        <v>1039.0136</v>
      </c>
    </row>
    <row r="5" spans="1:21" ht="17.100000000000001" customHeight="1" x14ac:dyDescent="0.25">
      <c r="A5" s="20">
        <f>IF(C5="","",COUNTA($C$4:C5))</f>
        <v>2</v>
      </c>
      <c r="B5" s="20" t="str">
        <f t="shared" ref="B5" si="7">IF(C5="","",TEXT(C5,"mmmm"))</f>
        <v>April</v>
      </c>
      <c r="C5" s="29">
        <v>45754</v>
      </c>
      <c r="D5" s="31" t="s">
        <v>79</v>
      </c>
      <c r="E5" s="106" t="s">
        <v>80</v>
      </c>
      <c r="F5" s="63"/>
      <c r="G5" s="158" t="s">
        <v>60</v>
      </c>
      <c r="H5" s="106" t="s">
        <v>81</v>
      </c>
      <c r="J5" s="22">
        <v>1</v>
      </c>
      <c r="K5" s="22">
        <v>42000</v>
      </c>
      <c r="L5" s="23">
        <f t="shared" si="2"/>
        <v>42000</v>
      </c>
      <c r="M5" s="23">
        <v>0</v>
      </c>
      <c r="N5" s="23">
        <v>0</v>
      </c>
      <c r="O5" s="112">
        <f t="shared" si="3"/>
        <v>42000</v>
      </c>
      <c r="P5" s="33">
        <v>0.18</v>
      </c>
      <c r="Q5" s="115">
        <v>0</v>
      </c>
      <c r="R5" s="112">
        <f t="shared" ref="R5" si="8">O5*9/100</f>
        <v>3780</v>
      </c>
      <c r="S5" s="112">
        <f t="shared" ref="S5" si="9">O5*9/100</f>
        <v>3780</v>
      </c>
      <c r="T5" s="23">
        <v>0</v>
      </c>
      <c r="U5" s="112">
        <f t="shared" si="6"/>
        <v>49560</v>
      </c>
    </row>
    <row r="6" spans="1:21" ht="17.100000000000001" customHeight="1" x14ac:dyDescent="0.25">
      <c r="A6" s="20">
        <f>IF(C6="","",COUNTA($C$4:C6))</f>
        <v>3</v>
      </c>
      <c r="B6" s="20" t="str">
        <f t="shared" ref="B6" si="10">IF(C6="","",TEXT(C6,"mmmm"))</f>
        <v>September</v>
      </c>
      <c r="C6" s="45">
        <v>45904</v>
      </c>
      <c r="D6" s="31" t="s">
        <v>1464</v>
      </c>
      <c r="E6" s="105" t="s">
        <v>1592</v>
      </c>
      <c r="F6" s="26" t="s">
        <v>1465</v>
      </c>
      <c r="G6" s="157" t="s">
        <v>1466</v>
      </c>
      <c r="H6" s="106" t="s">
        <v>1468</v>
      </c>
      <c r="I6" s="160" t="s">
        <v>1477</v>
      </c>
      <c r="J6" s="22">
        <v>8550</v>
      </c>
      <c r="K6" s="22">
        <v>73.5</v>
      </c>
      <c r="L6" s="23">
        <f t="shared" ref="L6" si="11">J6*K6</f>
        <v>628425</v>
      </c>
      <c r="M6" s="23">
        <v>17000</v>
      </c>
      <c r="N6" s="23">
        <v>0</v>
      </c>
      <c r="O6" s="112">
        <f t="shared" ref="O6" si="12">L6+M6+N6</f>
        <v>645425</v>
      </c>
      <c r="P6" s="33">
        <v>0.18</v>
      </c>
      <c r="Q6" s="118">
        <v>0</v>
      </c>
      <c r="R6" s="112">
        <f>O6*9/100</f>
        <v>58088.25</v>
      </c>
      <c r="S6" s="112">
        <f>O6*9/100</f>
        <v>58088.25</v>
      </c>
      <c r="T6" s="23">
        <v>0</v>
      </c>
      <c r="U6" s="112">
        <f>O6+R6+S6</f>
        <v>761601.5</v>
      </c>
    </row>
    <row r="7" spans="1:21" ht="17.100000000000001" customHeight="1" x14ac:dyDescent="0.25">
      <c r="A7" s="20">
        <f>IF(C7="","",COUNTA($C$4:C7))</f>
        <v>4</v>
      </c>
      <c r="B7" s="20" t="str">
        <f t="shared" ref="B7:B38" si="13">IF(C7="","",TEXT(C7,"mmmm"))</f>
        <v>April</v>
      </c>
      <c r="C7" s="29">
        <v>45754</v>
      </c>
      <c r="D7" s="31" t="s">
        <v>86</v>
      </c>
      <c r="E7" s="105" t="s">
        <v>87</v>
      </c>
      <c r="F7" s="26" t="s">
        <v>72</v>
      </c>
      <c r="G7" s="158" t="s">
        <v>88</v>
      </c>
      <c r="H7" s="106" t="s">
        <v>89</v>
      </c>
      <c r="J7" s="22">
        <v>120</v>
      </c>
      <c r="K7" s="64">
        <v>297</v>
      </c>
      <c r="L7" s="23">
        <f t="shared" ref="L7:L39" si="14">J7*K7</f>
        <v>35640</v>
      </c>
      <c r="M7" s="23">
        <v>1500</v>
      </c>
      <c r="N7" s="23">
        <v>0</v>
      </c>
      <c r="O7" s="112">
        <f t="shared" ref="O7:O70" si="15">L7+M7+N7</f>
        <v>37140</v>
      </c>
      <c r="P7" s="33">
        <v>0.18</v>
      </c>
      <c r="Q7" s="119">
        <f t="shared" ref="Q7:Q12" si="16">O7*18/100</f>
        <v>6685.2</v>
      </c>
      <c r="R7" s="115">
        <v>0</v>
      </c>
      <c r="S7" s="115">
        <v>0</v>
      </c>
      <c r="T7" s="23">
        <v>0</v>
      </c>
      <c r="U7" s="112">
        <f t="shared" ref="U7:U12" si="17">O7+Q7</f>
        <v>43825.2</v>
      </c>
    </row>
    <row r="8" spans="1:21" ht="17.100000000000001" customHeight="1" x14ac:dyDescent="0.25">
      <c r="A8" s="20">
        <f>IF(C8="","",COUNTA($C$4:C8))</f>
        <v>5</v>
      </c>
      <c r="B8" s="20" t="str">
        <f t="shared" si="13"/>
        <v>April</v>
      </c>
      <c r="C8" s="29">
        <v>45755</v>
      </c>
      <c r="D8" s="31" t="s">
        <v>95</v>
      </c>
      <c r="E8" s="106" t="s">
        <v>96</v>
      </c>
      <c r="F8" s="26">
        <v>571798206175</v>
      </c>
      <c r="G8" s="158" t="s">
        <v>88</v>
      </c>
      <c r="H8" s="106" t="s">
        <v>97</v>
      </c>
      <c r="J8" s="22">
        <v>252</v>
      </c>
      <c r="K8" s="64">
        <v>221</v>
      </c>
      <c r="L8" s="23">
        <f t="shared" si="14"/>
        <v>55692</v>
      </c>
      <c r="M8" s="23">
        <v>2500</v>
      </c>
      <c r="N8" s="23">
        <v>0</v>
      </c>
      <c r="O8" s="112">
        <f t="shared" si="15"/>
        <v>58192</v>
      </c>
      <c r="P8" s="33">
        <v>0.18</v>
      </c>
      <c r="Q8" s="119">
        <f t="shared" si="16"/>
        <v>10474.56</v>
      </c>
      <c r="R8" s="115">
        <v>0</v>
      </c>
      <c r="S8" s="115">
        <v>0</v>
      </c>
      <c r="T8" s="23">
        <v>0</v>
      </c>
      <c r="U8" s="112">
        <f t="shared" si="17"/>
        <v>68666.559999999998</v>
      </c>
    </row>
    <row r="9" spans="1:21" ht="17.100000000000001" customHeight="1" x14ac:dyDescent="0.25">
      <c r="A9" s="20">
        <f>IF(C9="","",COUNTA($C$4:C9))</f>
        <v>6</v>
      </c>
      <c r="B9" s="20" t="str">
        <f t="shared" si="13"/>
        <v>April</v>
      </c>
      <c r="C9" s="29">
        <v>45755</v>
      </c>
      <c r="D9" s="31" t="s">
        <v>95</v>
      </c>
      <c r="E9" s="106" t="s">
        <v>96</v>
      </c>
      <c r="F9" s="26">
        <v>571798206175</v>
      </c>
      <c r="G9" s="158" t="s">
        <v>88</v>
      </c>
      <c r="H9" s="106" t="s">
        <v>98</v>
      </c>
      <c r="J9" s="22">
        <v>80</v>
      </c>
      <c r="K9" s="64">
        <v>613</v>
      </c>
      <c r="L9" s="23">
        <f t="shared" si="14"/>
        <v>49040</v>
      </c>
      <c r="M9" s="23">
        <v>0</v>
      </c>
      <c r="N9" s="23">
        <v>0</v>
      </c>
      <c r="O9" s="112">
        <f t="shared" si="15"/>
        <v>49040</v>
      </c>
      <c r="P9" s="33">
        <v>0.18</v>
      </c>
      <c r="Q9" s="119">
        <f t="shared" si="16"/>
        <v>8827.2000000000007</v>
      </c>
      <c r="R9" s="115">
        <v>0</v>
      </c>
      <c r="S9" s="115">
        <v>0</v>
      </c>
      <c r="T9" s="23">
        <v>0</v>
      </c>
      <c r="U9" s="112">
        <f t="shared" si="17"/>
        <v>57867.199999999997</v>
      </c>
    </row>
    <row r="10" spans="1:21" ht="17.100000000000001" customHeight="1" x14ac:dyDescent="0.25">
      <c r="A10" s="20">
        <f>IF(C10="","",COUNTA($C$4:C10))</f>
        <v>7</v>
      </c>
      <c r="B10" s="20" t="str">
        <f t="shared" si="13"/>
        <v>April</v>
      </c>
      <c r="C10" s="45">
        <v>45776</v>
      </c>
      <c r="D10" s="31" t="s">
        <v>318</v>
      </c>
      <c r="E10" s="105" t="s">
        <v>319</v>
      </c>
      <c r="F10" s="26" t="s">
        <v>72</v>
      </c>
      <c r="G10" s="157" t="s">
        <v>88</v>
      </c>
      <c r="H10" s="106" t="s">
        <v>320</v>
      </c>
      <c r="J10" s="22">
        <v>168</v>
      </c>
      <c r="K10" s="64">
        <v>322</v>
      </c>
      <c r="L10" s="23">
        <f t="shared" si="14"/>
        <v>54096</v>
      </c>
      <c r="M10" s="23">
        <v>0</v>
      </c>
      <c r="N10" s="23">
        <v>0</v>
      </c>
      <c r="O10" s="112">
        <f t="shared" si="15"/>
        <v>54096</v>
      </c>
      <c r="P10" s="33">
        <v>0.18</v>
      </c>
      <c r="Q10" s="118">
        <f t="shared" si="16"/>
        <v>9737.2800000000007</v>
      </c>
      <c r="R10" s="115">
        <v>0</v>
      </c>
      <c r="S10" s="115">
        <v>0</v>
      </c>
      <c r="T10" s="23">
        <v>0</v>
      </c>
      <c r="U10" s="112">
        <f t="shared" si="17"/>
        <v>63833.279999999999</v>
      </c>
    </row>
    <row r="11" spans="1:21" ht="17.100000000000001" customHeight="1" x14ac:dyDescent="0.25">
      <c r="A11" s="20">
        <f>IF(C11="","",COUNTA($C$4:C11))</f>
        <v>8</v>
      </c>
      <c r="B11" s="20" t="str">
        <f t="shared" si="13"/>
        <v>October</v>
      </c>
      <c r="C11" s="45">
        <v>45940</v>
      </c>
      <c r="D11" s="31" t="s">
        <v>1765</v>
      </c>
      <c r="E11" s="105" t="s">
        <v>1766</v>
      </c>
      <c r="F11" s="26" t="s">
        <v>1767</v>
      </c>
      <c r="G11" s="157" t="s">
        <v>88</v>
      </c>
      <c r="H11" s="106" t="s">
        <v>1768</v>
      </c>
      <c r="J11" s="22">
        <v>240</v>
      </c>
      <c r="K11" s="22">
        <v>250</v>
      </c>
      <c r="L11" s="23">
        <f t="shared" si="14"/>
        <v>60000</v>
      </c>
      <c r="M11" s="23">
        <v>2500</v>
      </c>
      <c r="N11" s="23">
        <v>0</v>
      </c>
      <c r="O11" s="112">
        <f t="shared" si="15"/>
        <v>62500</v>
      </c>
      <c r="P11" s="33">
        <v>0.18</v>
      </c>
      <c r="Q11" s="118">
        <f t="shared" si="16"/>
        <v>11250</v>
      </c>
      <c r="R11" s="115">
        <v>0</v>
      </c>
      <c r="S11" s="115">
        <v>0</v>
      </c>
      <c r="T11" s="23">
        <v>0</v>
      </c>
      <c r="U11" s="112">
        <f t="shared" si="17"/>
        <v>73750</v>
      </c>
    </row>
    <row r="12" spans="1:21" ht="17.100000000000001" customHeight="1" x14ac:dyDescent="0.25">
      <c r="A12" s="20">
        <f>IF(C12="","",COUNTA($C$4:C12))</f>
        <v>9</v>
      </c>
      <c r="B12" s="20" t="str">
        <f t="shared" si="13"/>
        <v>January</v>
      </c>
      <c r="C12" s="45">
        <v>46041</v>
      </c>
      <c r="D12" s="31" t="s">
        <v>2607</v>
      </c>
      <c r="E12" s="105" t="s">
        <v>2608</v>
      </c>
      <c r="F12" s="26" t="s">
        <v>2609</v>
      </c>
      <c r="G12" s="157" t="s">
        <v>88</v>
      </c>
      <c r="H12" s="106" t="s">
        <v>2610</v>
      </c>
      <c r="J12" s="22">
        <v>1008</v>
      </c>
      <c r="K12" s="22">
        <v>169</v>
      </c>
      <c r="L12" s="23">
        <f t="shared" si="14"/>
        <v>170352</v>
      </c>
      <c r="M12" s="23">
        <v>4000</v>
      </c>
      <c r="N12" s="23">
        <v>0</v>
      </c>
      <c r="O12" s="112">
        <f t="shared" si="15"/>
        <v>174352</v>
      </c>
      <c r="P12" s="33">
        <v>0.18</v>
      </c>
      <c r="Q12" s="118">
        <f t="shared" si="16"/>
        <v>31383.360000000001</v>
      </c>
      <c r="R12" s="115">
        <v>0</v>
      </c>
      <c r="S12" s="115">
        <v>0</v>
      </c>
      <c r="T12" s="23">
        <v>0</v>
      </c>
      <c r="U12" s="112">
        <f t="shared" si="17"/>
        <v>205735.36</v>
      </c>
    </row>
    <row r="13" spans="1:21" ht="17.100000000000001" customHeight="1" x14ac:dyDescent="0.25">
      <c r="A13" s="20">
        <f>IF(C13="","",COUNTA($C$4:C13))</f>
        <v>10</v>
      </c>
      <c r="B13" s="20" t="str">
        <f t="shared" si="13"/>
        <v>September</v>
      </c>
      <c r="C13" s="45">
        <v>45904</v>
      </c>
      <c r="D13" s="31" t="s">
        <v>1464</v>
      </c>
      <c r="E13" s="105" t="s">
        <v>1592</v>
      </c>
      <c r="F13" s="26" t="s">
        <v>1465</v>
      </c>
      <c r="G13" s="157" t="s">
        <v>1466</v>
      </c>
      <c r="H13" s="106" t="s">
        <v>1467</v>
      </c>
      <c r="I13" s="160" t="s">
        <v>1478</v>
      </c>
      <c r="J13" s="22">
        <v>4650</v>
      </c>
      <c r="K13" s="22">
        <v>71.5</v>
      </c>
      <c r="L13" s="23">
        <f t="shared" si="14"/>
        <v>332475</v>
      </c>
      <c r="M13" s="23">
        <v>0</v>
      </c>
      <c r="N13" s="23">
        <v>0</v>
      </c>
      <c r="O13" s="112">
        <f t="shared" si="15"/>
        <v>332475</v>
      </c>
      <c r="P13" s="33">
        <v>0.18</v>
      </c>
      <c r="Q13" s="118">
        <v>0</v>
      </c>
      <c r="R13" s="112">
        <f t="shared" ref="R13:R28" si="18">O13*9/100</f>
        <v>29922.75</v>
      </c>
      <c r="S13" s="112">
        <f t="shared" ref="S13:S28" si="19">O13*9/100</f>
        <v>29922.75</v>
      </c>
      <c r="T13" s="23">
        <v>0</v>
      </c>
      <c r="U13" s="112">
        <f t="shared" ref="U13:U28" si="20">O13+R13+S13</f>
        <v>392320.5</v>
      </c>
    </row>
    <row r="14" spans="1:21" ht="17.100000000000001" customHeight="1" x14ac:dyDescent="0.25">
      <c r="A14" s="20">
        <f>IF(C14="","",COUNTA($C$4:C14))</f>
        <v>11</v>
      </c>
      <c r="B14" s="20" t="str">
        <f t="shared" si="13"/>
        <v>September</v>
      </c>
      <c r="C14" s="45">
        <v>45904</v>
      </c>
      <c r="D14" s="31" t="s">
        <v>1472</v>
      </c>
      <c r="E14" s="105" t="s">
        <v>1589</v>
      </c>
      <c r="F14" s="26" t="s">
        <v>1590</v>
      </c>
      <c r="G14" s="157" t="s">
        <v>1466</v>
      </c>
      <c r="H14" s="106" t="s">
        <v>1591</v>
      </c>
      <c r="I14" s="160" t="s">
        <v>1477</v>
      </c>
      <c r="J14" s="22">
        <v>4915</v>
      </c>
      <c r="K14" s="22">
        <v>73.5</v>
      </c>
      <c r="L14" s="23">
        <f t="shared" si="14"/>
        <v>361252.5</v>
      </c>
      <c r="M14" s="23">
        <v>8000</v>
      </c>
      <c r="N14" s="23">
        <v>0</v>
      </c>
      <c r="O14" s="112">
        <f t="shared" si="15"/>
        <v>369252.5</v>
      </c>
      <c r="P14" s="33">
        <v>0.18</v>
      </c>
      <c r="Q14" s="118">
        <v>0</v>
      </c>
      <c r="R14" s="112">
        <f t="shared" si="18"/>
        <v>33232.724999999999</v>
      </c>
      <c r="S14" s="112">
        <f t="shared" si="19"/>
        <v>33232.724999999999</v>
      </c>
      <c r="T14" s="23">
        <v>0</v>
      </c>
      <c r="U14" s="112">
        <f t="shared" si="20"/>
        <v>435717.94999999995</v>
      </c>
    </row>
    <row r="15" spans="1:21" ht="17.100000000000001" customHeight="1" x14ac:dyDescent="0.25">
      <c r="A15" s="20">
        <f>IF(C15="","",COUNTA($C$4:C15))</f>
        <v>12</v>
      </c>
      <c r="B15" s="20" t="str">
        <f t="shared" si="13"/>
        <v>September</v>
      </c>
      <c r="C15" s="45">
        <v>45904</v>
      </c>
      <c r="D15" s="131" t="s">
        <v>1472</v>
      </c>
      <c r="E15" s="105" t="s">
        <v>1589</v>
      </c>
      <c r="F15" s="26" t="s">
        <v>1590</v>
      </c>
      <c r="G15" s="157" t="s">
        <v>1466</v>
      </c>
      <c r="H15" s="106" t="s">
        <v>1529</v>
      </c>
      <c r="I15" s="160" t="s">
        <v>1478</v>
      </c>
      <c r="J15" s="22">
        <v>5730</v>
      </c>
      <c r="K15" s="22">
        <v>71.5</v>
      </c>
      <c r="L15" s="23">
        <f t="shared" si="14"/>
        <v>409695</v>
      </c>
      <c r="M15" s="23">
        <v>0</v>
      </c>
      <c r="N15" s="23">
        <v>0</v>
      </c>
      <c r="O15" s="112">
        <f t="shared" si="15"/>
        <v>409695</v>
      </c>
      <c r="P15" s="33">
        <v>0.18</v>
      </c>
      <c r="Q15" s="118">
        <v>0</v>
      </c>
      <c r="R15" s="112">
        <f t="shared" si="18"/>
        <v>36872.550000000003</v>
      </c>
      <c r="S15" s="112">
        <f t="shared" si="19"/>
        <v>36872.550000000003</v>
      </c>
      <c r="T15" s="23">
        <v>0</v>
      </c>
      <c r="U15" s="112">
        <f t="shared" si="20"/>
        <v>483440.1</v>
      </c>
    </row>
    <row r="16" spans="1:21" ht="17.100000000000001" customHeight="1" x14ac:dyDescent="0.25">
      <c r="A16" s="20">
        <f>IF(C16="","",COUNTA($C$4:C16))</f>
        <v>13</v>
      </c>
      <c r="B16" s="20" t="str">
        <f t="shared" si="13"/>
        <v>September</v>
      </c>
      <c r="C16" s="45">
        <v>45906</v>
      </c>
      <c r="D16" s="131" t="s">
        <v>1484</v>
      </c>
      <c r="E16" s="105" t="s">
        <v>1593</v>
      </c>
      <c r="F16" s="26" t="s">
        <v>1590</v>
      </c>
      <c r="G16" s="157" t="s">
        <v>1466</v>
      </c>
      <c r="H16" s="106" t="s">
        <v>1594</v>
      </c>
      <c r="I16" s="160" t="s">
        <v>1477</v>
      </c>
      <c r="J16" s="22">
        <v>5085</v>
      </c>
      <c r="K16" s="22">
        <v>73.5</v>
      </c>
      <c r="L16" s="23">
        <f t="shared" si="14"/>
        <v>373747.5</v>
      </c>
      <c r="M16" s="23">
        <v>5000</v>
      </c>
      <c r="N16" s="23">
        <v>0</v>
      </c>
      <c r="O16" s="112">
        <f t="shared" si="15"/>
        <v>378747.5</v>
      </c>
      <c r="P16" s="33">
        <v>0.18</v>
      </c>
      <c r="Q16" s="118">
        <v>0</v>
      </c>
      <c r="R16" s="112">
        <f t="shared" si="18"/>
        <v>34087.275000000001</v>
      </c>
      <c r="S16" s="112">
        <f t="shared" si="19"/>
        <v>34087.275000000001</v>
      </c>
      <c r="T16" s="23">
        <v>0</v>
      </c>
      <c r="U16" s="112">
        <f t="shared" si="20"/>
        <v>446922.05000000005</v>
      </c>
    </row>
    <row r="17" spans="1:21" ht="17.100000000000001" customHeight="1" x14ac:dyDescent="0.25">
      <c r="A17" s="20">
        <f>IF(C17="","",COUNTA($C$4:C17))</f>
        <v>14</v>
      </c>
      <c r="B17" s="20" t="str">
        <f t="shared" si="13"/>
        <v>April</v>
      </c>
      <c r="C17" s="29">
        <v>45759</v>
      </c>
      <c r="D17" s="31" t="s">
        <v>130</v>
      </c>
      <c r="E17" s="106" t="s">
        <v>131</v>
      </c>
      <c r="F17" s="26" t="s">
        <v>132</v>
      </c>
      <c r="G17" s="157" t="s">
        <v>746</v>
      </c>
      <c r="H17" s="106" t="s">
        <v>133</v>
      </c>
      <c r="J17" s="22">
        <v>151.19999999999999</v>
      </c>
      <c r="K17" s="64">
        <v>243</v>
      </c>
      <c r="L17" s="23">
        <f t="shared" si="14"/>
        <v>36741.599999999999</v>
      </c>
      <c r="M17" s="23">
        <v>4800</v>
      </c>
      <c r="N17" s="23">
        <v>0</v>
      </c>
      <c r="O17" s="112">
        <f t="shared" si="15"/>
        <v>41541.599999999999</v>
      </c>
      <c r="P17" s="33">
        <v>0.18</v>
      </c>
      <c r="Q17" s="118">
        <v>0</v>
      </c>
      <c r="R17" s="112">
        <f t="shared" si="18"/>
        <v>3738.7439999999997</v>
      </c>
      <c r="S17" s="112">
        <f t="shared" si="19"/>
        <v>3738.7439999999997</v>
      </c>
      <c r="T17" s="23">
        <v>0</v>
      </c>
      <c r="U17" s="112">
        <f t="shared" si="20"/>
        <v>49019.087999999996</v>
      </c>
    </row>
    <row r="18" spans="1:21" ht="17.100000000000001" customHeight="1" x14ac:dyDescent="0.25">
      <c r="A18" s="20">
        <f>IF(C18="","",COUNTA($C$4:C18))</f>
        <v>15</v>
      </c>
      <c r="B18" s="20" t="str">
        <f t="shared" si="13"/>
        <v>April</v>
      </c>
      <c r="C18" s="29">
        <v>45759</v>
      </c>
      <c r="D18" s="31" t="s">
        <v>130</v>
      </c>
      <c r="E18" s="106" t="s">
        <v>131</v>
      </c>
      <c r="F18" s="26" t="s">
        <v>132</v>
      </c>
      <c r="G18" s="157" t="s">
        <v>746</v>
      </c>
      <c r="H18" s="106" t="s">
        <v>134</v>
      </c>
      <c r="J18" s="22">
        <v>60</v>
      </c>
      <c r="K18" s="64">
        <v>320</v>
      </c>
      <c r="L18" s="23">
        <f t="shared" si="14"/>
        <v>19200</v>
      </c>
      <c r="M18" s="23">
        <v>0</v>
      </c>
      <c r="N18" s="23">
        <v>0</v>
      </c>
      <c r="O18" s="112">
        <f t="shared" si="15"/>
        <v>19200</v>
      </c>
      <c r="P18" s="33">
        <v>0.18</v>
      </c>
      <c r="Q18" s="118">
        <v>0</v>
      </c>
      <c r="R18" s="112">
        <f t="shared" si="18"/>
        <v>1728</v>
      </c>
      <c r="S18" s="112">
        <f t="shared" si="19"/>
        <v>1728</v>
      </c>
      <c r="T18" s="23">
        <v>0</v>
      </c>
      <c r="U18" s="112">
        <f t="shared" si="20"/>
        <v>22656</v>
      </c>
    </row>
    <row r="19" spans="1:21" ht="17.100000000000001" customHeight="1" x14ac:dyDescent="0.25">
      <c r="A19" s="20">
        <f>IF(C19="","",COUNTA($C$4:C19))</f>
        <v>16</v>
      </c>
      <c r="B19" s="20" t="str">
        <f t="shared" si="13"/>
        <v>April</v>
      </c>
      <c r="C19" s="29">
        <v>45759</v>
      </c>
      <c r="D19" s="31" t="s">
        <v>130</v>
      </c>
      <c r="E19" s="106" t="s">
        <v>131</v>
      </c>
      <c r="F19" s="26" t="s">
        <v>132</v>
      </c>
      <c r="G19" s="157" t="s">
        <v>746</v>
      </c>
      <c r="H19" s="106" t="s">
        <v>135</v>
      </c>
      <c r="J19" s="22">
        <v>168</v>
      </c>
      <c r="K19" s="64">
        <v>348</v>
      </c>
      <c r="L19" s="23">
        <f t="shared" si="14"/>
        <v>58464</v>
      </c>
      <c r="M19" s="23">
        <v>0</v>
      </c>
      <c r="N19" s="23">
        <v>0</v>
      </c>
      <c r="O19" s="112">
        <f t="shared" si="15"/>
        <v>58464</v>
      </c>
      <c r="P19" s="33">
        <v>0.18</v>
      </c>
      <c r="Q19" s="118">
        <v>0</v>
      </c>
      <c r="R19" s="112">
        <f t="shared" si="18"/>
        <v>5261.76</v>
      </c>
      <c r="S19" s="112">
        <f t="shared" si="19"/>
        <v>5261.76</v>
      </c>
      <c r="T19" s="23">
        <v>0</v>
      </c>
      <c r="U19" s="112">
        <f t="shared" si="20"/>
        <v>68987.520000000004</v>
      </c>
    </row>
    <row r="20" spans="1:21" ht="17.100000000000001" customHeight="1" x14ac:dyDescent="0.25">
      <c r="A20" s="20">
        <f>IF(C20="","",COUNTA($C$4:C20))</f>
        <v>17</v>
      </c>
      <c r="B20" s="20" t="str">
        <f t="shared" si="13"/>
        <v>April</v>
      </c>
      <c r="C20" s="29">
        <v>45759</v>
      </c>
      <c r="D20" s="31" t="s">
        <v>130</v>
      </c>
      <c r="E20" s="106" t="s">
        <v>131</v>
      </c>
      <c r="F20" s="26" t="s">
        <v>132</v>
      </c>
      <c r="G20" s="157" t="s">
        <v>746</v>
      </c>
      <c r="H20" s="106" t="s">
        <v>136</v>
      </c>
      <c r="J20" s="22">
        <v>60</v>
      </c>
      <c r="K20" s="64">
        <v>425</v>
      </c>
      <c r="L20" s="23">
        <f t="shared" si="14"/>
        <v>25500</v>
      </c>
      <c r="M20" s="23">
        <v>0</v>
      </c>
      <c r="N20" s="23">
        <v>0</v>
      </c>
      <c r="O20" s="112">
        <f t="shared" si="15"/>
        <v>25500</v>
      </c>
      <c r="P20" s="33">
        <v>0.18</v>
      </c>
      <c r="Q20" s="118">
        <v>0</v>
      </c>
      <c r="R20" s="112">
        <f t="shared" si="18"/>
        <v>2295</v>
      </c>
      <c r="S20" s="112">
        <f t="shared" si="19"/>
        <v>2295</v>
      </c>
      <c r="T20" s="23">
        <v>0</v>
      </c>
      <c r="U20" s="112">
        <f t="shared" si="20"/>
        <v>30090</v>
      </c>
    </row>
    <row r="21" spans="1:21" ht="17.100000000000001" customHeight="1" x14ac:dyDescent="0.25">
      <c r="A21" s="20">
        <f>IF(C21="","",COUNTA($C$4:C21))</f>
        <v>18</v>
      </c>
      <c r="B21" s="20" t="str">
        <f t="shared" si="13"/>
        <v>September</v>
      </c>
      <c r="C21" s="45">
        <v>45910</v>
      </c>
      <c r="D21" s="31" t="s">
        <v>1527</v>
      </c>
      <c r="E21" s="105" t="s">
        <v>1528</v>
      </c>
      <c r="F21" s="26" t="s">
        <v>1465</v>
      </c>
      <c r="G21" s="157" t="s">
        <v>1466</v>
      </c>
      <c r="H21" s="106" t="s">
        <v>1529</v>
      </c>
      <c r="I21" s="159" t="s">
        <v>1478</v>
      </c>
      <c r="J21" s="22">
        <v>5840</v>
      </c>
      <c r="K21" s="22">
        <v>71.5</v>
      </c>
      <c r="L21" s="23">
        <f t="shared" si="14"/>
        <v>417560</v>
      </c>
      <c r="M21" s="23">
        <v>8500</v>
      </c>
      <c r="N21" s="23">
        <v>0</v>
      </c>
      <c r="O21" s="112">
        <f t="shared" si="15"/>
        <v>426060</v>
      </c>
      <c r="P21" s="33">
        <v>0.18</v>
      </c>
      <c r="Q21" s="118"/>
      <c r="R21" s="112">
        <f t="shared" si="18"/>
        <v>38345.4</v>
      </c>
      <c r="S21" s="112">
        <f t="shared" si="19"/>
        <v>38345.4</v>
      </c>
      <c r="T21" s="23">
        <v>0</v>
      </c>
      <c r="U21" s="112">
        <f t="shared" si="20"/>
        <v>502750.80000000005</v>
      </c>
    </row>
    <row r="22" spans="1:21" ht="17.100000000000001" customHeight="1" x14ac:dyDescent="0.25">
      <c r="A22" s="20">
        <f>IF(C22="","",COUNTA($C$4:C22))</f>
        <v>19</v>
      </c>
      <c r="B22" s="20" t="str">
        <f t="shared" si="13"/>
        <v>October</v>
      </c>
      <c r="C22" s="45">
        <v>45955</v>
      </c>
      <c r="D22" s="31" t="s">
        <v>1950</v>
      </c>
      <c r="E22" s="105" t="s">
        <v>1951</v>
      </c>
      <c r="F22" s="26" t="s">
        <v>1952</v>
      </c>
      <c r="G22" s="157" t="s">
        <v>1466</v>
      </c>
      <c r="H22" s="106" t="s">
        <v>1953</v>
      </c>
      <c r="I22" s="159" t="s">
        <v>1477</v>
      </c>
      <c r="J22" s="22">
        <v>5920</v>
      </c>
      <c r="K22" s="22">
        <v>73.5</v>
      </c>
      <c r="L22" s="23">
        <f t="shared" si="14"/>
        <v>435120</v>
      </c>
      <c r="M22" s="23">
        <v>23072.5</v>
      </c>
      <c r="N22" s="23">
        <v>0</v>
      </c>
      <c r="O22" s="112">
        <f t="shared" si="15"/>
        <v>458192.5</v>
      </c>
      <c r="P22" s="33">
        <v>0.18</v>
      </c>
      <c r="Q22" s="115">
        <v>0</v>
      </c>
      <c r="R22" s="112">
        <f t="shared" si="18"/>
        <v>41237.324999999997</v>
      </c>
      <c r="S22" s="112">
        <f t="shared" si="19"/>
        <v>41237.324999999997</v>
      </c>
      <c r="T22" s="23">
        <v>0</v>
      </c>
      <c r="U22" s="112">
        <f t="shared" si="20"/>
        <v>540667.15</v>
      </c>
    </row>
    <row r="23" spans="1:21" ht="17.100000000000001" customHeight="1" x14ac:dyDescent="0.25">
      <c r="A23" s="20">
        <f>IF(C23="","",COUNTA($C$4:C23))</f>
        <v>20</v>
      </c>
      <c r="B23" s="20" t="str">
        <f t="shared" si="13"/>
        <v>October</v>
      </c>
      <c r="C23" s="45">
        <v>45955</v>
      </c>
      <c r="D23" s="31" t="s">
        <v>1950</v>
      </c>
      <c r="E23" s="105" t="s">
        <v>1951</v>
      </c>
      <c r="F23" s="26" t="s">
        <v>1952</v>
      </c>
      <c r="G23" s="157" t="s">
        <v>1466</v>
      </c>
      <c r="H23" s="106" t="s">
        <v>1954</v>
      </c>
      <c r="I23" s="159" t="s">
        <v>1478</v>
      </c>
      <c r="J23" s="22">
        <v>5050</v>
      </c>
      <c r="K23" s="22">
        <v>71.5</v>
      </c>
      <c r="L23" s="23">
        <f t="shared" si="14"/>
        <v>361075</v>
      </c>
      <c r="M23" s="23">
        <v>0</v>
      </c>
      <c r="N23" s="23">
        <v>0</v>
      </c>
      <c r="O23" s="112">
        <f t="shared" si="15"/>
        <v>361075</v>
      </c>
      <c r="P23" s="33">
        <v>0.18</v>
      </c>
      <c r="Q23" s="115">
        <v>0</v>
      </c>
      <c r="R23" s="112">
        <f t="shared" si="18"/>
        <v>32496.75</v>
      </c>
      <c r="S23" s="112">
        <f t="shared" si="19"/>
        <v>32496.75</v>
      </c>
      <c r="T23" s="23">
        <v>0</v>
      </c>
      <c r="U23" s="112">
        <f t="shared" si="20"/>
        <v>426068.5</v>
      </c>
    </row>
    <row r="24" spans="1:21" ht="17.100000000000001" customHeight="1" x14ac:dyDescent="0.25">
      <c r="A24" s="20">
        <f>IF(C24="","",COUNTA($C$4:C24))</f>
        <v>21</v>
      </c>
      <c r="B24" s="20" t="str">
        <f t="shared" si="13"/>
        <v>October</v>
      </c>
      <c r="C24" s="45">
        <v>45955</v>
      </c>
      <c r="D24" s="31" t="s">
        <v>1950</v>
      </c>
      <c r="E24" s="105" t="s">
        <v>1951</v>
      </c>
      <c r="F24" s="26" t="s">
        <v>1952</v>
      </c>
      <c r="G24" s="157" t="s">
        <v>1466</v>
      </c>
      <c r="H24" s="106" t="s">
        <v>1955</v>
      </c>
      <c r="I24" s="159" t="s">
        <v>1566</v>
      </c>
      <c r="J24" s="22">
        <v>10005</v>
      </c>
      <c r="K24" s="22">
        <v>71.5</v>
      </c>
      <c r="L24" s="23">
        <f t="shared" si="14"/>
        <v>715357.5</v>
      </c>
      <c r="M24" s="23">
        <v>0</v>
      </c>
      <c r="N24" s="23">
        <v>0</v>
      </c>
      <c r="O24" s="112">
        <f t="shared" si="15"/>
        <v>715357.5</v>
      </c>
      <c r="P24" s="33">
        <v>0.18</v>
      </c>
      <c r="Q24" s="115">
        <v>0</v>
      </c>
      <c r="R24" s="112">
        <f t="shared" si="18"/>
        <v>64382.175000000003</v>
      </c>
      <c r="S24" s="112">
        <f t="shared" si="19"/>
        <v>64382.175000000003</v>
      </c>
      <c r="T24" s="23">
        <v>0</v>
      </c>
      <c r="U24" s="112">
        <f t="shared" si="20"/>
        <v>844121.85000000009</v>
      </c>
    </row>
    <row r="25" spans="1:21" ht="17.100000000000001" customHeight="1" x14ac:dyDescent="0.25">
      <c r="A25" s="20">
        <f>IF(C25="","",COUNTA($C$4:C25))</f>
        <v>22</v>
      </c>
      <c r="B25" s="20" t="str">
        <f t="shared" si="13"/>
        <v>October</v>
      </c>
      <c r="C25" s="45">
        <v>45955</v>
      </c>
      <c r="D25" s="31" t="s">
        <v>1961</v>
      </c>
      <c r="E25" s="105" t="s">
        <v>1962</v>
      </c>
      <c r="F25" s="26" t="s">
        <v>1963</v>
      </c>
      <c r="G25" s="157" t="s">
        <v>1466</v>
      </c>
      <c r="H25" s="106" t="s">
        <v>1953</v>
      </c>
      <c r="I25" s="159" t="s">
        <v>1477</v>
      </c>
      <c r="J25" s="22">
        <v>15670</v>
      </c>
      <c r="K25" s="22">
        <v>73.5</v>
      </c>
      <c r="L25" s="23">
        <f t="shared" si="14"/>
        <v>1151745</v>
      </c>
      <c r="M25" s="23">
        <v>33000</v>
      </c>
      <c r="N25" s="23">
        <v>0</v>
      </c>
      <c r="O25" s="112">
        <f t="shared" si="15"/>
        <v>1184745</v>
      </c>
      <c r="P25" s="33">
        <v>0.18</v>
      </c>
      <c r="Q25" s="115">
        <v>0</v>
      </c>
      <c r="R25" s="112">
        <f t="shared" si="18"/>
        <v>106627.05</v>
      </c>
      <c r="S25" s="112">
        <f t="shared" si="19"/>
        <v>106627.05</v>
      </c>
      <c r="T25" s="23">
        <v>0</v>
      </c>
      <c r="U25" s="112">
        <f t="shared" si="20"/>
        <v>1397999.1</v>
      </c>
    </row>
    <row r="26" spans="1:21" ht="17.100000000000001" customHeight="1" x14ac:dyDescent="0.25">
      <c r="A26" s="20">
        <f>IF(C26="","",COUNTA($C$4:C26))</f>
        <v>23</v>
      </c>
      <c r="B26" s="20" t="str">
        <f t="shared" si="13"/>
        <v>October</v>
      </c>
      <c r="C26" s="45">
        <v>45955</v>
      </c>
      <c r="D26" s="31" t="s">
        <v>1961</v>
      </c>
      <c r="E26" s="105" t="s">
        <v>1962</v>
      </c>
      <c r="F26" s="26" t="s">
        <v>1963</v>
      </c>
      <c r="G26" s="157" t="s">
        <v>1466</v>
      </c>
      <c r="H26" s="106" t="s">
        <v>1954</v>
      </c>
      <c r="I26" s="159" t="s">
        <v>1478</v>
      </c>
      <c r="J26" s="22">
        <v>5075</v>
      </c>
      <c r="K26" s="22">
        <v>71.5</v>
      </c>
      <c r="L26" s="23">
        <f t="shared" si="14"/>
        <v>362862.5</v>
      </c>
      <c r="M26" s="23">
        <v>0</v>
      </c>
      <c r="N26" s="23">
        <v>0</v>
      </c>
      <c r="O26" s="112">
        <f t="shared" si="15"/>
        <v>362862.5</v>
      </c>
      <c r="P26" s="33">
        <v>0.18</v>
      </c>
      <c r="Q26" s="115">
        <v>0</v>
      </c>
      <c r="R26" s="112">
        <f t="shared" si="18"/>
        <v>32657.625</v>
      </c>
      <c r="S26" s="112">
        <f t="shared" si="19"/>
        <v>32657.625</v>
      </c>
      <c r="T26" s="23">
        <v>0</v>
      </c>
      <c r="U26" s="112">
        <f t="shared" si="20"/>
        <v>428177.75</v>
      </c>
    </row>
    <row r="27" spans="1:21" ht="17.100000000000001" customHeight="1" x14ac:dyDescent="0.25">
      <c r="A27" s="20">
        <f>IF(C27="","",COUNTA($C$4:C27))</f>
        <v>24</v>
      </c>
      <c r="B27" s="20" t="str">
        <f t="shared" si="13"/>
        <v>October</v>
      </c>
      <c r="C27" s="45">
        <v>45955</v>
      </c>
      <c r="D27" s="31" t="s">
        <v>1961</v>
      </c>
      <c r="E27" s="105" t="s">
        <v>1962</v>
      </c>
      <c r="F27" s="26" t="s">
        <v>1963</v>
      </c>
      <c r="G27" s="157" t="s">
        <v>1466</v>
      </c>
      <c r="H27" s="106" t="s">
        <v>1964</v>
      </c>
      <c r="I27" s="159" t="s">
        <v>1481</v>
      </c>
      <c r="J27" s="22">
        <v>10100</v>
      </c>
      <c r="K27" s="22">
        <v>71.5</v>
      </c>
      <c r="L27" s="23">
        <f t="shared" si="14"/>
        <v>722150</v>
      </c>
      <c r="M27" s="23">
        <v>0</v>
      </c>
      <c r="N27" s="23">
        <v>0</v>
      </c>
      <c r="O27" s="112">
        <f t="shared" si="15"/>
        <v>722150</v>
      </c>
      <c r="P27" s="33">
        <v>0.18</v>
      </c>
      <c r="Q27" s="115">
        <v>0</v>
      </c>
      <c r="R27" s="112">
        <f t="shared" si="18"/>
        <v>64993.5</v>
      </c>
      <c r="S27" s="112">
        <f t="shared" si="19"/>
        <v>64993.5</v>
      </c>
      <c r="T27" s="23">
        <v>0</v>
      </c>
      <c r="U27" s="112">
        <f t="shared" si="20"/>
        <v>852137</v>
      </c>
    </row>
    <row r="28" spans="1:21" ht="17.100000000000001" customHeight="1" x14ac:dyDescent="0.25">
      <c r="A28" s="20">
        <f>IF(C28="","",COUNTA($C$4:C28))</f>
        <v>25</v>
      </c>
      <c r="B28" s="20" t="str">
        <f t="shared" si="13"/>
        <v>October</v>
      </c>
      <c r="C28" s="45">
        <v>45955</v>
      </c>
      <c r="D28" s="31" t="s">
        <v>1965</v>
      </c>
      <c r="E28" s="105" t="s">
        <v>1966</v>
      </c>
      <c r="F28" s="26" t="s">
        <v>1952</v>
      </c>
      <c r="G28" s="157" t="s">
        <v>1466</v>
      </c>
      <c r="H28" s="106" t="s">
        <v>1967</v>
      </c>
      <c r="I28" s="159" t="s">
        <v>1477</v>
      </c>
      <c r="J28" s="22">
        <v>9435</v>
      </c>
      <c r="K28" s="22">
        <v>73.5</v>
      </c>
      <c r="L28" s="23">
        <f t="shared" si="14"/>
        <v>693472.5</v>
      </c>
      <c r="M28" s="23">
        <v>10378.5</v>
      </c>
      <c r="N28" s="23">
        <v>0</v>
      </c>
      <c r="O28" s="112">
        <f t="shared" si="15"/>
        <v>703851</v>
      </c>
      <c r="P28" s="33">
        <v>0.18</v>
      </c>
      <c r="Q28" s="115">
        <v>0</v>
      </c>
      <c r="R28" s="112">
        <f t="shared" si="18"/>
        <v>63346.59</v>
      </c>
      <c r="S28" s="112">
        <f t="shared" si="19"/>
        <v>63346.59</v>
      </c>
      <c r="T28" s="23">
        <v>0</v>
      </c>
      <c r="U28" s="112">
        <f t="shared" si="20"/>
        <v>830544.17999999993</v>
      </c>
    </row>
    <row r="29" spans="1:21" ht="17.100000000000001" customHeight="1" x14ac:dyDescent="0.25">
      <c r="A29" s="20">
        <f>IF(C29="","",COUNTA($C$4:C29))</f>
        <v>26</v>
      </c>
      <c r="B29" s="20" t="str">
        <f t="shared" si="13"/>
        <v>February</v>
      </c>
      <c r="C29" s="45">
        <v>46057</v>
      </c>
      <c r="D29" s="31" t="s">
        <v>2790</v>
      </c>
      <c r="E29" s="105" t="s">
        <v>2791</v>
      </c>
      <c r="F29" s="26" t="s">
        <v>2792</v>
      </c>
      <c r="G29" s="157" t="s">
        <v>88</v>
      </c>
      <c r="H29" s="106" t="s">
        <v>2793</v>
      </c>
      <c r="J29" s="22">
        <v>360</v>
      </c>
      <c r="K29" s="22">
        <v>395</v>
      </c>
      <c r="L29" s="23">
        <f t="shared" si="14"/>
        <v>142200</v>
      </c>
      <c r="M29" s="23">
        <v>4000</v>
      </c>
      <c r="N29" s="23">
        <v>0</v>
      </c>
      <c r="O29" s="112">
        <f t="shared" si="15"/>
        <v>146200</v>
      </c>
      <c r="P29" s="33">
        <v>0.18</v>
      </c>
      <c r="Q29" s="118">
        <f>O29*18/100</f>
        <v>26316</v>
      </c>
      <c r="R29" s="115">
        <v>0</v>
      </c>
      <c r="S29" s="115">
        <v>0</v>
      </c>
      <c r="T29" s="23">
        <v>0</v>
      </c>
      <c r="U29" s="112">
        <f>O29+Q29</f>
        <v>172516</v>
      </c>
    </row>
    <row r="30" spans="1:21" ht="17.100000000000001" customHeight="1" x14ac:dyDescent="0.25">
      <c r="A30" s="20">
        <f>IF(C30="","",COUNTA($C$4:C30))</f>
        <v>27</v>
      </c>
      <c r="B30" s="20" t="str">
        <f t="shared" si="13"/>
        <v>April</v>
      </c>
      <c r="C30" s="29">
        <v>45758</v>
      </c>
      <c r="D30" s="31" t="s">
        <v>119</v>
      </c>
      <c r="E30" s="106" t="s">
        <v>120</v>
      </c>
      <c r="F30" s="26" t="s">
        <v>121</v>
      </c>
      <c r="G30" s="158" t="s">
        <v>122</v>
      </c>
      <c r="H30" s="106" t="s">
        <v>123</v>
      </c>
      <c r="I30" s="159" t="s">
        <v>154</v>
      </c>
      <c r="J30" s="22">
        <v>11.175000000000001</v>
      </c>
      <c r="K30" s="64">
        <v>70500</v>
      </c>
      <c r="L30" s="23">
        <f t="shared" si="14"/>
        <v>787837.5</v>
      </c>
      <c r="M30" s="23">
        <v>7200</v>
      </c>
      <c r="N30" s="23">
        <v>0</v>
      </c>
      <c r="O30" s="112">
        <f t="shared" si="15"/>
        <v>795037.5</v>
      </c>
      <c r="P30" s="33">
        <v>0.18</v>
      </c>
      <c r="Q30" s="118">
        <v>0</v>
      </c>
      <c r="R30" s="112">
        <f>O30*9/100</f>
        <v>71553.375</v>
      </c>
      <c r="S30" s="112">
        <f>O30*9/100</f>
        <v>71553.375</v>
      </c>
      <c r="T30" s="23">
        <v>0</v>
      </c>
      <c r="U30" s="112">
        <f>O30+R30+S30</f>
        <v>938144.25</v>
      </c>
    </row>
    <row r="31" spans="1:21" ht="17.100000000000001" customHeight="1" x14ac:dyDescent="0.25">
      <c r="A31" s="20">
        <f>IF(C31="","",COUNTA($C$4:C31))</f>
        <v>28</v>
      </c>
      <c r="B31" s="20" t="str">
        <f t="shared" si="13"/>
        <v>April</v>
      </c>
      <c r="C31" s="45">
        <v>45764</v>
      </c>
      <c r="D31" s="31" t="s">
        <v>172</v>
      </c>
      <c r="E31" s="106" t="s">
        <v>173</v>
      </c>
      <c r="F31" s="26" t="s">
        <v>174</v>
      </c>
      <c r="G31" s="157" t="s">
        <v>175</v>
      </c>
      <c r="H31" s="108" t="s">
        <v>176</v>
      </c>
      <c r="J31" s="66">
        <v>2</v>
      </c>
      <c r="K31" s="65">
        <v>34875</v>
      </c>
      <c r="L31" s="23">
        <f t="shared" si="14"/>
        <v>69750</v>
      </c>
      <c r="M31" s="23">
        <v>0</v>
      </c>
      <c r="N31" s="23">
        <v>0</v>
      </c>
      <c r="O31" s="112">
        <f t="shared" si="15"/>
        <v>69750</v>
      </c>
      <c r="P31" s="33">
        <v>0.18</v>
      </c>
      <c r="Q31" s="118">
        <v>0</v>
      </c>
      <c r="R31" s="112">
        <f>O31*9/100</f>
        <v>6277.5</v>
      </c>
      <c r="S31" s="112">
        <f>O31*9/100</f>
        <v>6277.5</v>
      </c>
      <c r="T31" s="23">
        <v>0</v>
      </c>
      <c r="U31" s="112">
        <f>O31+R31+S31</f>
        <v>82305</v>
      </c>
    </row>
    <row r="32" spans="1:21" ht="17.100000000000001" customHeight="1" x14ac:dyDescent="0.25">
      <c r="A32" s="20">
        <f>IF(C32="","",COUNTA($C$4:C32))</f>
        <v>29</v>
      </c>
      <c r="B32" s="20" t="str">
        <f t="shared" si="13"/>
        <v>April</v>
      </c>
      <c r="C32" s="45">
        <v>45764</v>
      </c>
      <c r="D32" s="31" t="s">
        <v>177</v>
      </c>
      <c r="E32" s="105" t="s">
        <v>178</v>
      </c>
      <c r="F32" s="26" t="s">
        <v>179</v>
      </c>
      <c r="G32" s="157" t="s">
        <v>180</v>
      </c>
      <c r="H32" s="106" t="s">
        <v>181</v>
      </c>
      <c r="J32" s="22">
        <v>1</v>
      </c>
      <c r="K32" s="64">
        <v>39900</v>
      </c>
      <c r="L32" s="23">
        <f t="shared" si="14"/>
        <v>39900</v>
      </c>
      <c r="M32" s="23">
        <v>0</v>
      </c>
      <c r="N32" s="23">
        <v>0</v>
      </c>
      <c r="O32" s="112">
        <f t="shared" si="15"/>
        <v>39900</v>
      </c>
      <c r="P32" s="33">
        <v>0.18</v>
      </c>
      <c r="Q32" s="118">
        <v>0</v>
      </c>
      <c r="R32" s="112">
        <f>O32*9/100</f>
        <v>3591</v>
      </c>
      <c r="S32" s="112">
        <f>O32*9/100</f>
        <v>3591</v>
      </c>
      <c r="T32" s="23">
        <v>0</v>
      </c>
      <c r="U32" s="112">
        <f>O32+R32+S32</f>
        <v>47082</v>
      </c>
    </row>
    <row r="33" spans="1:21" ht="17.100000000000001" customHeight="1" x14ac:dyDescent="0.25">
      <c r="A33" s="20">
        <f>IF(C33="","",COUNTA($C$4:C33))</f>
        <v>30</v>
      </c>
      <c r="B33" s="20" t="str">
        <f t="shared" si="13"/>
        <v>April</v>
      </c>
      <c r="C33" s="45">
        <v>45764</v>
      </c>
      <c r="D33" s="31" t="s">
        <v>177</v>
      </c>
      <c r="E33" s="105" t="s">
        <v>178</v>
      </c>
      <c r="F33" s="26" t="s">
        <v>179</v>
      </c>
      <c r="G33" s="157" t="s">
        <v>180</v>
      </c>
      <c r="H33" s="106" t="s">
        <v>182</v>
      </c>
      <c r="J33" s="22">
        <v>1</v>
      </c>
      <c r="K33" s="64">
        <v>78000</v>
      </c>
      <c r="L33" s="23">
        <f t="shared" si="14"/>
        <v>78000</v>
      </c>
      <c r="M33" s="23">
        <v>0</v>
      </c>
      <c r="N33" s="23">
        <v>0</v>
      </c>
      <c r="O33" s="112">
        <f t="shared" si="15"/>
        <v>78000</v>
      </c>
      <c r="P33" s="33">
        <v>0.18</v>
      </c>
      <c r="Q33" s="118">
        <v>0</v>
      </c>
      <c r="R33" s="112">
        <f>O33*9/100</f>
        <v>7020</v>
      </c>
      <c r="S33" s="112">
        <f>O33*9/100</f>
        <v>7020</v>
      </c>
      <c r="T33" s="23">
        <v>0</v>
      </c>
      <c r="U33" s="112">
        <f>O33+R33+S33</f>
        <v>92040</v>
      </c>
    </row>
    <row r="34" spans="1:21" ht="17.100000000000001" customHeight="1" x14ac:dyDescent="0.25">
      <c r="A34" s="20">
        <f>IF(C34="","",COUNTA($C$4:C34))</f>
        <v>31</v>
      </c>
      <c r="B34" s="20" t="str">
        <f t="shared" si="13"/>
        <v>April</v>
      </c>
      <c r="C34" s="45">
        <v>45768</v>
      </c>
      <c r="D34" s="31" t="s">
        <v>183</v>
      </c>
      <c r="E34" s="105" t="s">
        <v>187</v>
      </c>
      <c r="F34" s="26" t="s">
        <v>184</v>
      </c>
      <c r="G34" s="157" t="s">
        <v>93</v>
      </c>
      <c r="H34" s="106" t="s">
        <v>185</v>
      </c>
      <c r="J34" s="22">
        <v>2654.4</v>
      </c>
      <c r="K34" s="64">
        <v>207</v>
      </c>
      <c r="L34" s="23">
        <f t="shared" si="14"/>
        <v>549460.80000000005</v>
      </c>
      <c r="M34" s="23">
        <v>0</v>
      </c>
      <c r="N34" s="23">
        <v>0</v>
      </c>
      <c r="O34" s="112">
        <f t="shared" si="15"/>
        <v>549460.80000000005</v>
      </c>
      <c r="P34" s="33">
        <v>0.18</v>
      </c>
      <c r="Q34" s="118">
        <f>O34*18/100</f>
        <v>98902.944000000003</v>
      </c>
      <c r="R34" s="115">
        <v>0</v>
      </c>
      <c r="S34" s="115">
        <v>0</v>
      </c>
      <c r="T34" s="23">
        <v>0</v>
      </c>
      <c r="U34" s="112">
        <f>O34+Q34</f>
        <v>648363.74400000006</v>
      </c>
    </row>
    <row r="35" spans="1:21" ht="17.100000000000001" customHeight="1" x14ac:dyDescent="0.25">
      <c r="A35" s="20">
        <f>IF(C35="","",COUNTA($C$4:C35))</f>
        <v>32</v>
      </c>
      <c r="B35" s="20" t="str">
        <f t="shared" si="13"/>
        <v>February</v>
      </c>
      <c r="C35" s="45">
        <v>46057</v>
      </c>
      <c r="D35" s="31" t="s">
        <v>2790</v>
      </c>
      <c r="E35" s="105" t="s">
        <v>2791</v>
      </c>
      <c r="F35" s="26" t="s">
        <v>2792</v>
      </c>
      <c r="G35" s="157" t="s">
        <v>88</v>
      </c>
      <c r="H35" s="106" t="s">
        <v>2794</v>
      </c>
      <c r="J35" s="22">
        <v>240</v>
      </c>
      <c r="K35" s="22">
        <v>585</v>
      </c>
      <c r="L35" s="23">
        <f t="shared" si="14"/>
        <v>140400</v>
      </c>
      <c r="M35" s="23">
        <v>0</v>
      </c>
      <c r="N35" s="23">
        <v>0</v>
      </c>
      <c r="O35" s="112">
        <f t="shared" si="15"/>
        <v>140400</v>
      </c>
      <c r="P35" s="33">
        <v>0.18</v>
      </c>
      <c r="Q35" s="118">
        <f>O35*18/100</f>
        <v>25272</v>
      </c>
      <c r="R35" s="115">
        <v>0</v>
      </c>
      <c r="S35" s="115">
        <v>0</v>
      </c>
      <c r="T35" s="23">
        <v>0</v>
      </c>
      <c r="U35" s="112">
        <f>O35+Q35</f>
        <v>165672</v>
      </c>
    </row>
    <row r="36" spans="1:21" ht="17.100000000000001" customHeight="1" x14ac:dyDescent="0.25">
      <c r="A36" s="20">
        <f>IF(C36="","",COUNTA($C$4:C36))</f>
        <v>33</v>
      </c>
      <c r="B36" s="20" t="str">
        <f t="shared" si="13"/>
        <v>April</v>
      </c>
      <c r="C36" s="29">
        <v>45764</v>
      </c>
      <c r="D36" s="31" t="s">
        <v>164</v>
      </c>
      <c r="E36" s="105" t="s">
        <v>165</v>
      </c>
      <c r="F36" s="26" t="s">
        <v>166</v>
      </c>
      <c r="G36" s="158" t="s">
        <v>167</v>
      </c>
      <c r="H36" s="106" t="s">
        <v>168</v>
      </c>
      <c r="J36" s="22">
        <v>600</v>
      </c>
      <c r="K36" s="64">
        <v>166</v>
      </c>
      <c r="L36" s="23">
        <f t="shared" si="14"/>
        <v>99600</v>
      </c>
      <c r="M36" s="23">
        <v>0</v>
      </c>
      <c r="N36" s="23">
        <v>0</v>
      </c>
      <c r="O36" s="112">
        <f t="shared" si="15"/>
        <v>99600</v>
      </c>
      <c r="P36" s="33">
        <v>0.18</v>
      </c>
      <c r="Q36" s="118">
        <v>0</v>
      </c>
      <c r="R36" s="112">
        <f>O36*9/100</f>
        <v>8964</v>
      </c>
      <c r="S36" s="112">
        <f>O36*9/100</f>
        <v>8964</v>
      </c>
      <c r="T36" s="23">
        <v>0</v>
      </c>
      <c r="U36" s="112">
        <f>O36+R36+S36</f>
        <v>117528</v>
      </c>
    </row>
    <row r="37" spans="1:21" ht="17.100000000000001" customHeight="1" x14ac:dyDescent="0.25">
      <c r="A37" s="20">
        <f>IF(C37="","",COUNTA($C$4:C37))</f>
        <v>34</v>
      </c>
      <c r="B37" s="20" t="str">
        <f t="shared" si="13"/>
        <v>November</v>
      </c>
      <c r="C37" s="45">
        <v>45968</v>
      </c>
      <c r="D37" s="31" t="s">
        <v>2079</v>
      </c>
      <c r="E37" s="105" t="s">
        <v>2080</v>
      </c>
      <c r="F37" s="26" t="s">
        <v>2081</v>
      </c>
      <c r="G37" s="157" t="s">
        <v>2082</v>
      </c>
      <c r="H37" s="106" t="s">
        <v>2083</v>
      </c>
      <c r="J37" s="22">
        <v>406.25</v>
      </c>
      <c r="K37" s="22">
        <v>185</v>
      </c>
      <c r="L37" s="23">
        <f t="shared" si="14"/>
        <v>75156.25</v>
      </c>
      <c r="M37" s="23">
        <v>3800</v>
      </c>
      <c r="N37" s="23">
        <v>0</v>
      </c>
      <c r="O37" s="112">
        <f t="shared" si="15"/>
        <v>78956.25</v>
      </c>
      <c r="P37" s="33">
        <v>0.18</v>
      </c>
      <c r="Q37" s="115">
        <v>0</v>
      </c>
      <c r="R37" s="112">
        <f>O37*9/100</f>
        <v>7106.0625</v>
      </c>
      <c r="S37" s="112">
        <f>O37*9/100</f>
        <v>7106.0625</v>
      </c>
      <c r="T37" s="23">
        <v>0</v>
      </c>
      <c r="U37" s="112">
        <f>O37+R37+S37</f>
        <v>93168.375</v>
      </c>
    </row>
    <row r="38" spans="1:21" ht="17.100000000000001" customHeight="1" x14ac:dyDescent="0.25">
      <c r="A38" s="20">
        <f>IF(C38="","",COUNTA($C$4:C38))</f>
        <v>35</v>
      </c>
      <c r="B38" s="20" t="str">
        <f t="shared" si="13"/>
        <v>April</v>
      </c>
      <c r="C38" s="45">
        <v>45766</v>
      </c>
      <c r="D38" s="31" t="s">
        <v>196</v>
      </c>
      <c r="E38" s="105" t="s">
        <v>197</v>
      </c>
      <c r="F38" s="26" t="s">
        <v>192</v>
      </c>
      <c r="G38" s="157" t="s">
        <v>193</v>
      </c>
      <c r="H38" s="106" t="s">
        <v>198</v>
      </c>
      <c r="J38" s="22">
        <v>510</v>
      </c>
      <c r="K38" s="64">
        <v>235</v>
      </c>
      <c r="L38" s="23">
        <f t="shared" si="14"/>
        <v>119850</v>
      </c>
      <c r="M38" s="23">
        <v>2000</v>
      </c>
      <c r="N38" s="23">
        <v>0</v>
      </c>
      <c r="O38" s="112">
        <f t="shared" si="15"/>
        <v>121850</v>
      </c>
      <c r="P38" s="33">
        <v>0.18</v>
      </c>
      <c r="Q38" s="118">
        <v>0</v>
      </c>
      <c r="R38" s="112">
        <f>O38*9/100</f>
        <v>10966.5</v>
      </c>
      <c r="S38" s="112">
        <f>O38*9/100</f>
        <v>10966.5</v>
      </c>
      <c r="T38" s="23">
        <v>0</v>
      </c>
      <c r="U38" s="112">
        <f>O38+R38+S38</f>
        <v>143783</v>
      </c>
    </row>
    <row r="39" spans="1:21" ht="17.100000000000001" customHeight="1" x14ac:dyDescent="0.25">
      <c r="A39" s="20">
        <f>IF(C39="","",COUNTA($C$4:C39))</f>
        <v>36</v>
      </c>
      <c r="B39" s="20" t="str">
        <f t="shared" ref="B39:B70" si="21">IF(C39="","",TEXT(C39,"mmmm"))</f>
        <v>April</v>
      </c>
      <c r="C39" s="45">
        <v>45768</v>
      </c>
      <c r="D39" s="31" t="s">
        <v>199</v>
      </c>
      <c r="E39" s="105" t="s">
        <v>200</v>
      </c>
      <c r="F39" s="26" t="s">
        <v>201</v>
      </c>
      <c r="G39" s="157" t="s">
        <v>88</v>
      </c>
      <c r="H39" s="106" t="s">
        <v>202</v>
      </c>
      <c r="J39" s="22">
        <v>468.75</v>
      </c>
      <c r="K39" s="64">
        <v>198</v>
      </c>
      <c r="L39" s="23">
        <f t="shared" si="14"/>
        <v>92812.5</v>
      </c>
      <c r="M39" s="23">
        <v>3000</v>
      </c>
      <c r="N39" s="23">
        <v>0</v>
      </c>
      <c r="O39" s="112">
        <f t="shared" si="15"/>
        <v>95812.5</v>
      </c>
      <c r="P39" s="33">
        <v>0.18</v>
      </c>
      <c r="Q39" s="118">
        <f>O39*18/100</f>
        <v>17246.25</v>
      </c>
      <c r="R39" s="115">
        <v>0</v>
      </c>
      <c r="S39" s="115">
        <v>0</v>
      </c>
      <c r="T39" s="23">
        <v>0</v>
      </c>
      <c r="U39" s="112">
        <f>O39+Q39</f>
        <v>113058.75</v>
      </c>
    </row>
    <row r="40" spans="1:21" ht="17.100000000000001" customHeight="1" x14ac:dyDescent="0.25">
      <c r="A40" s="20">
        <f>IF(C40="","",COUNTA($C$4:C40))</f>
        <v>37</v>
      </c>
      <c r="B40" s="20" t="str">
        <f t="shared" si="21"/>
        <v>April</v>
      </c>
      <c r="C40" s="45">
        <v>45768</v>
      </c>
      <c r="D40" s="31" t="s">
        <v>203</v>
      </c>
      <c r="E40" s="105" t="s">
        <v>204</v>
      </c>
      <c r="F40" s="26" t="s">
        <v>205</v>
      </c>
      <c r="G40" s="157" t="s">
        <v>206</v>
      </c>
      <c r="H40" s="106" t="s">
        <v>207</v>
      </c>
      <c r="K40" s="64"/>
      <c r="L40" s="23">
        <v>70340</v>
      </c>
      <c r="M40" s="23">
        <v>0</v>
      </c>
      <c r="N40" s="23">
        <v>0</v>
      </c>
      <c r="O40" s="112">
        <f t="shared" si="15"/>
        <v>70340</v>
      </c>
      <c r="P40" s="33">
        <v>0.18</v>
      </c>
      <c r="Q40" s="118">
        <v>0</v>
      </c>
      <c r="R40" s="112">
        <f t="shared" ref="R40:R47" si="22">O40*9/100</f>
        <v>6330.6</v>
      </c>
      <c r="S40" s="112">
        <f t="shared" ref="S40:S47" si="23">O40*9/100</f>
        <v>6330.6</v>
      </c>
      <c r="T40" s="23">
        <v>0</v>
      </c>
      <c r="U40" s="112">
        <f t="shared" ref="U40:U66" si="24">O40+R40+S40</f>
        <v>83001.200000000012</v>
      </c>
    </row>
    <row r="41" spans="1:21" ht="17.100000000000001" customHeight="1" x14ac:dyDescent="0.25">
      <c r="A41" s="20">
        <f>IF(C41="","",COUNTA($C$4:C41))</f>
        <v>38</v>
      </c>
      <c r="B41" s="20" t="str">
        <f t="shared" si="21"/>
        <v>April</v>
      </c>
      <c r="C41" s="45">
        <v>45768</v>
      </c>
      <c r="D41" s="31" t="s">
        <v>190</v>
      </c>
      <c r="E41" s="105" t="s">
        <v>191</v>
      </c>
      <c r="F41" s="26" t="s">
        <v>192</v>
      </c>
      <c r="G41" s="157" t="s">
        <v>193</v>
      </c>
      <c r="H41" s="106" t="s">
        <v>194</v>
      </c>
      <c r="J41" s="22">
        <v>1992</v>
      </c>
      <c r="K41" s="64">
        <v>191</v>
      </c>
      <c r="L41" s="23">
        <f t="shared" ref="L41:L74" si="25">J41*K41</f>
        <v>380472</v>
      </c>
      <c r="M41" s="23">
        <v>50000</v>
      </c>
      <c r="N41" s="23">
        <v>0</v>
      </c>
      <c r="O41" s="112">
        <f t="shared" si="15"/>
        <v>430472</v>
      </c>
      <c r="P41" s="33">
        <v>0.18</v>
      </c>
      <c r="Q41" s="118">
        <v>0</v>
      </c>
      <c r="R41" s="112">
        <f t="shared" si="22"/>
        <v>38742.480000000003</v>
      </c>
      <c r="S41" s="112">
        <f t="shared" si="23"/>
        <v>38742.480000000003</v>
      </c>
      <c r="T41" s="23">
        <v>0</v>
      </c>
      <c r="U41" s="112">
        <f t="shared" si="24"/>
        <v>507956.95999999996</v>
      </c>
    </row>
    <row r="42" spans="1:21" ht="17.100000000000001" customHeight="1" x14ac:dyDescent="0.25">
      <c r="A42" s="20">
        <f>IF(C42="","",COUNTA($C$4:C42))</f>
        <v>39</v>
      </c>
      <c r="B42" s="20" t="str">
        <f t="shared" si="21"/>
        <v>April</v>
      </c>
      <c r="C42" s="45">
        <v>45768</v>
      </c>
      <c r="D42" s="31" t="s">
        <v>190</v>
      </c>
      <c r="E42" s="105" t="s">
        <v>191</v>
      </c>
      <c r="F42" s="26" t="s">
        <v>192</v>
      </c>
      <c r="G42" s="157" t="s">
        <v>193</v>
      </c>
      <c r="H42" s="106" t="s">
        <v>195</v>
      </c>
      <c r="J42" s="22">
        <v>504</v>
      </c>
      <c r="K42" s="64">
        <v>455</v>
      </c>
      <c r="L42" s="23">
        <f t="shared" si="25"/>
        <v>229320</v>
      </c>
      <c r="M42" s="23">
        <v>0</v>
      </c>
      <c r="N42" s="23">
        <v>0</v>
      </c>
      <c r="O42" s="112">
        <f t="shared" si="15"/>
        <v>229320</v>
      </c>
      <c r="P42" s="33">
        <v>0.18</v>
      </c>
      <c r="Q42" s="118">
        <v>0</v>
      </c>
      <c r="R42" s="112">
        <f t="shared" si="22"/>
        <v>20638.8</v>
      </c>
      <c r="S42" s="112">
        <f t="shared" si="23"/>
        <v>20638.8</v>
      </c>
      <c r="T42" s="23">
        <v>0</v>
      </c>
      <c r="U42" s="112">
        <f t="shared" si="24"/>
        <v>270597.59999999998</v>
      </c>
    </row>
    <row r="43" spans="1:21" ht="17.100000000000001" customHeight="1" x14ac:dyDescent="0.25">
      <c r="A43" s="20">
        <f>IF(C43="","",COUNTA($C$4:C43))</f>
        <v>40</v>
      </c>
      <c r="B43" s="20" t="str">
        <f t="shared" si="21"/>
        <v>April</v>
      </c>
      <c r="C43" s="45">
        <v>45768</v>
      </c>
      <c r="D43" s="31" t="s">
        <v>208</v>
      </c>
      <c r="E43" s="105" t="s">
        <v>209</v>
      </c>
      <c r="F43" s="26" t="s">
        <v>210</v>
      </c>
      <c r="G43" s="157" t="s">
        <v>193</v>
      </c>
      <c r="H43" s="106" t="s">
        <v>211</v>
      </c>
      <c r="J43" s="22">
        <v>204</v>
      </c>
      <c r="K43" s="64">
        <v>645</v>
      </c>
      <c r="L43" s="23">
        <f t="shared" si="25"/>
        <v>131580</v>
      </c>
      <c r="M43" s="23">
        <v>2500</v>
      </c>
      <c r="N43" s="23">
        <v>0</v>
      </c>
      <c r="O43" s="112">
        <f t="shared" si="15"/>
        <v>134080</v>
      </c>
      <c r="P43" s="33">
        <v>0.18</v>
      </c>
      <c r="Q43" s="118">
        <v>0</v>
      </c>
      <c r="R43" s="112">
        <f t="shared" si="22"/>
        <v>12067.2</v>
      </c>
      <c r="S43" s="112">
        <f t="shared" si="23"/>
        <v>12067.2</v>
      </c>
      <c r="T43" s="23">
        <v>0</v>
      </c>
      <c r="U43" s="112">
        <f t="shared" si="24"/>
        <v>158214.40000000002</v>
      </c>
    </row>
    <row r="44" spans="1:21" ht="17.100000000000001" customHeight="1" x14ac:dyDescent="0.25">
      <c r="A44" s="20">
        <f>IF(C44="","",COUNTA($C$4:C44))</f>
        <v>41</v>
      </c>
      <c r="B44" s="20" t="str">
        <f t="shared" si="21"/>
        <v>April</v>
      </c>
      <c r="C44" s="45">
        <v>45768</v>
      </c>
      <c r="D44" s="101" t="s">
        <v>208</v>
      </c>
      <c r="E44" s="105" t="s">
        <v>209</v>
      </c>
      <c r="F44" s="26" t="s">
        <v>210</v>
      </c>
      <c r="G44" s="157" t="s">
        <v>193</v>
      </c>
      <c r="H44" s="106" t="s">
        <v>212</v>
      </c>
      <c r="J44" s="22">
        <v>28</v>
      </c>
      <c r="K44" s="64">
        <v>1025</v>
      </c>
      <c r="L44" s="23">
        <f t="shared" si="25"/>
        <v>28700</v>
      </c>
      <c r="M44" s="23">
        <v>0</v>
      </c>
      <c r="N44" s="23">
        <v>0</v>
      </c>
      <c r="O44" s="112">
        <f t="shared" si="15"/>
        <v>28700</v>
      </c>
      <c r="P44" s="33">
        <v>0.18</v>
      </c>
      <c r="Q44" s="118">
        <v>0</v>
      </c>
      <c r="R44" s="112">
        <f t="shared" si="22"/>
        <v>2583</v>
      </c>
      <c r="S44" s="112">
        <f t="shared" si="23"/>
        <v>2583</v>
      </c>
      <c r="T44" s="23">
        <v>0</v>
      </c>
      <c r="U44" s="112">
        <f t="shared" si="24"/>
        <v>33866</v>
      </c>
    </row>
    <row r="45" spans="1:21" ht="17.100000000000001" customHeight="1" x14ac:dyDescent="0.25">
      <c r="A45" s="20">
        <f>IF(C45="","",COUNTA($C$4:C45))</f>
        <v>42</v>
      </c>
      <c r="B45" s="20" t="str">
        <f t="shared" si="21"/>
        <v>April</v>
      </c>
      <c r="C45" s="45">
        <v>45776</v>
      </c>
      <c r="D45" s="31" t="s">
        <v>322</v>
      </c>
      <c r="E45" s="105" t="s">
        <v>323</v>
      </c>
      <c r="F45" s="26" t="s">
        <v>324</v>
      </c>
      <c r="G45" s="157" t="s">
        <v>193</v>
      </c>
      <c r="H45" s="106" t="s">
        <v>325</v>
      </c>
      <c r="J45" s="22">
        <v>556</v>
      </c>
      <c r="K45" s="64">
        <v>150</v>
      </c>
      <c r="L45" s="23">
        <f t="shared" si="25"/>
        <v>83400</v>
      </c>
      <c r="M45" s="23">
        <v>2000</v>
      </c>
      <c r="N45" s="23">
        <v>0</v>
      </c>
      <c r="O45" s="112">
        <f t="shared" si="15"/>
        <v>85400</v>
      </c>
      <c r="P45" s="33">
        <v>0.18</v>
      </c>
      <c r="Q45" s="115">
        <v>0</v>
      </c>
      <c r="R45" s="112">
        <f t="shared" si="22"/>
        <v>7686</v>
      </c>
      <c r="S45" s="112">
        <f t="shared" si="23"/>
        <v>7686</v>
      </c>
      <c r="T45" s="23">
        <v>0</v>
      </c>
      <c r="U45" s="112">
        <f t="shared" si="24"/>
        <v>100772</v>
      </c>
    </row>
    <row r="46" spans="1:21" ht="17.100000000000001" customHeight="1" x14ac:dyDescent="0.25">
      <c r="A46" s="20">
        <f>IF(C46="","",COUNTA($C$4:C46))</f>
        <v>43</v>
      </c>
      <c r="B46" s="20" t="str">
        <f t="shared" si="21"/>
        <v>May</v>
      </c>
      <c r="C46" s="45">
        <v>45793</v>
      </c>
      <c r="D46" s="31" t="s">
        <v>510</v>
      </c>
      <c r="E46" s="105" t="s">
        <v>511</v>
      </c>
      <c r="F46" s="26" t="s">
        <v>192</v>
      </c>
      <c r="G46" s="157" t="s">
        <v>193</v>
      </c>
      <c r="H46" s="106" t="s">
        <v>512</v>
      </c>
      <c r="J46" s="22">
        <v>1356</v>
      </c>
      <c r="K46" s="64">
        <v>191</v>
      </c>
      <c r="L46" s="23">
        <f t="shared" si="25"/>
        <v>258996</v>
      </c>
      <c r="M46" s="23">
        <v>25000</v>
      </c>
      <c r="N46" s="23">
        <v>0</v>
      </c>
      <c r="O46" s="112">
        <f t="shared" si="15"/>
        <v>283996</v>
      </c>
      <c r="P46" s="33">
        <v>0.18</v>
      </c>
      <c r="Q46" s="118">
        <v>0</v>
      </c>
      <c r="R46" s="112">
        <f t="shared" si="22"/>
        <v>25559.64</v>
      </c>
      <c r="S46" s="112">
        <f t="shared" si="23"/>
        <v>25559.64</v>
      </c>
      <c r="T46" s="23">
        <v>0</v>
      </c>
      <c r="U46" s="112">
        <f t="shared" si="24"/>
        <v>335115.28000000003</v>
      </c>
    </row>
    <row r="47" spans="1:21" ht="17.100000000000001" customHeight="1" x14ac:dyDescent="0.25">
      <c r="A47" s="20">
        <f>IF(C47="","",COUNTA($C$4:C47))</f>
        <v>44</v>
      </c>
      <c r="B47" s="20" t="str">
        <f t="shared" si="21"/>
        <v>May</v>
      </c>
      <c r="C47" s="45">
        <v>45794</v>
      </c>
      <c r="D47" s="31" t="s">
        <v>513</v>
      </c>
      <c r="E47" s="105" t="s">
        <v>514</v>
      </c>
      <c r="F47" s="26" t="s">
        <v>192</v>
      </c>
      <c r="G47" s="157" t="s">
        <v>193</v>
      </c>
      <c r="H47" s="106" t="s">
        <v>515</v>
      </c>
      <c r="J47" s="22">
        <v>1284</v>
      </c>
      <c r="K47" s="64">
        <v>191</v>
      </c>
      <c r="L47" s="23">
        <f t="shared" si="25"/>
        <v>245244</v>
      </c>
      <c r="M47" s="23">
        <v>25000</v>
      </c>
      <c r="N47" s="23">
        <v>0</v>
      </c>
      <c r="O47" s="112">
        <f t="shared" si="15"/>
        <v>270244</v>
      </c>
      <c r="P47" s="33">
        <v>0.18</v>
      </c>
      <c r="Q47" s="118">
        <v>0</v>
      </c>
      <c r="R47" s="112">
        <f t="shared" si="22"/>
        <v>24321.96</v>
      </c>
      <c r="S47" s="112">
        <f t="shared" si="23"/>
        <v>24321.96</v>
      </c>
      <c r="T47" s="23">
        <v>0</v>
      </c>
      <c r="U47" s="112">
        <f t="shared" si="24"/>
        <v>318887.92000000004</v>
      </c>
    </row>
    <row r="48" spans="1:21" ht="17.100000000000001" customHeight="1" x14ac:dyDescent="0.25">
      <c r="A48" s="20">
        <f>IF(C48="","",COUNTA($C$4:C48))</f>
        <v>45</v>
      </c>
      <c r="B48" s="20" t="str">
        <f t="shared" si="21"/>
        <v>April</v>
      </c>
      <c r="C48" s="45">
        <v>45770</v>
      </c>
      <c r="D48" s="31" t="s">
        <v>246</v>
      </c>
      <c r="E48" s="105" t="s">
        <v>247</v>
      </c>
      <c r="F48" s="26"/>
      <c r="G48" s="157" t="s">
        <v>248</v>
      </c>
      <c r="H48" s="106" t="s">
        <v>249</v>
      </c>
      <c r="J48" s="22">
        <v>300</v>
      </c>
      <c r="K48" s="64">
        <v>11</v>
      </c>
      <c r="L48" s="23">
        <f t="shared" si="25"/>
        <v>3300</v>
      </c>
      <c r="M48" s="23">
        <v>0</v>
      </c>
      <c r="N48" s="23">
        <v>0</v>
      </c>
      <c r="O48" s="112">
        <f t="shared" si="15"/>
        <v>3300</v>
      </c>
      <c r="P48" s="33">
        <v>0.18</v>
      </c>
      <c r="Q48" s="118">
        <v>0</v>
      </c>
      <c r="R48" s="112">
        <f>O48*2.5/100</f>
        <v>82.5</v>
      </c>
      <c r="S48" s="112">
        <f>O48*2.5/100</f>
        <v>82.5</v>
      </c>
      <c r="T48" s="23">
        <v>0</v>
      </c>
      <c r="U48" s="112">
        <f t="shared" si="24"/>
        <v>3465</v>
      </c>
    </row>
    <row r="49" spans="1:21" ht="17.100000000000001" customHeight="1" x14ac:dyDescent="0.25">
      <c r="A49" s="20">
        <f>IF(C49="","",COUNTA($C$4:C49))</f>
        <v>46</v>
      </c>
      <c r="B49" s="20" t="str">
        <f t="shared" si="21"/>
        <v>April</v>
      </c>
      <c r="C49" s="45">
        <v>45770</v>
      </c>
      <c r="D49" s="31" t="s">
        <v>246</v>
      </c>
      <c r="E49" s="105" t="s">
        <v>247</v>
      </c>
      <c r="F49" s="26"/>
      <c r="G49" s="157" t="s">
        <v>248</v>
      </c>
      <c r="H49" s="106" t="s">
        <v>250</v>
      </c>
      <c r="J49" s="22">
        <v>200</v>
      </c>
      <c r="K49" s="64">
        <v>13</v>
      </c>
      <c r="L49" s="23">
        <f t="shared" si="25"/>
        <v>2600</v>
      </c>
      <c r="M49" s="23">
        <v>0</v>
      </c>
      <c r="N49" s="23">
        <v>0</v>
      </c>
      <c r="O49" s="112">
        <f t="shared" si="15"/>
        <v>2600</v>
      </c>
      <c r="P49" s="33">
        <v>0.18</v>
      </c>
      <c r="Q49" s="118">
        <v>0</v>
      </c>
      <c r="R49" s="112">
        <f>O49*2.5/100</f>
        <v>65</v>
      </c>
      <c r="S49" s="112">
        <f>O49*2.5/100</f>
        <v>65</v>
      </c>
      <c r="T49" s="23">
        <v>0</v>
      </c>
      <c r="U49" s="112">
        <f t="shared" si="24"/>
        <v>2730</v>
      </c>
    </row>
    <row r="50" spans="1:21" ht="17.100000000000001" customHeight="1" x14ac:dyDescent="0.25">
      <c r="A50" s="20">
        <f>IF(C50="","",COUNTA($C$4:C50))</f>
        <v>47</v>
      </c>
      <c r="B50" s="20" t="str">
        <f t="shared" si="21"/>
        <v>April</v>
      </c>
      <c r="C50" s="45">
        <v>45770</v>
      </c>
      <c r="D50" s="31" t="s">
        <v>251</v>
      </c>
      <c r="E50" s="105" t="s">
        <v>252</v>
      </c>
      <c r="F50" s="26" t="s">
        <v>253</v>
      </c>
      <c r="G50" s="157" t="s">
        <v>254</v>
      </c>
      <c r="H50" s="106" t="s">
        <v>255</v>
      </c>
      <c r="J50" s="22">
        <v>4200</v>
      </c>
      <c r="K50" s="64">
        <v>34</v>
      </c>
      <c r="L50" s="23">
        <f t="shared" si="25"/>
        <v>142800</v>
      </c>
      <c r="M50" s="23">
        <v>0</v>
      </c>
      <c r="N50" s="23">
        <v>0</v>
      </c>
      <c r="O50" s="112">
        <f t="shared" si="15"/>
        <v>142800</v>
      </c>
      <c r="P50" s="33">
        <v>0.18</v>
      </c>
      <c r="Q50" s="118">
        <v>0</v>
      </c>
      <c r="R50" s="112">
        <f t="shared" ref="R50:R66" si="26">O50*9/100</f>
        <v>12852</v>
      </c>
      <c r="S50" s="112">
        <f t="shared" ref="S50:S66" si="27">O50*9/100</f>
        <v>12852</v>
      </c>
      <c r="T50" s="23">
        <v>0</v>
      </c>
      <c r="U50" s="112">
        <f t="shared" si="24"/>
        <v>168504</v>
      </c>
    </row>
    <row r="51" spans="1:21" ht="17.100000000000001" customHeight="1" x14ac:dyDescent="0.25">
      <c r="A51" s="20">
        <f>IF(C51="","",COUNTA($C$4:C51))</f>
        <v>48</v>
      </c>
      <c r="B51" s="20" t="str">
        <f t="shared" si="21"/>
        <v>April</v>
      </c>
      <c r="C51" s="45">
        <v>45770</v>
      </c>
      <c r="D51" s="31" t="s">
        <v>251</v>
      </c>
      <c r="E51" s="105" t="s">
        <v>252</v>
      </c>
      <c r="F51" s="26" t="s">
        <v>253</v>
      </c>
      <c r="G51" s="157" t="s">
        <v>254</v>
      </c>
      <c r="H51" s="106" t="s">
        <v>256</v>
      </c>
      <c r="J51" s="22">
        <v>25250</v>
      </c>
      <c r="K51" s="64">
        <v>6.5</v>
      </c>
      <c r="L51" s="23">
        <f t="shared" si="25"/>
        <v>164125</v>
      </c>
      <c r="M51" s="23">
        <v>0</v>
      </c>
      <c r="N51" s="23">
        <v>0</v>
      </c>
      <c r="O51" s="112">
        <f t="shared" si="15"/>
        <v>164125</v>
      </c>
      <c r="P51" s="33">
        <v>0.18</v>
      </c>
      <c r="Q51" s="118">
        <v>0</v>
      </c>
      <c r="R51" s="112">
        <f t="shared" si="26"/>
        <v>14771.25</v>
      </c>
      <c r="S51" s="112">
        <f t="shared" si="27"/>
        <v>14771.25</v>
      </c>
      <c r="T51" s="23">
        <v>0</v>
      </c>
      <c r="U51" s="112">
        <f t="shared" si="24"/>
        <v>193667.5</v>
      </c>
    </row>
    <row r="52" spans="1:21" ht="17.100000000000001" customHeight="1" x14ac:dyDescent="0.25">
      <c r="A52" s="20">
        <f>IF(C52="","",COUNTA($C$4:C52))</f>
        <v>49</v>
      </c>
      <c r="B52" s="20" t="str">
        <f t="shared" si="21"/>
        <v>April</v>
      </c>
      <c r="C52" s="45">
        <v>45770</v>
      </c>
      <c r="D52" s="31" t="s">
        <v>257</v>
      </c>
      <c r="E52" s="105" t="s">
        <v>258</v>
      </c>
      <c r="F52" s="26" t="s">
        <v>259</v>
      </c>
      <c r="G52" s="157" t="s">
        <v>260</v>
      </c>
      <c r="H52" s="106" t="s">
        <v>261</v>
      </c>
      <c r="J52" s="22">
        <v>12816</v>
      </c>
      <c r="K52" s="64">
        <v>3.1</v>
      </c>
      <c r="L52" s="23">
        <f t="shared" si="25"/>
        <v>39729.599999999999</v>
      </c>
      <c r="M52" s="23">
        <v>0</v>
      </c>
      <c r="N52" s="23">
        <v>0</v>
      </c>
      <c r="O52" s="112">
        <f t="shared" si="15"/>
        <v>39729.599999999999</v>
      </c>
      <c r="P52" s="33">
        <v>0.18</v>
      </c>
      <c r="Q52" s="118">
        <v>0</v>
      </c>
      <c r="R52" s="112">
        <f t="shared" si="26"/>
        <v>3575.6639999999998</v>
      </c>
      <c r="S52" s="112">
        <f t="shared" si="27"/>
        <v>3575.6639999999998</v>
      </c>
      <c r="T52" s="23">
        <v>0</v>
      </c>
      <c r="U52" s="112">
        <f t="shared" si="24"/>
        <v>46880.927999999993</v>
      </c>
    </row>
    <row r="53" spans="1:21" ht="17.100000000000001" customHeight="1" x14ac:dyDescent="0.25">
      <c r="A53" s="20">
        <f>IF(C53="","",COUNTA($C$4:C53))</f>
        <v>50</v>
      </c>
      <c r="B53" s="20" t="str">
        <f t="shared" si="21"/>
        <v>April</v>
      </c>
      <c r="C53" s="45">
        <v>45770</v>
      </c>
      <c r="D53" s="31" t="s">
        <v>257</v>
      </c>
      <c r="E53" s="105" t="s">
        <v>258</v>
      </c>
      <c r="F53" s="26" t="s">
        <v>259</v>
      </c>
      <c r="G53" s="157" t="s">
        <v>260</v>
      </c>
      <c r="H53" s="106" t="s">
        <v>262</v>
      </c>
      <c r="J53" s="22">
        <v>7723</v>
      </c>
      <c r="K53" s="64">
        <v>3.33</v>
      </c>
      <c r="L53" s="23">
        <f t="shared" si="25"/>
        <v>25717.59</v>
      </c>
      <c r="M53" s="23">
        <v>0</v>
      </c>
      <c r="N53" s="23">
        <v>0</v>
      </c>
      <c r="O53" s="112">
        <f t="shared" si="15"/>
        <v>25717.59</v>
      </c>
      <c r="P53" s="33">
        <v>0.18</v>
      </c>
      <c r="Q53" s="118">
        <v>0</v>
      </c>
      <c r="R53" s="112">
        <f t="shared" si="26"/>
        <v>2314.5830999999998</v>
      </c>
      <c r="S53" s="112">
        <f t="shared" si="27"/>
        <v>2314.5830999999998</v>
      </c>
      <c r="T53" s="23">
        <v>0</v>
      </c>
      <c r="U53" s="112">
        <f t="shared" si="24"/>
        <v>30346.7562</v>
      </c>
    </row>
    <row r="54" spans="1:21" ht="17.100000000000001" customHeight="1" x14ac:dyDescent="0.25">
      <c r="A54" s="20">
        <f>IF(C54="","",COUNTA($C$4:C54))</f>
        <v>51</v>
      </c>
      <c r="B54" s="20" t="str">
        <f t="shared" si="21"/>
        <v>April</v>
      </c>
      <c r="C54" s="29">
        <v>45758</v>
      </c>
      <c r="D54" s="31" t="s">
        <v>119</v>
      </c>
      <c r="E54" s="106" t="s">
        <v>120</v>
      </c>
      <c r="F54" s="26" t="s">
        <v>121</v>
      </c>
      <c r="G54" s="158" t="s">
        <v>122</v>
      </c>
      <c r="H54" s="106" t="s">
        <v>124</v>
      </c>
      <c r="I54" s="159" t="s">
        <v>154</v>
      </c>
      <c r="J54" s="22">
        <v>1.02</v>
      </c>
      <c r="K54" s="64">
        <v>70500</v>
      </c>
      <c r="L54" s="23">
        <f t="shared" si="25"/>
        <v>71910</v>
      </c>
      <c r="M54" s="23">
        <v>0</v>
      </c>
      <c r="N54" s="23">
        <v>0</v>
      </c>
      <c r="O54" s="112">
        <f t="shared" si="15"/>
        <v>71910</v>
      </c>
      <c r="P54" s="33">
        <v>0.18</v>
      </c>
      <c r="Q54" s="118">
        <v>0</v>
      </c>
      <c r="R54" s="112">
        <f t="shared" si="26"/>
        <v>6471.9</v>
      </c>
      <c r="S54" s="112">
        <f t="shared" si="27"/>
        <v>6471.9</v>
      </c>
      <c r="T54" s="23">
        <v>0</v>
      </c>
      <c r="U54" s="112">
        <f t="shared" si="24"/>
        <v>84853.799999999988</v>
      </c>
    </row>
    <row r="55" spans="1:21" ht="17.100000000000001" customHeight="1" x14ac:dyDescent="0.25">
      <c r="A55" s="20">
        <f>IF(C55="","",COUNTA($C$4:C55))</f>
        <v>52</v>
      </c>
      <c r="B55" s="20" t="str">
        <f t="shared" si="21"/>
        <v>April</v>
      </c>
      <c r="C55" s="45">
        <v>45771</v>
      </c>
      <c r="D55" s="31" t="s">
        <v>267</v>
      </c>
      <c r="E55" s="105" t="s">
        <v>268</v>
      </c>
      <c r="F55" s="26"/>
      <c r="G55" s="157" t="s">
        <v>100</v>
      </c>
      <c r="H55" s="106" t="s">
        <v>269</v>
      </c>
      <c r="J55" s="22">
        <v>2</v>
      </c>
      <c r="K55" s="64">
        <v>880.52</v>
      </c>
      <c r="L55" s="23">
        <f t="shared" si="25"/>
        <v>1761.04</v>
      </c>
      <c r="M55" s="23">
        <v>0</v>
      </c>
      <c r="N55" s="23">
        <v>0</v>
      </c>
      <c r="O55" s="112">
        <f t="shared" si="15"/>
        <v>1761.04</v>
      </c>
      <c r="P55" s="33">
        <v>0.18</v>
      </c>
      <c r="Q55" s="118">
        <v>0</v>
      </c>
      <c r="R55" s="112">
        <f t="shared" si="26"/>
        <v>158.49360000000001</v>
      </c>
      <c r="S55" s="112">
        <f t="shared" si="27"/>
        <v>158.49360000000001</v>
      </c>
      <c r="T55" s="23">
        <v>0</v>
      </c>
      <c r="U55" s="112">
        <f t="shared" si="24"/>
        <v>2078.0272</v>
      </c>
    </row>
    <row r="56" spans="1:21" ht="17.100000000000001" customHeight="1" x14ac:dyDescent="0.25">
      <c r="A56" s="20">
        <f>IF(C56="","",COUNTA($C$4:C56))</f>
        <v>53</v>
      </c>
      <c r="B56" s="20" t="str">
        <f t="shared" si="21"/>
        <v>April</v>
      </c>
      <c r="C56" s="29">
        <v>45759</v>
      </c>
      <c r="D56" s="31" t="s">
        <v>125</v>
      </c>
      <c r="E56" s="106" t="s">
        <v>126</v>
      </c>
      <c r="F56" s="26" t="s">
        <v>127</v>
      </c>
      <c r="G56" s="158" t="s">
        <v>122</v>
      </c>
      <c r="H56" s="106" t="s">
        <v>128</v>
      </c>
      <c r="I56" s="159" t="s">
        <v>153</v>
      </c>
      <c r="J56" s="22">
        <v>8.5500000000000007</v>
      </c>
      <c r="K56" s="64">
        <v>68250</v>
      </c>
      <c r="L56" s="23">
        <f t="shared" si="25"/>
        <v>583537.5</v>
      </c>
      <c r="M56" s="23">
        <v>4700</v>
      </c>
      <c r="N56" s="23">
        <v>0</v>
      </c>
      <c r="O56" s="112">
        <f t="shared" si="15"/>
        <v>588237.5</v>
      </c>
      <c r="P56" s="33">
        <v>0.18</v>
      </c>
      <c r="Q56" s="118">
        <v>0</v>
      </c>
      <c r="R56" s="112">
        <f t="shared" si="26"/>
        <v>52941.375</v>
      </c>
      <c r="S56" s="112">
        <f t="shared" si="27"/>
        <v>52941.375</v>
      </c>
      <c r="T56" s="23">
        <v>0</v>
      </c>
      <c r="U56" s="112">
        <f t="shared" si="24"/>
        <v>694120.25</v>
      </c>
    </row>
    <row r="57" spans="1:21" ht="17.100000000000001" customHeight="1" x14ac:dyDescent="0.25">
      <c r="A57" s="20">
        <f>IF(C57="","",COUNTA($C$4:C57))</f>
        <v>54</v>
      </c>
      <c r="B57" s="20" t="str">
        <f t="shared" si="21"/>
        <v>April</v>
      </c>
      <c r="C57" s="29">
        <v>45759</v>
      </c>
      <c r="D57" s="31" t="s">
        <v>125</v>
      </c>
      <c r="E57" s="106" t="s">
        <v>126</v>
      </c>
      <c r="F57" s="26" t="s">
        <v>127</v>
      </c>
      <c r="G57" s="158" t="s">
        <v>122</v>
      </c>
      <c r="H57" s="106" t="s">
        <v>129</v>
      </c>
      <c r="I57" s="159" t="s">
        <v>153</v>
      </c>
      <c r="J57" s="22">
        <v>0.77</v>
      </c>
      <c r="K57" s="64">
        <v>68250</v>
      </c>
      <c r="L57" s="23">
        <f t="shared" si="25"/>
        <v>52552.5</v>
      </c>
      <c r="M57" s="23">
        <v>0</v>
      </c>
      <c r="N57" s="23">
        <v>0</v>
      </c>
      <c r="O57" s="112">
        <f t="shared" si="15"/>
        <v>52552.5</v>
      </c>
      <c r="P57" s="33">
        <v>0.18</v>
      </c>
      <c r="Q57" s="118">
        <v>0</v>
      </c>
      <c r="R57" s="112">
        <f t="shared" si="26"/>
        <v>4729.7250000000004</v>
      </c>
      <c r="S57" s="112">
        <f t="shared" si="27"/>
        <v>4729.7250000000004</v>
      </c>
      <c r="T57" s="23">
        <v>0</v>
      </c>
      <c r="U57" s="112">
        <f t="shared" si="24"/>
        <v>62011.95</v>
      </c>
    </row>
    <row r="58" spans="1:21" ht="17.100000000000001" customHeight="1" x14ac:dyDescent="0.25">
      <c r="A58" s="20">
        <f>IF(C58="","",COUNTA($C$4:C58))</f>
        <v>55</v>
      </c>
      <c r="B58" s="20" t="str">
        <f t="shared" si="21"/>
        <v>June</v>
      </c>
      <c r="C58" s="45">
        <v>45820</v>
      </c>
      <c r="D58" s="31" t="s">
        <v>726</v>
      </c>
      <c r="E58" s="105" t="s">
        <v>727</v>
      </c>
      <c r="F58" s="26" t="s">
        <v>728</v>
      </c>
      <c r="G58" s="157" t="s">
        <v>122</v>
      </c>
      <c r="H58" s="106" t="s">
        <v>729</v>
      </c>
      <c r="I58" s="159" t="s">
        <v>160</v>
      </c>
      <c r="J58" s="22">
        <v>6.0250000000000004</v>
      </c>
      <c r="K58" s="64">
        <v>71500</v>
      </c>
      <c r="L58" s="23">
        <f t="shared" si="25"/>
        <v>430787.5</v>
      </c>
      <c r="M58" s="23">
        <v>16600</v>
      </c>
      <c r="N58" s="23">
        <v>0</v>
      </c>
      <c r="O58" s="112">
        <f t="shared" si="15"/>
        <v>447387.5</v>
      </c>
      <c r="P58" s="33">
        <v>0.18</v>
      </c>
      <c r="Q58" s="118">
        <v>0</v>
      </c>
      <c r="R58" s="112">
        <f t="shared" si="26"/>
        <v>40264.875</v>
      </c>
      <c r="S58" s="112">
        <f t="shared" si="27"/>
        <v>40264.875</v>
      </c>
      <c r="T58" s="23">
        <v>0</v>
      </c>
      <c r="U58" s="112">
        <f t="shared" si="24"/>
        <v>527917.25</v>
      </c>
    </row>
    <row r="59" spans="1:21" ht="17.100000000000001" customHeight="1" x14ac:dyDescent="0.25">
      <c r="A59" s="20">
        <f>IF(C59="","",COUNTA($C$4:C59))</f>
        <v>56</v>
      </c>
      <c r="B59" s="20" t="str">
        <f t="shared" si="21"/>
        <v>June</v>
      </c>
      <c r="C59" s="45">
        <v>45820</v>
      </c>
      <c r="D59" s="31" t="s">
        <v>726</v>
      </c>
      <c r="E59" s="105" t="s">
        <v>727</v>
      </c>
      <c r="F59" s="26" t="s">
        <v>728</v>
      </c>
      <c r="G59" s="157" t="s">
        <v>122</v>
      </c>
      <c r="H59" s="106" t="s">
        <v>730</v>
      </c>
      <c r="I59" s="159" t="s">
        <v>276</v>
      </c>
      <c r="J59" s="22">
        <v>5.7850000000000001</v>
      </c>
      <c r="K59" s="64">
        <v>71500</v>
      </c>
      <c r="L59" s="23">
        <f t="shared" si="25"/>
        <v>413627.5</v>
      </c>
      <c r="M59" s="23">
        <v>0</v>
      </c>
      <c r="N59" s="23">
        <v>0</v>
      </c>
      <c r="O59" s="112">
        <f t="shared" si="15"/>
        <v>413627.5</v>
      </c>
      <c r="P59" s="33">
        <v>0.18</v>
      </c>
      <c r="Q59" s="118">
        <v>0</v>
      </c>
      <c r="R59" s="112">
        <f t="shared" si="26"/>
        <v>37226.474999999999</v>
      </c>
      <c r="S59" s="112">
        <f t="shared" si="27"/>
        <v>37226.474999999999</v>
      </c>
      <c r="T59" s="23">
        <v>0</v>
      </c>
      <c r="U59" s="112">
        <f t="shared" si="24"/>
        <v>488080.44999999995</v>
      </c>
    </row>
    <row r="60" spans="1:21" ht="17.100000000000001" customHeight="1" x14ac:dyDescent="0.25">
      <c r="A60" s="20">
        <f>IF(C60="","",COUNTA($C$4:C60))</f>
        <v>57</v>
      </c>
      <c r="B60" s="20" t="str">
        <f t="shared" si="21"/>
        <v>June</v>
      </c>
      <c r="C60" s="45">
        <v>45811</v>
      </c>
      <c r="D60" s="31" t="s">
        <v>669</v>
      </c>
      <c r="E60" s="105" t="s">
        <v>670</v>
      </c>
      <c r="F60" s="26" t="s">
        <v>671</v>
      </c>
      <c r="G60" s="157" t="s">
        <v>193</v>
      </c>
      <c r="H60" s="105" t="s">
        <v>672</v>
      </c>
      <c r="I60" s="161"/>
      <c r="J60" s="22">
        <v>420</v>
      </c>
      <c r="K60" s="64">
        <v>174</v>
      </c>
      <c r="L60" s="23">
        <f t="shared" si="25"/>
        <v>73080</v>
      </c>
      <c r="M60" s="23">
        <v>4000</v>
      </c>
      <c r="N60" s="23">
        <v>0</v>
      </c>
      <c r="O60" s="112">
        <f t="shared" si="15"/>
        <v>77080</v>
      </c>
      <c r="P60" s="33">
        <v>0.18</v>
      </c>
      <c r="Q60" s="118">
        <v>0</v>
      </c>
      <c r="R60" s="112">
        <f t="shared" si="26"/>
        <v>6937.2</v>
      </c>
      <c r="S60" s="112">
        <f t="shared" si="27"/>
        <v>6937.2</v>
      </c>
      <c r="T60" s="23">
        <v>0</v>
      </c>
      <c r="U60" s="112">
        <f t="shared" si="24"/>
        <v>90954.4</v>
      </c>
    </row>
    <row r="61" spans="1:21" ht="17.100000000000001" customHeight="1" x14ac:dyDescent="0.25">
      <c r="A61" s="20">
        <f>IF(C61="","",COUNTA($C$4:C61))</f>
        <v>58</v>
      </c>
      <c r="B61" s="20" t="str">
        <f t="shared" si="21"/>
        <v>June</v>
      </c>
      <c r="C61" s="45">
        <v>45811</v>
      </c>
      <c r="D61" s="31" t="s">
        <v>669</v>
      </c>
      <c r="E61" s="105" t="s">
        <v>670</v>
      </c>
      <c r="F61" s="26" t="s">
        <v>671</v>
      </c>
      <c r="G61" s="157" t="s">
        <v>193</v>
      </c>
      <c r="H61" s="105" t="s">
        <v>673</v>
      </c>
      <c r="I61" s="161"/>
      <c r="J61" s="22">
        <v>85</v>
      </c>
      <c r="K61" s="64">
        <v>174</v>
      </c>
      <c r="L61" s="23">
        <f t="shared" si="25"/>
        <v>14790</v>
      </c>
      <c r="M61" s="23">
        <v>0</v>
      </c>
      <c r="N61" s="23">
        <v>0</v>
      </c>
      <c r="O61" s="112">
        <f t="shared" si="15"/>
        <v>14790</v>
      </c>
      <c r="P61" s="33">
        <v>0.18</v>
      </c>
      <c r="Q61" s="118">
        <v>0</v>
      </c>
      <c r="R61" s="112">
        <f t="shared" si="26"/>
        <v>1331.1</v>
      </c>
      <c r="S61" s="112">
        <f t="shared" si="27"/>
        <v>1331.1</v>
      </c>
      <c r="T61" s="23">
        <v>0</v>
      </c>
      <c r="U61" s="112">
        <f t="shared" si="24"/>
        <v>17452.2</v>
      </c>
    </row>
    <row r="62" spans="1:21" ht="17.100000000000001" customHeight="1" x14ac:dyDescent="0.25">
      <c r="A62" s="20">
        <f>IF(C62="","",COUNTA($C$4:C62))</f>
        <v>59</v>
      </c>
      <c r="B62" s="20" t="str">
        <f t="shared" si="21"/>
        <v>June</v>
      </c>
      <c r="C62" s="45">
        <v>45817</v>
      </c>
      <c r="D62" s="31" t="s">
        <v>682</v>
      </c>
      <c r="E62" s="105" t="s">
        <v>683</v>
      </c>
      <c r="F62" s="26" t="s">
        <v>192</v>
      </c>
      <c r="G62" s="157" t="s">
        <v>193</v>
      </c>
      <c r="H62" s="106" t="s">
        <v>684</v>
      </c>
      <c r="J62" s="22">
        <v>504</v>
      </c>
      <c r="K62" s="64">
        <v>455</v>
      </c>
      <c r="L62" s="23">
        <f t="shared" si="25"/>
        <v>229320</v>
      </c>
      <c r="M62" s="23">
        <v>24345</v>
      </c>
      <c r="N62" s="23">
        <v>0</v>
      </c>
      <c r="O62" s="112">
        <f t="shared" si="15"/>
        <v>253665</v>
      </c>
      <c r="P62" s="33">
        <v>0.18</v>
      </c>
      <c r="Q62" s="118">
        <v>0</v>
      </c>
      <c r="R62" s="112">
        <f t="shared" si="26"/>
        <v>22829.85</v>
      </c>
      <c r="S62" s="112">
        <f t="shared" si="27"/>
        <v>22829.85</v>
      </c>
      <c r="T62" s="23">
        <v>0</v>
      </c>
      <c r="U62" s="112">
        <f t="shared" si="24"/>
        <v>299324.69999999995</v>
      </c>
    </row>
    <row r="63" spans="1:21" ht="17.100000000000001" customHeight="1" x14ac:dyDescent="0.25">
      <c r="A63" s="20">
        <f>IF(C63="","",COUNTA($C$4:C63))</f>
        <v>60</v>
      </c>
      <c r="B63" s="20" t="str">
        <f t="shared" si="21"/>
        <v>April</v>
      </c>
      <c r="C63" s="45">
        <v>45777</v>
      </c>
      <c r="D63" s="31" t="s">
        <v>312</v>
      </c>
      <c r="E63" s="105" t="s">
        <v>309</v>
      </c>
      <c r="F63" s="26" t="s">
        <v>310</v>
      </c>
      <c r="G63" s="157" t="s">
        <v>260</v>
      </c>
      <c r="H63" s="106" t="s">
        <v>261</v>
      </c>
      <c r="J63" s="22">
        <v>4285</v>
      </c>
      <c r="K63" s="64">
        <v>3.1</v>
      </c>
      <c r="L63" s="23">
        <f t="shared" si="25"/>
        <v>13283.5</v>
      </c>
      <c r="M63" s="23">
        <v>0</v>
      </c>
      <c r="N63" s="23">
        <v>0</v>
      </c>
      <c r="O63" s="112">
        <f t="shared" si="15"/>
        <v>13283.5</v>
      </c>
      <c r="P63" s="33">
        <v>0.18</v>
      </c>
      <c r="Q63" s="115">
        <v>0</v>
      </c>
      <c r="R63" s="112">
        <f t="shared" si="26"/>
        <v>1195.5150000000001</v>
      </c>
      <c r="S63" s="112">
        <f t="shared" si="27"/>
        <v>1195.5150000000001</v>
      </c>
      <c r="T63" s="23">
        <v>0</v>
      </c>
      <c r="U63" s="112">
        <f t="shared" si="24"/>
        <v>15674.529999999999</v>
      </c>
    </row>
    <row r="64" spans="1:21" ht="17.100000000000001" customHeight="1" x14ac:dyDescent="0.25">
      <c r="A64" s="20">
        <f>IF(C64="","",COUNTA($C$4:C64))</f>
        <v>61</v>
      </c>
      <c r="B64" s="20" t="str">
        <f t="shared" si="21"/>
        <v>April</v>
      </c>
      <c r="C64" s="45">
        <v>45777</v>
      </c>
      <c r="D64" s="31" t="s">
        <v>312</v>
      </c>
      <c r="E64" s="105" t="s">
        <v>309</v>
      </c>
      <c r="F64" s="26" t="s">
        <v>310</v>
      </c>
      <c r="G64" s="157" t="s">
        <v>260</v>
      </c>
      <c r="H64" s="106" t="s">
        <v>262</v>
      </c>
      <c r="J64" s="22">
        <v>4340</v>
      </c>
      <c r="K64" s="64">
        <v>3.33</v>
      </c>
      <c r="L64" s="23">
        <f t="shared" si="25"/>
        <v>14452.2</v>
      </c>
      <c r="M64" s="23">
        <v>0</v>
      </c>
      <c r="N64" s="23">
        <v>0</v>
      </c>
      <c r="O64" s="112">
        <f t="shared" si="15"/>
        <v>14452.2</v>
      </c>
      <c r="P64" s="33">
        <v>0.18</v>
      </c>
      <c r="Q64" s="115">
        <v>0</v>
      </c>
      <c r="R64" s="112">
        <f t="shared" si="26"/>
        <v>1300.6980000000001</v>
      </c>
      <c r="S64" s="112">
        <f t="shared" si="27"/>
        <v>1300.6980000000001</v>
      </c>
      <c r="T64" s="23">
        <v>0</v>
      </c>
      <c r="U64" s="112">
        <f t="shared" si="24"/>
        <v>17053.596000000001</v>
      </c>
    </row>
    <row r="65" spans="1:21" ht="17.100000000000001" customHeight="1" x14ac:dyDescent="0.25">
      <c r="A65" s="20">
        <f>IF(C65="","",COUNTA($C$4:C65))</f>
        <v>62</v>
      </c>
      <c r="B65" s="20" t="str">
        <f t="shared" si="21"/>
        <v>April</v>
      </c>
      <c r="C65" s="45">
        <v>45775</v>
      </c>
      <c r="D65" s="31" t="s">
        <v>313</v>
      </c>
      <c r="E65" s="105" t="s">
        <v>314</v>
      </c>
      <c r="F65" s="26" t="s">
        <v>315</v>
      </c>
      <c r="G65" s="157" t="s">
        <v>316</v>
      </c>
      <c r="H65" s="106" t="s">
        <v>317</v>
      </c>
      <c r="J65" s="22">
        <v>3</v>
      </c>
      <c r="K65" s="64">
        <v>12500</v>
      </c>
      <c r="L65" s="23">
        <f t="shared" si="25"/>
        <v>37500</v>
      </c>
      <c r="M65" s="23">
        <v>0</v>
      </c>
      <c r="N65" s="23">
        <v>0</v>
      </c>
      <c r="O65" s="112">
        <f t="shared" si="15"/>
        <v>37500</v>
      </c>
      <c r="P65" s="33">
        <v>0.18</v>
      </c>
      <c r="Q65" s="115">
        <v>0</v>
      </c>
      <c r="R65" s="112">
        <f t="shared" si="26"/>
        <v>3375</v>
      </c>
      <c r="S65" s="112">
        <f t="shared" si="27"/>
        <v>3375</v>
      </c>
      <c r="T65" s="23">
        <v>0</v>
      </c>
      <c r="U65" s="112">
        <f t="shared" si="24"/>
        <v>44250</v>
      </c>
    </row>
    <row r="66" spans="1:21" ht="17.100000000000001" customHeight="1" x14ac:dyDescent="0.25">
      <c r="A66" s="20">
        <f>IF(C66="","",COUNTA($C$4:C66))</f>
        <v>63</v>
      </c>
      <c r="B66" s="20" t="str">
        <f t="shared" si="21"/>
        <v>June</v>
      </c>
      <c r="C66" s="45">
        <v>45821</v>
      </c>
      <c r="D66" s="31" t="s">
        <v>738</v>
      </c>
      <c r="E66" s="105" t="s">
        <v>739</v>
      </c>
      <c r="F66" s="26" t="s">
        <v>740</v>
      </c>
      <c r="G66" s="157" t="s">
        <v>193</v>
      </c>
      <c r="H66" s="106" t="s">
        <v>741</v>
      </c>
      <c r="J66" s="22">
        <v>340</v>
      </c>
      <c r="K66" s="64">
        <v>405</v>
      </c>
      <c r="L66" s="23">
        <f t="shared" si="25"/>
        <v>137700</v>
      </c>
      <c r="M66" s="23">
        <v>3000</v>
      </c>
      <c r="N66" s="23">
        <v>0</v>
      </c>
      <c r="O66" s="112">
        <f t="shared" si="15"/>
        <v>140700</v>
      </c>
      <c r="P66" s="33">
        <v>0.18</v>
      </c>
      <c r="Q66" s="118">
        <v>0</v>
      </c>
      <c r="R66" s="112">
        <f t="shared" si="26"/>
        <v>12663</v>
      </c>
      <c r="S66" s="112">
        <f t="shared" si="27"/>
        <v>12663</v>
      </c>
      <c r="T66" s="23">
        <v>0</v>
      </c>
      <c r="U66" s="112">
        <f t="shared" si="24"/>
        <v>166026</v>
      </c>
    </row>
    <row r="67" spans="1:21" ht="17.100000000000001" customHeight="1" x14ac:dyDescent="0.25">
      <c r="A67" s="20">
        <f>IF(C67="","",COUNTA($C$4:C67))</f>
        <v>64</v>
      </c>
      <c r="B67" s="20" t="str">
        <f t="shared" si="21"/>
        <v>April</v>
      </c>
      <c r="C67" s="45">
        <v>45776</v>
      </c>
      <c r="D67" s="31" t="s">
        <v>318</v>
      </c>
      <c r="E67" s="105" t="s">
        <v>319</v>
      </c>
      <c r="F67" s="26" t="s">
        <v>72</v>
      </c>
      <c r="G67" s="157" t="s">
        <v>88</v>
      </c>
      <c r="H67" s="106" t="s">
        <v>321</v>
      </c>
      <c r="J67" s="22">
        <v>24</v>
      </c>
      <c r="K67" s="64">
        <v>398</v>
      </c>
      <c r="L67" s="23">
        <f t="shared" si="25"/>
        <v>9552</v>
      </c>
      <c r="M67" s="23">
        <v>0</v>
      </c>
      <c r="N67" s="23">
        <v>0</v>
      </c>
      <c r="O67" s="112">
        <f t="shared" si="15"/>
        <v>9552</v>
      </c>
      <c r="P67" s="33">
        <v>0.18</v>
      </c>
      <c r="Q67" s="118">
        <f>O67*18/100</f>
        <v>1719.36</v>
      </c>
      <c r="R67" s="115">
        <v>0</v>
      </c>
      <c r="S67" s="115">
        <v>0</v>
      </c>
      <c r="T67" s="23">
        <v>0</v>
      </c>
      <c r="U67" s="112">
        <f>O67+Q67</f>
        <v>11271.36</v>
      </c>
    </row>
    <row r="68" spans="1:21" ht="17.100000000000001" customHeight="1" x14ac:dyDescent="0.25">
      <c r="A68" s="20">
        <f>IF(C68="","",COUNTA($C$4:C68))</f>
        <v>65</v>
      </c>
      <c r="B68" s="20" t="str">
        <f t="shared" si="21"/>
        <v>July</v>
      </c>
      <c r="C68" s="45">
        <v>45842</v>
      </c>
      <c r="D68" s="31" t="s">
        <v>915</v>
      </c>
      <c r="E68" s="105" t="s">
        <v>916</v>
      </c>
      <c r="F68" s="26"/>
      <c r="G68" s="157" t="s">
        <v>193</v>
      </c>
      <c r="H68" s="106" t="s">
        <v>917</v>
      </c>
      <c r="J68" s="22">
        <v>2580</v>
      </c>
      <c r="K68" s="64">
        <v>191</v>
      </c>
      <c r="L68" s="23">
        <f t="shared" si="25"/>
        <v>492780</v>
      </c>
      <c r="M68" s="23">
        <v>50000</v>
      </c>
      <c r="N68" s="23">
        <v>0</v>
      </c>
      <c r="O68" s="112">
        <f t="shared" si="15"/>
        <v>542780</v>
      </c>
      <c r="P68" s="33">
        <v>0.18</v>
      </c>
      <c r="Q68" s="118">
        <v>0</v>
      </c>
      <c r="R68" s="112">
        <f t="shared" ref="R68:R94" si="28">O68*9/100</f>
        <v>48850.2</v>
      </c>
      <c r="S68" s="112">
        <f t="shared" ref="S68:S94" si="29">O68*9/100</f>
        <v>48850.2</v>
      </c>
      <c r="T68" s="23">
        <v>0</v>
      </c>
      <c r="U68" s="112">
        <f t="shared" ref="U68:U94" si="30">O68+R68+S68</f>
        <v>640480.39999999991</v>
      </c>
    </row>
    <row r="69" spans="1:21" ht="17.100000000000001" customHeight="1" x14ac:dyDescent="0.25">
      <c r="A69" s="20">
        <f>IF(C69="","",COUNTA($C$4:C69))</f>
        <v>66</v>
      </c>
      <c r="B69" s="20" t="str">
        <f t="shared" si="21"/>
        <v>April</v>
      </c>
      <c r="C69" s="45">
        <v>45776</v>
      </c>
      <c r="D69" s="31" t="s">
        <v>326</v>
      </c>
      <c r="E69" s="105" t="s">
        <v>327</v>
      </c>
      <c r="F69" s="26" t="s">
        <v>328</v>
      </c>
      <c r="G69" s="157" t="s">
        <v>329</v>
      </c>
      <c r="H69" s="106" t="s">
        <v>330</v>
      </c>
      <c r="J69" s="22">
        <v>7000</v>
      </c>
      <c r="K69" s="64">
        <v>5</v>
      </c>
      <c r="L69" s="23">
        <f t="shared" si="25"/>
        <v>35000</v>
      </c>
      <c r="M69" s="23">
        <v>0</v>
      </c>
      <c r="N69" s="23">
        <v>0</v>
      </c>
      <c r="O69" s="112">
        <f t="shared" si="15"/>
        <v>35000</v>
      </c>
      <c r="P69" s="33">
        <v>0.18</v>
      </c>
      <c r="Q69" s="115">
        <v>0</v>
      </c>
      <c r="R69" s="112">
        <f t="shared" si="28"/>
        <v>3150</v>
      </c>
      <c r="S69" s="112">
        <f t="shared" si="29"/>
        <v>3150</v>
      </c>
      <c r="T69" s="23">
        <v>0</v>
      </c>
      <c r="U69" s="112">
        <f t="shared" si="30"/>
        <v>41300</v>
      </c>
    </row>
    <row r="70" spans="1:21" ht="17.100000000000001" customHeight="1" x14ac:dyDescent="0.25">
      <c r="A70" s="20">
        <f>IF(C70="","",COUNTA($C$4:C70))</f>
        <v>67</v>
      </c>
      <c r="B70" s="20" t="str">
        <f t="shared" si="21"/>
        <v>April</v>
      </c>
      <c r="C70" s="45">
        <v>45776</v>
      </c>
      <c r="D70" s="31" t="s">
        <v>331</v>
      </c>
      <c r="E70" s="105" t="s">
        <v>332</v>
      </c>
      <c r="F70" s="26" t="s">
        <v>333</v>
      </c>
      <c r="G70" s="157" t="s">
        <v>334</v>
      </c>
      <c r="H70" s="106" t="s">
        <v>335</v>
      </c>
      <c r="J70" s="22">
        <v>3150</v>
      </c>
      <c r="K70" s="64">
        <v>1.5</v>
      </c>
      <c r="L70" s="23">
        <f t="shared" si="25"/>
        <v>4725</v>
      </c>
      <c r="M70" s="23">
        <v>0</v>
      </c>
      <c r="N70" s="23">
        <v>0</v>
      </c>
      <c r="O70" s="112">
        <f t="shared" si="15"/>
        <v>4725</v>
      </c>
      <c r="P70" s="33">
        <v>0.18</v>
      </c>
      <c r="Q70" s="118">
        <v>0</v>
      </c>
      <c r="R70" s="112">
        <f t="shared" si="28"/>
        <v>425.25</v>
      </c>
      <c r="S70" s="112">
        <f t="shared" si="29"/>
        <v>425.25</v>
      </c>
      <c r="T70" s="23">
        <v>0</v>
      </c>
      <c r="U70" s="112">
        <f t="shared" si="30"/>
        <v>5575.5</v>
      </c>
    </row>
    <row r="71" spans="1:21" ht="17.100000000000001" customHeight="1" x14ac:dyDescent="0.25">
      <c r="A71" s="20">
        <f>IF(C71="","",COUNTA($C$4:C71))</f>
        <v>68</v>
      </c>
      <c r="B71" s="20" t="str">
        <f t="shared" ref="B71:B98" si="31">IF(C71="","",TEXT(C71,"mmmm"))</f>
        <v>April</v>
      </c>
      <c r="C71" s="45">
        <v>45776</v>
      </c>
      <c r="D71" s="31" t="s">
        <v>331</v>
      </c>
      <c r="E71" s="105" t="s">
        <v>332</v>
      </c>
      <c r="F71" s="26" t="s">
        <v>333</v>
      </c>
      <c r="G71" s="157" t="s">
        <v>334</v>
      </c>
      <c r="H71" s="106" t="s">
        <v>336</v>
      </c>
      <c r="J71" s="22">
        <v>3080</v>
      </c>
      <c r="K71" s="64">
        <v>1.5</v>
      </c>
      <c r="L71" s="23">
        <f t="shared" si="25"/>
        <v>4620</v>
      </c>
      <c r="M71" s="23">
        <v>0</v>
      </c>
      <c r="N71" s="23">
        <v>0</v>
      </c>
      <c r="O71" s="112">
        <f t="shared" ref="O71:O134" si="32">L71+M71+N71</f>
        <v>4620</v>
      </c>
      <c r="P71" s="33">
        <v>0.18</v>
      </c>
      <c r="Q71" s="118">
        <v>0</v>
      </c>
      <c r="R71" s="112">
        <f t="shared" si="28"/>
        <v>415.8</v>
      </c>
      <c r="S71" s="112">
        <f t="shared" si="29"/>
        <v>415.8</v>
      </c>
      <c r="T71" s="23">
        <v>0</v>
      </c>
      <c r="U71" s="112">
        <f t="shared" si="30"/>
        <v>5451.6</v>
      </c>
    </row>
    <row r="72" spans="1:21" ht="17.100000000000001" customHeight="1" x14ac:dyDescent="0.25">
      <c r="A72" s="20">
        <f>IF(C72="","",COUNTA($C$4:C72))</f>
        <v>69</v>
      </c>
      <c r="B72" s="20" t="str">
        <f t="shared" si="31"/>
        <v>April</v>
      </c>
      <c r="C72" s="45">
        <v>45776</v>
      </c>
      <c r="D72" s="31" t="s">
        <v>331</v>
      </c>
      <c r="E72" s="105" t="s">
        <v>332</v>
      </c>
      <c r="F72" s="26" t="s">
        <v>333</v>
      </c>
      <c r="G72" s="157" t="s">
        <v>334</v>
      </c>
      <c r="H72" s="106" t="s">
        <v>337</v>
      </c>
      <c r="J72" s="22">
        <v>1000</v>
      </c>
      <c r="K72" s="64">
        <v>22</v>
      </c>
      <c r="L72" s="23">
        <f t="shared" si="25"/>
        <v>22000</v>
      </c>
      <c r="M72" s="23">
        <v>0</v>
      </c>
      <c r="N72" s="23">
        <v>0</v>
      </c>
      <c r="O72" s="112">
        <f t="shared" si="32"/>
        <v>22000</v>
      </c>
      <c r="P72" s="33">
        <v>0.18</v>
      </c>
      <c r="Q72" s="118">
        <v>0</v>
      </c>
      <c r="R72" s="112">
        <f t="shared" si="28"/>
        <v>1980</v>
      </c>
      <c r="S72" s="112">
        <f t="shared" si="29"/>
        <v>1980</v>
      </c>
      <c r="T72" s="23">
        <v>0</v>
      </c>
      <c r="U72" s="112">
        <f t="shared" si="30"/>
        <v>25960</v>
      </c>
    </row>
    <row r="73" spans="1:21" ht="17.100000000000001" customHeight="1" x14ac:dyDescent="0.25">
      <c r="A73" s="20">
        <f>IF(C73="","",COUNTA($C$4:C73))</f>
        <v>70</v>
      </c>
      <c r="B73" s="20" t="str">
        <f t="shared" si="31"/>
        <v>May</v>
      </c>
      <c r="C73" s="45">
        <v>45779</v>
      </c>
      <c r="D73" s="31" t="s">
        <v>338</v>
      </c>
      <c r="E73" s="105" t="s">
        <v>339</v>
      </c>
      <c r="F73" s="26" t="s">
        <v>259</v>
      </c>
      <c r="G73" s="157" t="s">
        <v>260</v>
      </c>
      <c r="H73" s="106" t="s">
        <v>261</v>
      </c>
      <c r="J73" s="22">
        <v>4774</v>
      </c>
      <c r="K73" s="64">
        <v>3.1</v>
      </c>
      <c r="L73" s="23">
        <f t="shared" si="25"/>
        <v>14799.4</v>
      </c>
      <c r="M73" s="23">
        <v>0</v>
      </c>
      <c r="N73" s="23">
        <v>0</v>
      </c>
      <c r="O73" s="112">
        <f t="shared" si="32"/>
        <v>14799.4</v>
      </c>
      <c r="P73" s="33">
        <v>0.18</v>
      </c>
      <c r="Q73" s="118">
        <v>0</v>
      </c>
      <c r="R73" s="112">
        <f t="shared" si="28"/>
        <v>1331.9460000000001</v>
      </c>
      <c r="S73" s="112">
        <f t="shared" si="29"/>
        <v>1331.9460000000001</v>
      </c>
      <c r="T73" s="23">
        <v>0</v>
      </c>
      <c r="U73" s="112">
        <f t="shared" si="30"/>
        <v>17463.292000000001</v>
      </c>
    </row>
    <row r="74" spans="1:21" ht="17.100000000000001" customHeight="1" x14ac:dyDescent="0.25">
      <c r="A74" s="20">
        <f>IF(C74="","",COUNTA($C$4:C74))</f>
        <v>71</v>
      </c>
      <c r="B74" s="20" t="str">
        <f t="shared" si="31"/>
        <v>May</v>
      </c>
      <c r="C74" s="45">
        <v>45779</v>
      </c>
      <c r="D74" s="31" t="s">
        <v>338</v>
      </c>
      <c r="E74" s="105" t="s">
        <v>339</v>
      </c>
      <c r="F74" s="26" t="s">
        <v>259</v>
      </c>
      <c r="G74" s="157" t="s">
        <v>260</v>
      </c>
      <c r="H74" s="106" t="s">
        <v>262</v>
      </c>
      <c r="J74" s="22">
        <v>2937</v>
      </c>
      <c r="K74" s="64">
        <v>3.33</v>
      </c>
      <c r="L74" s="23">
        <f t="shared" si="25"/>
        <v>9780.2100000000009</v>
      </c>
      <c r="M74" s="23">
        <v>0</v>
      </c>
      <c r="N74" s="23">
        <v>0</v>
      </c>
      <c r="O74" s="112">
        <f t="shared" si="32"/>
        <v>9780.2100000000009</v>
      </c>
      <c r="P74" s="33">
        <v>0.18</v>
      </c>
      <c r="Q74" s="118">
        <v>0</v>
      </c>
      <c r="R74" s="112">
        <f t="shared" si="28"/>
        <v>880.21890000000019</v>
      </c>
      <c r="S74" s="112">
        <f t="shared" si="29"/>
        <v>880.21890000000019</v>
      </c>
      <c r="T74" s="23">
        <v>0</v>
      </c>
      <c r="U74" s="112">
        <f t="shared" si="30"/>
        <v>11540.647800000001</v>
      </c>
    </row>
    <row r="75" spans="1:21" ht="17.100000000000001" customHeight="1" x14ac:dyDescent="0.25">
      <c r="A75" s="20">
        <f>IF(C75="","",COUNTA($C$4:C75))</f>
        <v>72</v>
      </c>
      <c r="B75" s="20" t="str">
        <f t="shared" si="31"/>
        <v>April</v>
      </c>
      <c r="C75" s="45">
        <v>45777</v>
      </c>
      <c r="D75" s="31" t="s">
        <v>340</v>
      </c>
      <c r="E75" s="105" t="s">
        <v>341</v>
      </c>
      <c r="F75" s="26"/>
      <c r="G75" s="157" t="s">
        <v>342</v>
      </c>
      <c r="H75" s="106" t="s">
        <v>207</v>
      </c>
      <c r="K75" s="64"/>
      <c r="L75" s="23">
        <v>8259</v>
      </c>
      <c r="M75" s="23">
        <v>0</v>
      </c>
      <c r="N75" s="23">
        <v>0</v>
      </c>
      <c r="O75" s="112">
        <f t="shared" si="32"/>
        <v>8259</v>
      </c>
      <c r="P75" s="33">
        <v>0.18</v>
      </c>
      <c r="Q75" s="118">
        <v>0</v>
      </c>
      <c r="R75" s="112">
        <f t="shared" si="28"/>
        <v>743.31</v>
      </c>
      <c r="S75" s="112">
        <f t="shared" si="29"/>
        <v>743.31</v>
      </c>
      <c r="T75" s="23">
        <v>0</v>
      </c>
      <c r="U75" s="112">
        <f t="shared" si="30"/>
        <v>9745.619999999999</v>
      </c>
    </row>
    <row r="76" spans="1:21" ht="17.100000000000001" customHeight="1" x14ac:dyDescent="0.25">
      <c r="A76" s="20">
        <f>IF(C76="","",COUNTA($C$4:C76))</f>
        <v>73</v>
      </c>
      <c r="B76" s="20" t="str">
        <f t="shared" si="31"/>
        <v>April</v>
      </c>
      <c r="C76" s="45">
        <v>45777</v>
      </c>
      <c r="D76" s="31" t="s">
        <v>343</v>
      </c>
      <c r="E76" s="105" t="s">
        <v>344</v>
      </c>
      <c r="F76" s="26"/>
      <c r="G76" s="157" t="s">
        <v>342</v>
      </c>
      <c r="H76" s="106" t="s">
        <v>207</v>
      </c>
      <c r="J76" s="64"/>
      <c r="K76" s="64"/>
      <c r="L76" s="23">
        <v>4736.8999999999996</v>
      </c>
      <c r="M76" s="23">
        <v>0</v>
      </c>
      <c r="N76" s="23">
        <v>0</v>
      </c>
      <c r="O76" s="112">
        <f t="shared" si="32"/>
        <v>4736.8999999999996</v>
      </c>
      <c r="P76" s="33">
        <v>0.18</v>
      </c>
      <c r="Q76" s="118">
        <v>0</v>
      </c>
      <c r="R76" s="112">
        <f t="shared" si="28"/>
        <v>426.32099999999997</v>
      </c>
      <c r="S76" s="112">
        <f t="shared" si="29"/>
        <v>426.32099999999997</v>
      </c>
      <c r="T76" s="23">
        <v>0</v>
      </c>
      <c r="U76" s="112">
        <f t="shared" si="30"/>
        <v>5589.5419999999995</v>
      </c>
    </row>
    <row r="77" spans="1:21" ht="17.100000000000001" customHeight="1" x14ac:dyDescent="0.25">
      <c r="A77" s="20">
        <f>IF(C77="","",COUNTA($C$4:C77))</f>
        <v>74</v>
      </c>
      <c r="B77" s="20" t="str">
        <f t="shared" si="31"/>
        <v>April</v>
      </c>
      <c r="C77" s="45">
        <v>45777</v>
      </c>
      <c r="D77" s="31" t="s">
        <v>345</v>
      </c>
      <c r="E77" s="105" t="s">
        <v>346</v>
      </c>
      <c r="F77" s="26"/>
      <c r="G77" s="157" t="s">
        <v>342</v>
      </c>
      <c r="H77" s="106" t="s">
        <v>207</v>
      </c>
      <c r="K77" s="64"/>
      <c r="L77" s="23">
        <v>3036</v>
      </c>
      <c r="M77" s="23">
        <v>0</v>
      </c>
      <c r="N77" s="23">
        <v>0</v>
      </c>
      <c r="O77" s="112">
        <f t="shared" si="32"/>
        <v>3036</v>
      </c>
      <c r="P77" s="33">
        <v>0.18</v>
      </c>
      <c r="Q77" s="118">
        <v>0</v>
      </c>
      <c r="R77" s="112">
        <f t="shared" si="28"/>
        <v>273.24</v>
      </c>
      <c r="S77" s="112">
        <f t="shared" si="29"/>
        <v>273.24</v>
      </c>
      <c r="T77" s="23">
        <v>0</v>
      </c>
      <c r="U77" s="112">
        <f t="shared" si="30"/>
        <v>3582.4799999999996</v>
      </c>
    </row>
    <row r="78" spans="1:21" ht="17.100000000000001" customHeight="1" x14ac:dyDescent="0.25">
      <c r="A78" s="20">
        <f>IF(C78="","",COUNTA($C$4:C78))</f>
        <v>75</v>
      </c>
      <c r="B78" s="20" t="str">
        <f t="shared" si="31"/>
        <v>May</v>
      </c>
      <c r="C78" s="45">
        <v>45779</v>
      </c>
      <c r="D78" s="101" t="s">
        <v>347</v>
      </c>
      <c r="E78" s="105" t="s">
        <v>348</v>
      </c>
      <c r="F78" s="26" t="s">
        <v>349</v>
      </c>
      <c r="G78" s="157" t="s">
        <v>350</v>
      </c>
      <c r="H78" s="106" t="s">
        <v>351</v>
      </c>
      <c r="J78" s="22">
        <v>508.68</v>
      </c>
      <c r="K78" s="64">
        <v>127</v>
      </c>
      <c r="L78" s="23">
        <f t="shared" ref="L78:L109" si="33">J78*K78</f>
        <v>64602.36</v>
      </c>
      <c r="M78" s="23">
        <v>0</v>
      </c>
      <c r="N78" s="23">
        <v>0</v>
      </c>
      <c r="O78" s="112">
        <f t="shared" si="32"/>
        <v>64602.36</v>
      </c>
      <c r="P78" s="33">
        <v>0.18</v>
      </c>
      <c r="Q78" s="118">
        <v>0</v>
      </c>
      <c r="R78" s="112">
        <f t="shared" si="28"/>
        <v>5814.2124000000003</v>
      </c>
      <c r="S78" s="112">
        <f t="shared" si="29"/>
        <v>5814.2124000000003</v>
      </c>
      <c r="T78" s="23">
        <v>0</v>
      </c>
      <c r="U78" s="112">
        <f t="shared" si="30"/>
        <v>76230.784800000009</v>
      </c>
    </row>
    <row r="79" spans="1:21" ht="17.100000000000001" customHeight="1" x14ac:dyDescent="0.25">
      <c r="A79" s="20">
        <f>IF(C79="","",COUNTA($C$4:C79))</f>
        <v>76</v>
      </c>
      <c r="B79" s="20" t="str">
        <f t="shared" si="31"/>
        <v>June</v>
      </c>
      <c r="C79" s="45">
        <v>45820</v>
      </c>
      <c r="D79" s="31" t="s">
        <v>726</v>
      </c>
      <c r="E79" s="105" t="s">
        <v>727</v>
      </c>
      <c r="F79" s="26" t="s">
        <v>728</v>
      </c>
      <c r="G79" s="157" t="s">
        <v>122</v>
      </c>
      <c r="H79" s="106" t="s">
        <v>731</v>
      </c>
      <c r="I79" s="159" t="s">
        <v>266</v>
      </c>
      <c r="J79" s="22">
        <v>5.0750000000000002</v>
      </c>
      <c r="K79" s="64">
        <v>72850</v>
      </c>
      <c r="L79" s="23">
        <f t="shared" si="33"/>
        <v>369713.75</v>
      </c>
      <c r="M79" s="23">
        <v>0</v>
      </c>
      <c r="N79" s="23">
        <v>0</v>
      </c>
      <c r="O79" s="112">
        <f t="shared" si="32"/>
        <v>369713.75</v>
      </c>
      <c r="P79" s="33">
        <v>0.18</v>
      </c>
      <c r="Q79" s="118">
        <v>0</v>
      </c>
      <c r="R79" s="112">
        <f t="shared" si="28"/>
        <v>33274.237500000003</v>
      </c>
      <c r="S79" s="112">
        <f t="shared" si="29"/>
        <v>33274.237500000003</v>
      </c>
      <c r="T79" s="23">
        <v>0</v>
      </c>
      <c r="U79" s="112">
        <f t="shared" si="30"/>
        <v>436262.22499999998</v>
      </c>
    </row>
    <row r="80" spans="1:21" ht="17.100000000000001" customHeight="1" x14ac:dyDescent="0.25">
      <c r="A80" s="20">
        <f>IF(C80="","",COUNTA($C$4:C80))</f>
        <v>77</v>
      </c>
      <c r="B80" s="20" t="str">
        <f t="shared" si="31"/>
        <v>June</v>
      </c>
      <c r="C80" s="45">
        <v>45820</v>
      </c>
      <c r="D80" s="31" t="s">
        <v>726</v>
      </c>
      <c r="E80" s="105" t="s">
        <v>727</v>
      </c>
      <c r="F80" s="26" t="s">
        <v>728</v>
      </c>
      <c r="G80" s="157" t="s">
        <v>122</v>
      </c>
      <c r="H80" s="106" t="s">
        <v>731</v>
      </c>
      <c r="I80" s="159" t="s">
        <v>266</v>
      </c>
      <c r="J80" s="22">
        <v>5.0549999999999997</v>
      </c>
      <c r="K80" s="64">
        <v>72850</v>
      </c>
      <c r="L80" s="23">
        <f t="shared" si="33"/>
        <v>368256.75</v>
      </c>
      <c r="M80" s="23">
        <v>0</v>
      </c>
      <c r="N80" s="23">
        <v>0</v>
      </c>
      <c r="O80" s="112">
        <f t="shared" si="32"/>
        <v>368256.75</v>
      </c>
      <c r="P80" s="33">
        <v>0.18</v>
      </c>
      <c r="Q80" s="118">
        <v>0</v>
      </c>
      <c r="R80" s="112">
        <f t="shared" si="28"/>
        <v>33143.107499999998</v>
      </c>
      <c r="S80" s="112">
        <f t="shared" si="29"/>
        <v>33143.107499999998</v>
      </c>
      <c r="T80" s="23">
        <v>0</v>
      </c>
      <c r="U80" s="112">
        <f t="shared" si="30"/>
        <v>434542.96499999997</v>
      </c>
    </row>
    <row r="81" spans="1:21" ht="17.100000000000001" customHeight="1" x14ac:dyDescent="0.25">
      <c r="A81" s="20">
        <f>IF(C81="","",COUNTA($C$4:C81))</f>
        <v>78</v>
      </c>
      <c r="B81" s="20" t="str">
        <f t="shared" si="31"/>
        <v>June</v>
      </c>
      <c r="C81" s="45">
        <v>45820</v>
      </c>
      <c r="D81" s="31" t="s">
        <v>726</v>
      </c>
      <c r="E81" s="105" t="s">
        <v>727</v>
      </c>
      <c r="F81" s="26" t="s">
        <v>728</v>
      </c>
      <c r="G81" s="157" t="s">
        <v>122</v>
      </c>
      <c r="H81" s="106" t="s">
        <v>731</v>
      </c>
      <c r="I81" s="159" t="s">
        <v>266</v>
      </c>
      <c r="J81" s="22">
        <v>5.68</v>
      </c>
      <c r="K81" s="64">
        <v>72850</v>
      </c>
      <c r="L81" s="23">
        <f t="shared" si="33"/>
        <v>413788</v>
      </c>
      <c r="M81" s="23">
        <v>0</v>
      </c>
      <c r="N81" s="23">
        <v>0</v>
      </c>
      <c r="O81" s="112">
        <f t="shared" si="32"/>
        <v>413788</v>
      </c>
      <c r="P81" s="33">
        <v>0.18</v>
      </c>
      <c r="Q81" s="118">
        <v>0</v>
      </c>
      <c r="R81" s="112">
        <f t="shared" si="28"/>
        <v>37240.92</v>
      </c>
      <c r="S81" s="112">
        <f t="shared" si="29"/>
        <v>37240.92</v>
      </c>
      <c r="T81" s="23">
        <v>0</v>
      </c>
      <c r="U81" s="112">
        <f t="shared" si="30"/>
        <v>488269.83999999997</v>
      </c>
    </row>
    <row r="82" spans="1:21" ht="17.100000000000001" customHeight="1" x14ac:dyDescent="0.25">
      <c r="A82" s="20">
        <f>IF(C82="","",COUNTA($C$4:C82))</f>
        <v>79</v>
      </c>
      <c r="B82" s="20" t="str">
        <f t="shared" si="31"/>
        <v>June</v>
      </c>
      <c r="C82" s="45">
        <v>45825</v>
      </c>
      <c r="D82" s="31" t="s">
        <v>752</v>
      </c>
      <c r="E82" s="105" t="s">
        <v>753</v>
      </c>
      <c r="F82" s="26" t="s">
        <v>754</v>
      </c>
      <c r="G82" s="157" t="s">
        <v>122</v>
      </c>
      <c r="H82" s="106" t="s">
        <v>755</v>
      </c>
      <c r="I82" s="159" t="s">
        <v>160</v>
      </c>
      <c r="J82" s="22">
        <v>6350</v>
      </c>
      <c r="K82" s="64">
        <v>71.5</v>
      </c>
      <c r="L82" s="23">
        <f t="shared" si="33"/>
        <v>454025</v>
      </c>
      <c r="M82" s="23">
        <v>6500</v>
      </c>
      <c r="N82" s="23">
        <v>0</v>
      </c>
      <c r="O82" s="112">
        <f t="shared" si="32"/>
        <v>460525</v>
      </c>
      <c r="P82" s="33">
        <v>0.18</v>
      </c>
      <c r="Q82" s="119">
        <v>0</v>
      </c>
      <c r="R82" s="112">
        <f t="shared" si="28"/>
        <v>41447.25</v>
      </c>
      <c r="S82" s="112">
        <f t="shared" si="29"/>
        <v>41447.25</v>
      </c>
      <c r="T82" s="23">
        <v>0</v>
      </c>
      <c r="U82" s="112">
        <f t="shared" si="30"/>
        <v>543419.5</v>
      </c>
    </row>
    <row r="83" spans="1:21" ht="17.100000000000001" customHeight="1" x14ac:dyDescent="0.25">
      <c r="A83" s="20">
        <f>IF(C83="","",COUNTA($C$4:C83))</f>
        <v>80</v>
      </c>
      <c r="B83" s="20" t="str">
        <f t="shared" si="31"/>
        <v>May</v>
      </c>
      <c r="C83" s="45">
        <v>45783</v>
      </c>
      <c r="D83" s="31" t="s">
        <v>412</v>
      </c>
      <c r="E83" s="105" t="s">
        <v>413</v>
      </c>
      <c r="F83" s="26" t="s">
        <v>414</v>
      </c>
      <c r="G83" s="157" t="s">
        <v>415</v>
      </c>
      <c r="H83" s="106" t="s">
        <v>416</v>
      </c>
      <c r="J83" s="64">
        <v>1</v>
      </c>
      <c r="K83" s="64">
        <v>1050</v>
      </c>
      <c r="L83" s="23">
        <f t="shared" si="33"/>
        <v>1050</v>
      </c>
      <c r="M83" s="23">
        <v>0</v>
      </c>
      <c r="N83" s="23">
        <v>0</v>
      </c>
      <c r="O83" s="112">
        <f t="shared" si="32"/>
        <v>1050</v>
      </c>
      <c r="P83" s="33">
        <v>0.18</v>
      </c>
      <c r="Q83" s="118">
        <v>0</v>
      </c>
      <c r="R83" s="112">
        <f t="shared" si="28"/>
        <v>94.5</v>
      </c>
      <c r="S83" s="112">
        <f t="shared" si="29"/>
        <v>94.5</v>
      </c>
      <c r="T83" s="23">
        <v>0</v>
      </c>
      <c r="U83" s="112">
        <f t="shared" si="30"/>
        <v>1239</v>
      </c>
    </row>
    <row r="84" spans="1:21" ht="17.100000000000001" customHeight="1" x14ac:dyDescent="0.25">
      <c r="A84" s="20">
        <f>IF(C84="","",COUNTA($C$4:C84))</f>
        <v>81</v>
      </c>
      <c r="B84" s="20" t="str">
        <f t="shared" si="31"/>
        <v>May</v>
      </c>
      <c r="C84" s="45">
        <v>45783</v>
      </c>
      <c r="D84" s="31" t="s">
        <v>412</v>
      </c>
      <c r="E84" s="105" t="s">
        <v>413</v>
      </c>
      <c r="F84" s="26" t="s">
        <v>414</v>
      </c>
      <c r="G84" s="157" t="s">
        <v>415</v>
      </c>
      <c r="H84" s="106" t="s">
        <v>417</v>
      </c>
      <c r="J84" s="22">
        <v>1</v>
      </c>
      <c r="K84" s="64">
        <v>1350</v>
      </c>
      <c r="L84" s="23">
        <f t="shared" si="33"/>
        <v>1350</v>
      </c>
      <c r="M84" s="23">
        <v>0</v>
      </c>
      <c r="N84" s="23">
        <v>0</v>
      </c>
      <c r="O84" s="112">
        <f t="shared" si="32"/>
        <v>1350</v>
      </c>
      <c r="P84" s="33">
        <v>0.18</v>
      </c>
      <c r="Q84" s="118">
        <v>0</v>
      </c>
      <c r="R84" s="112">
        <f t="shared" si="28"/>
        <v>121.5</v>
      </c>
      <c r="S84" s="112">
        <f t="shared" si="29"/>
        <v>121.5</v>
      </c>
      <c r="T84" s="23">
        <v>0</v>
      </c>
      <c r="U84" s="112">
        <f t="shared" si="30"/>
        <v>1593</v>
      </c>
    </row>
    <row r="85" spans="1:21" ht="17.100000000000001" customHeight="1" x14ac:dyDescent="0.25">
      <c r="A85" s="20">
        <f>IF(C85="","",COUNTA($C$4:C85))</f>
        <v>82</v>
      </c>
      <c r="B85" s="20" t="str">
        <f t="shared" si="31"/>
        <v>May</v>
      </c>
      <c r="C85" s="45">
        <v>45783</v>
      </c>
      <c r="D85" s="31" t="s">
        <v>412</v>
      </c>
      <c r="E85" s="105" t="s">
        <v>413</v>
      </c>
      <c r="F85" s="26" t="s">
        <v>414</v>
      </c>
      <c r="G85" s="157" t="s">
        <v>415</v>
      </c>
      <c r="H85" s="106" t="s">
        <v>418</v>
      </c>
      <c r="J85" s="22">
        <v>1</v>
      </c>
      <c r="K85" s="64">
        <v>1680</v>
      </c>
      <c r="L85" s="23">
        <f t="shared" si="33"/>
        <v>1680</v>
      </c>
      <c r="M85" s="23">
        <v>0</v>
      </c>
      <c r="N85" s="23">
        <v>0</v>
      </c>
      <c r="O85" s="112">
        <f t="shared" si="32"/>
        <v>1680</v>
      </c>
      <c r="P85" s="33">
        <v>0.18</v>
      </c>
      <c r="Q85" s="118">
        <v>0</v>
      </c>
      <c r="R85" s="112">
        <f t="shared" si="28"/>
        <v>151.19999999999999</v>
      </c>
      <c r="S85" s="112">
        <f t="shared" si="29"/>
        <v>151.19999999999999</v>
      </c>
      <c r="T85" s="23">
        <v>0</v>
      </c>
      <c r="U85" s="112">
        <f t="shared" si="30"/>
        <v>1982.4</v>
      </c>
    </row>
    <row r="86" spans="1:21" ht="17.100000000000001" customHeight="1" x14ac:dyDescent="0.25">
      <c r="A86" s="20">
        <f>IF(C86="","",COUNTA($C$4:C86))</f>
        <v>83</v>
      </c>
      <c r="B86" s="20" t="str">
        <f t="shared" si="31"/>
        <v>May</v>
      </c>
      <c r="C86" s="45">
        <v>45783</v>
      </c>
      <c r="D86" s="31" t="s">
        <v>412</v>
      </c>
      <c r="E86" s="105" t="s">
        <v>413</v>
      </c>
      <c r="F86" s="26" t="s">
        <v>414</v>
      </c>
      <c r="G86" s="157" t="s">
        <v>415</v>
      </c>
      <c r="H86" s="106" t="s">
        <v>419</v>
      </c>
      <c r="J86" s="22">
        <v>1</v>
      </c>
      <c r="K86" s="64">
        <v>2940</v>
      </c>
      <c r="L86" s="23">
        <f t="shared" si="33"/>
        <v>2940</v>
      </c>
      <c r="M86" s="23">
        <v>0</v>
      </c>
      <c r="N86" s="23">
        <v>0</v>
      </c>
      <c r="O86" s="112">
        <f t="shared" si="32"/>
        <v>2940</v>
      </c>
      <c r="P86" s="33">
        <v>0.18</v>
      </c>
      <c r="Q86" s="118">
        <v>0</v>
      </c>
      <c r="R86" s="112">
        <f t="shared" si="28"/>
        <v>264.60000000000002</v>
      </c>
      <c r="S86" s="112">
        <f t="shared" si="29"/>
        <v>264.60000000000002</v>
      </c>
      <c r="T86" s="23">
        <v>0</v>
      </c>
      <c r="U86" s="112">
        <f t="shared" si="30"/>
        <v>3469.2</v>
      </c>
    </row>
    <row r="87" spans="1:21" ht="17.100000000000001" customHeight="1" x14ac:dyDescent="0.25">
      <c r="A87" s="20">
        <f>IF(C87="","",COUNTA($C$4:C87))</f>
        <v>84</v>
      </c>
      <c r="B87" s="20" t="str">
        <f t="shared" si="31"/>
        <v>May</v>
      </c>
      <c r="C87" s="45">
        <v>45783</v>
      </c>
      <c r="D87" s="31" t="s">
        <v>420</v>
      </c>
      <c r="E87" s="105" t="s">
        <v>421</v>
      </c>
      <c r="F87" s="26" t="s">
        <v>422</v>
      </c>
      <c r="G87" s="157" t="s">
        <v>415</v>
      </c>
      <c r="H87" s="106" t="s">
        <v>423</v>
      </c>
      <c r="J87" s="22">
        <v>1</v>
      </c>
      <c r="K87" s="64">
        <v>415</v>
      </c>
      <c r="L87" s="23">
        <f t="shared" si="33"/>
        <v>415</v>
      </c>
      <c r="M87" s="23">
        <v>0</v>
      </c>
      <c r="N87" s="23">
        <v>0</v>
      </c>
      <c r="O87" s="112">
        <f t="shared" si="32"/>
        <v>415</v>
      </c>
      <c r="P87" s="33">
        <v>0.18</v>
      </c>
      <c r="Q87" s="118">
        <v>0</v>
      </c>
      <c r="R87" s="112">
        <f t="shared" si="28"/>
        <v>37.35</v>
      </c>
      <c r="S87" s="112">
        <f t="shared" si="29"/>
        <v>37.35</v>
      </c>
      <c r="T87" s="23">
        <v>0</v>
      </c>
      <c r="U87" s="112">
        <f t="shared" si="30"/>
        <v>489.70000000000005</v>
      </c>
    </row>
    <row r="88" spans="1:21" ht="17.100000000000001" customHeight="1" x14ac:dyDescent="0.25">
      <c r="A88" s="20">
        <f>IF(C88="","",COUNTA($C$4:C88))</f>
        <v>85</v>
      </c>
      <c r="B88" s="20" t="str">
        <f t="shared" si="31"/>
        <v>May</v>
      </c>
      <c r="C88" s="45">
        <v>45783</v>
      </c>
      <c r="D88" s="31" t="s">
        <v>420</v>
      </c>
      <c r="E88" s="105" t="s">
        <v>421</v>
      </c>
      <c r="F88" s="26" t="s">
        <v>422</v>
      </c>
      <c r="G88" s="157" t="s">
        <v>415</v>
      </c>
      <c r="H88" s="106" t="s">
        <v>424</v>
      </c>
      <c r="J88" s="22">
        <v>1</v>
      </c>
      <c r="K88" s="64">
        <v>435</v>
      </c>
      <c r="L88" s="23">
        <f t="shared" si="33"/>
        <v>435</v>
      </c>
      <c r="M88" s="23">
        <v>0</v>
      </c>
      <c r="N88" s="23">
        <v>0</v>
      </c>
      <c r="O88" s="112">
        <f t="shared" si="32"/>
        <v>435</v>
      </c>
      <c r="P88" s="33">
        <v>0.18</v>
      </c>
      <c r="Q88" s="118">
        <v>0</v>
      </c>
      <c r="R88" s="112">
        <f t="shared" si="28"/>
        <v>39.15</v>
      </c>
      <c r="S88" s="112">
        <f t="shared" si="29"/>
        <v>39.15</v>
      </c>
      <c r="T88" s="23">
        <v>0</v>
      </c>
      <c r="U88" s="112">
        <f t="shared" si="30"/>
        <v>513.29999999999995</v>
      </c>
    </row>
    <row r="89" spans="1:21" ht="17.100000000000001" customHeight="1" x14ac:dyDescent="0.25">
      <c r="A89" s="20">
        <f>IF(C89="","",COUNTA($C$4:C89))</f>
        <v>86</v>
      </c>
      <c r="B89" s="20" t="str">
        <f t="shared" si="31"/>
        <v>May</v>
      </c>
      <c r="C89" s="45">
        <v>45783</v>
      </c>
      <c r="D89" s="31" t="s">
        <v>420</v>
      </c>
      <c r="E89" s="105" t="s">
        <v>421</v>
      </c>
      <c r="F89" s="26" t="s">
        <v>422</v>
      </c>
      <c r="G89" s="157" t="s">
        <v>415</v>
      </c>
      <c r="H89" s="106" t="s">
        <v>425</v>
      </c>
      <c r="J89" s="22">
        <v>1</v>
      </c>
      <c r="K89" s="64">
        <v>575</v>
      </c>
      <c r="L89" s="23">
        <f t="shared" si="33"/>
        <v>575</v>
      </c>
      <c r="M89" s="23">
        <v>0</v>
      </c>
      <c r="N89" s="23">
        <v>0</v>
      </c>
      <c r="O89" s="112">
        <f t="shared" si="32"/>
        <v>575</v>
      </c>
      <c r="P89" s="33">
        <v>0.18</v>
      </c>
      <c r="Q89" s="115">
        <v>0</v>
      </c>
      <c r="R89" s="112">
        <f t="shared" si="28"/>
        <v>51.75</v>
      </c>
      <c r="S89" s="112">
        <f t="shared" si="29"/>
        <v>51.75</v>
      </c>
      <c r="T89" s="23">
        <v>0</v>
      </c>
      <c r="U89" s="112">
        <f t="shared" si="30"/>
        <v>678.5</v>
      </c>
    </row>
    <row r="90" spans="1:21" ht="17.100000000000001" customHeight="1" x14ac:dyDescent="0.25">
      <c r="A90" s="20">
        <f>IF(C90="","",COUNTA($C$4:C90))</f>
        <v>87</v>
      </c>
      <c r="B90" s="20" t="str">
        <f t="shared" si="31"/>
        <v>May</v>
      </c>
      <c r="C90" s="45">
        <v>45783</v>
      </c>
      <c r="D90" s="31" t="s">
        <v>420</v>
      </c>
      <c r="E90" s="105" t="s">
        <v>421</v>
      </c>
      <c r="F90" s="26" t="s">
        <v>422</v>
      </c>
      <c r="G90" s="157" t="s">
        <v>415</v>
      </c>
      <c r="H90" s="106" t="s">
        <v>426</v>
      </c>
      <c r="J90" s="22">
        <v>1</v>
      </c>
      <c r="K90" s="64">
        <v>975</v>
      </c>
      <c r="L90" s="23">
        <f t="shared" si="33"/>
        <v>975</v>
      </c>
      <c r="M90" s="23">
        <v>0</v>
      </c>
      <c r="N90" s="23">
        <v>0</v>
      </c>
      <c r="O90" s="112">
        <f t="shared" si="32"/>
        <v>975</v>
      </c>
      <c r="P90" s="33">
        <v>0.18</v>
      </c>
      <c r="Q90" s="115">
        <v>0</v>
      </c>
      <c r="R90" s="112">
        <f t="shared" si="28"/>
        <v>87.75</v>
      </c>
      <c r="S90" s="112">
        <f t="shared" si="29"/>
        <v>87.75</v>
      </c>
      <c r="T90" s="23">
        <v>0</v>
      </c>
      <c r="U90" s="112">
        <f t="shared" si="30"/>
        <v>1150.5</v>
      </c>
    </row>
    <row r="91" spans="1:21" ht="17.100000000000001" customHeight="1" x14ac:dyDescent="0.25">
      <c r="A91" s="20">
        <f>IF(C91="","",COUNTA($C$4:C91))</f>
        <v>88</v>
      </c>
      <c r="B91" s="20" t="str">
        <f t="shared" si="31"/>
        <v>May</v>
      </c>
      <c r="C91" s="45">
        <v>45784</v>
      </c>
      <c r="D91" s="31" t="s">
        <v>427</v>
      </c>
      <c r="E91" s="105" t="s">
        <v>428</v>
      </c>
      <c r="F91" s="26" t="s">
        <v>429</v>
      </c>
      <c r="G91" s="157" t="s">
        <v>64</v>
      </c>
      <c r="H91" s="106" t="s">
        <v>430</v>
      </c>
      <c r="J91" s="22">
        <v>0.14799999999999999</v>
      </c>
      <c r="K91" s="64">
        <v>74500</v>
      </c>
      <c r="L91" s="23">
        <f t="shared" si="33"/>
        <v>11026</v>
      </c>
      <c r="M91" s="23">
        <v>2800</v>
      </c>
      <c r="N91" s="23">
        <v>93.5</v>
      </c>
      <c r="O91" s="112">
        <f t="shared" si="32"/>
        <v>13919.5</v>
      </c>
      <c r="P91" s="33">
        <v>0.18</v>
      </c>
      <c r="Q91" s="115">
        <v>0</v>
      </c>
      <c r="R91" s="112">
        <f t="shared" si="28"/>
        <v>1252.7550000000001</v>
      </c>
      <c r="S91" s="112">
        <f t="shared" si="29"/>
        <v>1252.7550000000001</v>
      </c>
      <c r="T91" s="23">
        <v>0</v>
      </c>
      <c r="U91" s="112">
        <f t="shared" si="30"/>
        <v>16425.010000000002</v>
      </c>
    </row>
    <row r="92" spans="1:21" ht="17.100000000000001" customHeight="1" x14ac:dyDescent="0.25">
      <c r="A92" s="20">
        <f>IF(C92="","",COUNTA($C$4:C92))</f>
        <v>89</v>
      </c>
      <c r="B92" s="20" t="str">
        <f t="shared" si="31"/>
        <v>May</v>
      </c>
      <c r="C92" s="45">
        <v>45785</v>
      </c>
      <c r="D92" s="31" t="s">
        <v>431</v>
      </c>
      <c r="E92" s="105" t="s">
        <v>432</v>
      </c>
      <c r="F92" s="26" t="s">
        <v>433</v>
      </c>
      <c r="G92" s="157" t="s">
        <v>415</v>
      </c>
      <c r="H92" s="106" t="s">
        <v>435</v>
      </c>
      <c r="J92" s="22">
        <v>10</v>
      </c>
      <c r="K92" s="64">
        <v>12301.94</v>
      </c>
      <c r="L92" s="23">
        <f t="shared" si="33"/>
        <v>123019.40000000001</v>
      </c>
      <c r="M92" s="23">
        <v>0</v>
      </c>
      <c r="N92" s="23">
        <v>0</v>
      </c>
      <c r="O92" s="112">
        <f t="shared" si="32"/>
        <v>123019.40000000001</v>
      </c>
      <c r="P92" s="33">
        <v>0.18</v>
      </c>
      <c r="Q92" s="115">
        <v>0</v>
      </c>
      <c r="R92" s="112">
        <f t="shared" si="28"/>
        <v>11071.746000000001</v>
      </c>
      <c r="S92" s="112">
        <f t="shared" si="29"/>
        <v>11071.746000000001</v>
      </c>
      <c r="T92" s="23">
        <v>0</v>
      </c>
      <c r="U92" s="112">
        <f t="shared" si="30"/>
        <v>145162.89200000002</v>
      </c>
    </row>
    <row r="93" spans="1:21" ht="17.100000000000001" customHeight="1" x14ac:dyDescent="0.25">
      <c r="A93" s="20">
        <f>IF(C93="","",COUNTA($C$4:C93))</f>
        <v>90</v>
      </c>
      <c r="B93" s="20" t="str">
        <f t="shared" si="31"/>
        <v>May</v>
      </c>
      <c r="C93" s="45">
        <v>45785</v>
      </c>
      <c r="D93" s="31" t="s">
        <v>431</v>
      </c>
      <c r="E93" s="105" t="s">
        <v>432</v>
      </c>
      <c r="F93" s="26" t="s">
        <v>433</v>
      </c>
      <c r="G93" s="157" t="s">
        <v>415</v>
      </c>
      <c r="H93" s="106" t="s">
        <v>434</v>
      </c>
      <c r="J93" s="22">
        <v>12</v>
      </c>
      <c r="K93" s="64">
        <v>779.1</v>
      </c>
      <c r="L93" s="23">
        <f t="shared" si="33"/>
        <v>9349.2000000000007</v>
      </c>
      <c r="M93" s="23">
        <v>0</v>
      </c>
      <c r="N93" s="23">
        <v>0</v>
      </c>
      <c r="O93" s="112">
        <f t="shared" si="32"/>
        <v>9349.2000000000007</v>
      </c>
      <c r="P93" s="33">
        <v>0.18</v>
      </c>
      <c r="Q93" s="115">
        <v>0</v>
      </c>
      <c r="R93" s="112">
        <f t="shared" si="28"/>
        <v>841.428</v>
      </c>
      <c r="S93" s="112">
        <f t="shared" si="29"/>
        <v>841.428</v>
      </c>
      <c r="T93" s="23">
        <v>0</v>
      </c>
      <c r="U93" s="112">
        <f t="shared" si="30"/>
        <v>11032.056</v>
      </c>
    </row>
    <row r="94" spans="1:21" ht="17.100000000000001" customHeight="1" x14ac:dyDescent="0.25">
      <c r="A94" s="20">
        <f>IF(C94="","",COUNTA($C$4:C94))</f>
        <v>91</v>
      </c>
      <c r="B94" s="20" t="str">
        <f t="shared" si="31"/>
        <v>July</v>
      </c>
      <c r="C94" s="45">
        <v>45841</v>
      </c>
      <c r="D94" s="31" t="s">
        <v>918</v>
      </c>
      <c r="E94" s="105" t="s">
        <v>919</v>
      </c>
      <c r="F94" s="26" t="s">
        <v>192</v>
      </c>
      <c r="G94" s="157" t="s">
        <v>193</v>
      </c>
      <c r="H94" s="106" t="s">
        <v>920</v>
      </c>
      <c r="J94" s="22">
        <v>600</v>
      </c>
      <c r="K94" s="64">
        <v>455</v>
      </c>
      <c r="L94" s="23">
        <f t="shared" si="33"/>
        <v>273000</v>
      </c>
      <c r="M94" s="23">
        <v>22380</v>
      </c>
      <c r="N94" s="23">
        <v>0</v>
      </c>
      <c r="O94" s="112">
        <f t="shared" si="32"/>
        <v>295380</v>
      </c>
      <c r="P94" s="33">
        <v>0.18</v>
      </c>
      <c r="Q94" s="118">
        <v>0</v>
      </c>
      <c r="R94" s="112">
        <f t="shared" si="28"/>
        <v>26584.2</v>
      </c>
      <c r="S94" s="112">
        <f t="shared" si="29"/>
        <v>26584.2</v>
      </c>
      <c r="T94" s="23">
        <v>0</v>
      </c>
      <c r="U94" s="112">
        <f t="shared" si="30"/>
        <v>348548.4</v>
      </c>
    </row>
    <row r="95" spans="1:21" ht="17.100000000000001" customHeight="1" x14ac:dyDescent="0.25">
      <c r="A95" s="20">
        <f>IF(C95="","",COUNTA($C$4:C95))</f>
        <v>92</v>
      </c>
      <c r="B95" s="20" t="str">
        <f t="shared" si="31"/>
        <v>May</v>
      </c>
      <c r="C95" s="45">
        <v>45787</v>
      </c>
      <c r="D95" s="31" t="s">
        <v>440</v>
      </c>
      <c r="E95" s="105" t="s">
        <v>441</v>
      </c>
      <c r="F95" s="26" t="s">
        <v>184</v>
      </c>
      <c r="G95" s="157" t="s">
        <v>93</v>
      </c>
      <c r="H95" s="106" t="s">
        <v>442</v>
      </c>
      <c r="J95" s="22">
        <v>528</v>
      </c>
      <c r="K95" s="64">
        <v>279</v>
      </c>
      <c r="L95" s="23">
        <f t="shared" si="33"/>
        <v>147312</v>
      </c>
      <c r="M95" s="23">
        <v>0</v>
      </c>
      <c r="N95" s="23">
        <v>0</v>
      </c>
      <c r="O95" s="112">
        <f t="shared" si="32"/>
        <v>147312</v>
      </c>
      <c r="P95" s="33">
        <v>0.18</v>
      </c>
      <c r="Q95" s="118">
        <f>O95*18/100</f>
        <v>26516.16</v>
      </c>
      <c r="R95" s="115">
        <v>0</v>
      </c>
      <c r="S95" s="115">
        <v>0</v>
      </c>
      <c r="T95" s="23">
        <v>0</v>
      </c>
      <c r="U95" s="112">
        <f>O95+Q95</f>
        <v>173828.16</v>
      </c>
    </row>
    <row r="96" spans="1:21" ht="17.100000000000001" customHeight="1" x14ac:dyDescent="0.25">
      <c r="A96" s="20">
        <f>IF(C96="","",COUNTA($C$4:C96))</f>
        <v>93</v>
      </c>
      <c r="B96" s="20" t="str">
        <f t="shared" si="31"/>
        <v>July</v>
      </c>
      <c r="C96" s="45">
        <v>45845</v>
      </c>
      <c r="D96" s="31" t="s">
        <v>933</v>
      </c>
      <c r="E96" s="105" t="s">
        <v>934</v>
      </c>
      <c r="F96" s="26" t="s">
        <v>935</v>
      </c>
      <c r="G96" s="157" t="s">
        <v>193</v>
      </c>
      <c r="H96" s="106" t="s">
        <v>936</v>
      </c>
      <c r="J96" s="22">
        <v>680</v>
      </c>
      <c r="K96" s="64">
        <v>405</v>
      </c>
      <c r="L96" s="23">
        <f t="shared" si="33"/>
        <v>275400</v>
      </c>
      <c r="M96" s="23">
        <v>5500</v>
      </c>
      <c r="N96" s="23">
        <v>0</v>
      </c>
      <c r="O96" s="112">
        <f t="shared" si="32"/>
        <v>280900</v>
      </c>
      <c r="P96" s="33">
        <v>0.18</v>
      </c>
      <c r="Q96" s="118">
        <v>0</v>
      </c>
      <c r="R96" s="112">
        <f t="shared" ref="R96:R122" si="34">O96*9/100</f>
        <v>25281</v>
      </c>
      <c r="S96" s="112">
        <f t="shared" ref="S96:S122" si="35">O96*9/100</f>
        <v>25281</v>
      </c>
      <c r="T96" s="23">
        <v>0</v>
      </c>
      <c r="U96" s="112">
        <f t="shared" ref="U96:U122" si="36">O96+R96+S96</f>
        <v>331462</v>
      </c>
    </row>
    <row r="97" spans="1:21" ht="17.100000000000001" customHeight="1" x14ac:dyDescent="0.25">
      <c r="A97" s="20">
        <f>IF(C97="","",COUNTA($C$4:C97))</f>
        <v>94</v>
      </c>
      <c r="B97" s="20" t="str">
        <f t="shared" si="31"/>
        <v>June</v>
      </c>
      <c r="C97" s="45">
        <v>45825</v>
      </c>
      <c r="D97" s="31" t="s">
        <v>752</v>
      </c>
      <c r="E97" s="105" t="s">
        <v>753</v>
      </c>
      <c r="F97" s="26" t="s">
        <v>754</v>
      </c>
      <c r="G97" s="157" t="s">
        <v>122</v>
      </c>
      <c r="H97" s="106" t="s">
        <v>755</v>
      </c>
      <c r="I97" s="159" t="s">
        <v>160</v>
      </c>
      <c r="J97" s="22">
        <v>4430</v>
      </c>
      <c r="K97" s="64">
        <v>71.5</v>
      </c>
      <c r="L97" s="23">
        <f t="shared" si="33"/>
        <v>316745</v>
      </c>
      <c r="M97" s="23">
        <v>0</v>
      </c>
      <c r="N97" s="23">
        <v>0</v>
      </c>
      <c r="O97" s="112">
        <f t="shared" si="32"/>
        <v>316745</v>
      </c>
      <c r="P97" s="33">
        <v>0.18</v>
      </c>
      <c r="Q97" s="119">
        <v>0</v>
      </c>
      <c r="R97" s="112">
        <f t="shared" si="34"/>
        <v>28507.05</v>
      </c>
      <c r="S97" s="112">
        <f t="shared" si="35"/>
        <v>28507.05</v>
      </c>
      <c r="T97" s="23">
        <v>0</v>
      </c>
      <c r="U97" s="112">
        <f t="shared" si="36"/>
        <v>373759.1</v>
      </c>
    </row>
    <row r="98" spans="1:21" ht="17.100000000000001" customHeight="1" x14ac:dyDescent="0.25">
      <c r="A98" s="20">
        <f>IF(C98="","",COUNTA($C$4:C98))</f>
        <v>95</v>
      </c>
      <c r="B98" s="20" t="str">
        <f t="shared" si="31"/>
        <v>June</v>
      </c>
      <c r="C98" s="45">
        <v>45828</v>
      </c>
      <c r="D98" s="31" t="s">
        <v>816</v>
      </c>
      <c r="E98" s="105" t="s">
        <v>817</v>
      </c>
      <c r="F98" s="26" t="s">
        <v>754</v>
      </c>
      <c r="G98" s="157" t="s">
        <v>122</v>
      </c>
      <c r="H98" s="106" t="s">
        <v>818</v>
      </c>
      <c r="I98" s="159" t="s">
        <v>153</v>
      </c>
      <c r="J98" s="22">
        <v>9830</v>
      </c>
      <c r="K98" s="64">
        <v>73.849999999999994</v>
      </c>
      <c r="L98" s="23">
        <f t="shared" si="33"/>
        <v>725945.5</v>
      </c>
      <c r="M98" s="23">
        <v>6000</v>
      </c>
      <c r="N98" s="23">
        <v>0</v>
      </c>
      <c r="O98" s="112">
        <f t="shared" si="32"/>
        <v>731945.5</v>
      </c>
      <c r="P98" s="33">
        <v>0.18</v>
      </c>
      <c r="Q98" s="118">
        <v>0</v>
      </c>
      <c r="R98" s="112">
        <f t="shared" si="34"/>
        <v>65875.095000000001</v>
      </c>
      <c r="S98" s="112">
        <f t="shared" si="35"/>
        <v>65875.095000000001</v>
      </c>
      <c r="T98" s="23">
        <v>0</v>
      </c>
      <c r="U98" s="112">
        <f t="shared" si="36"/>
        <v>863695.69</v>
      </c>
    </row>
    <row r="99" spans="1:21" ht="17.100000000000001" customHeight="1" x14ac:dyDescent="0.25">
      <c r="A99" s="20">
        <f>IF(C100="","",COUNTA($C$4:C100))</f>
        <v>97</v>
      </c>
      <c r="B99" s="20" t="str">
        <f>IF(C100="","",TEXT(C100,"mmmm"))</f>
        <v>June</v>
      </c>
      <c r="C99" s="45">
        <v>45833</v>
      </c>
      <c r="D99" s="31" t="s">
        <v>830</v>
      </c>
      <c r="E99" s="105" t="s">
        <v>831</v>
      </c>
      <c r="F99" s="26" t="s">
        <v>315</v>
      </c>
      <c r="G99" s="157" t="s">
        <v>122</v>
      </c>
      <c r="H99" s="106" t="s">
        <v>832</v>
      </c>
      <c r="I99" s="159" t="s">
        <v>266</v>
      </c>
      <c r="J99" s="22">
        <v>5350</v>
      </c>
      <c r="K99" s="64">
        <v>72.849999999999994</v>
      </c>
      <c r="L99" s="23">
        <f t="shared" si="33"/>
        <v>389747.49999999994</v>
      </c>
      <c r="M99" s="23">
        <v>6520</v>
      </c>
      <c r="N99" s="23">
        <v>0</v>
      </c>
      <c r="O99" s="112">
        <f t="shared" si="32"/>
        <v>396267.49999999994</v>
      </c>
      <c r="P99" s="33">
        <v>0.18</v>
      </c>
      <c r="Q99" s="118">
        <v>0</v>
      </c>
      <c r="R99" s="112">
        <f t="shared" si="34"/>
        <v>35664.074999999997</v>
      </c>
      <c r="S99" s="112">
        <f t="shared" si="35"/>
        <v>35664.074999999997</v>
      </c>
      <c r="T99" s="23">
        <v>0</v>
      </c>
      <c r="U99" s="112">
        <f t="shared" si="36"/>
        <v>467595.64999999997</v>
      </c>
    </row>
    <row r="100" spans="1:21" ht="17.100000000000001" customHeight="1" x14ac:dyDescent="0.25">
      <c r="A100" s="20">
        <f>IF(C101="","",COUNTA($C$4:C101))</f>
        <v>98</v>
      </c>
      <c r="B100" s="20" t="str">
        <f>IF(C101="","",TEXT(C101,"mmmm"))</f>
        <v>July</v>
      </c>
      <c r="C100" s="45">
        <v>45833</v>
      </c>
      <c r="D100" s="31" t="s">
        <v>830</v>
      </c>
      <c r="E100" s="105" t="s">
        <v>831</v>
      </c>
      <c r="F100" s="26" t="s">
        <v>315</v>
      </c>
      <c r="G100" s="157" t="s">
        <v>122</v>
      </c>
      <c r="H100" s="106" t="s">
        <v>832</v>
      </c>
      <c r="I100" s="159" t="s">
        <v>266</v>
      </c>
      <c r="J100" s="22">
        <v>4690</v>
      </c>
      <c r="K100" s="64">
        <v>72.849999999999994</v>
      </c>
      <c r="L100" s="23">
        <f t="shared" si="33"/>
        <v>341666.5</v>
      </c>
      <c r="M100" s="23">
        <v>0</v>
      </c>
      <c r="N100" s="23">
        <v>0</v>
      </c>
      <c r="O100" s="112">
        <f t="shared" si="32"/>
        <v>341666.5</v>
      </c>
      <c r="P100" s="33">
        <v>0.18</v>
      </c>
      <c r="Q100" s="118">
        <v>0</v>
      </c>
      <c r="R100" s="112">
        <f t="shared" si="34"/>
        <v>30749.985000000001</v>
      </c>
      <c r="S100" s="112">
        <f t="shared" si="35"/>
        <v>30749.985000000001</v>
      </c>
      <c r="T100" s="23">
        <v>0</v>
      </c>
      <c r="U100" s="112">
        <f t="shared" si="36"/>
        <v>403166.47</v>
      </c>
    </row>
    <row r="101" spans="1:21" ht="17.100000000000001" customHeight="1" x14ac:dyDescent="0.25">
      <c r="A101" s="20">
        <f>IF(C101="","",COUNTA($C$4:C101))</f>
        <v>98</v>
      </c>
      <c r="B101" s="20" t="str">
        <f t="shared" ref="B101:B132" si="37">IF(C101="","",TEXT(C101,"mmmm"))</f>
        <v>July</v>
      </c>
      <c r="C101" s="45">
        <v>45861</v>
      </c>
      <c r="D101" s="31" t="s">
        <v>1080</v>
      </c>
      <c r="E101" s="105" t="s">
        <v>1081</v>
      </c>
      <c r="F101" s="26" t="s">
        <v>1082</v>
      </c>
      <c r="G101" s="157" t="s">
        <v>122</v>
      </c>
      <c r="H101" s="106" t="s">
        <v>1083</v>
      </c>
      <c r="I101" s="159" t="s">
        <v>160</v>
      </c>
      <c r="J101" s="22">
        <v>10190</v>
      </c>
      <c r="K101" s="22">
        <v>69.400000000000006</v>
      </c>
      <c r="L101" s="23">
        <f t="shared" si="33"/>
        <v>707186</v>
      </c>
      <c r="M101" s="23">
        <v>6000</v>
      </c>
      <c r="N101" s="23">
        <v>0</v>
      </c>
      <c r="O101" s="112">
        <f t="shared" si="32"/>
        <v>713186</v>
      </c>
      <c r="P101" s="33">
        <v>0.18</v>
      </c>
      <c r="Q101" s="119">
        <v>0</v>
      </c>
      <c r="R101" s="112">
        <f t="shared" si="34"/>
        <v>64186.74</v>
      </c>
      <c r="S101" s="112">
        <f t="shared" si="35"/>
        <v>64186.74</v>
      </c>
      <c r="T101" s="23">
        <v>0</v>
      </c>
      <c r="U101" s="112">
        <f t="shared" si="36"/>
        <v>841559.48</v>
      </c>
    </row>
    <row r="102" spans="1:21" ht="17.100000000000001" customHeight="1" x14ac:dyDescent="0.25">
      <c r="A102" s="20">
        <f>IF(C102="","",COUNTA($C$4:C102))</f>
        <v>99</v>
      </c>
      <c r="B102" s="20" t="str">
        <f t="shared" si="37"/>
        <v>July</v>
      </c>
      <c r="C102" s="45">
        <v>45861</v>
      </c>
      <c r="D102" s="31" t="s">
        <v>1084</v>
      </c>
      <c r="E102" s="105" t="s">
        <v>1085</v>
      </c>
      <c r="F102" s="26" t="s">
        <v>1082</v>
      </c>
      <c r="G102" s="157" t="s">
        <v>122</v>
      </c>
      <c r="H102" s="106" t="s">
        <v>1086</v>
      </c>
      <c r="I102" s="159" t="s">
        <v>266</v>
      </c>
      <c r="J102" s="22">
        <v>25650</v>
      </c>
      <c r="K102" s="22">
        <v>70.900000000000006</v>
      </c>
      <c r="L102" s="23">
        <f t="shared" si="33"/>
        <v>1818585.0000000002</v>
      </c>
      <c r="M102" s="23">
        <v>15390</v>
      </c>
      <c r="N102" s="23">
        <v>0</v>
      </c>
      <c r="O102" s="112">
        <f t="shared" si="32"/>
        <v>1833975.0000000002</v>
      </c>
      <c r="P102" s="33">
        <v>0.18</v>
      </c>
      <c r="Q102" s="119">
        <v>0</v>
      </c>
      <c r="R102" s="112">
        <f t="shared" si="34"/>
        <v>165057.75000000003</v>
      </c>
      <c r="S102" s="112">
        <f t="shared" si="35"/>
        <v>165057.75000000003</v>
      </c>
      <c r="T102" s="23">
        <v>0</v>
      </c>
      <c r="U102" s="112">
        <f t="shared" si="36"/>
        <v>2164090.5000000005</v>
      </c>
    </row>
    <row r="103" spans="1:21" ht="17.100000000000001" customHeight="1" x14ac:dyDescent="0.25">
      <c r="A103" s="20">
        <f>IF(C103="","",COUNTA($C$4:C103))</f>
        <v>100</v>
      </c>
      <c r="B103" s="20" t="str">
        <f t="shared" si="37"/>
        <v>May</v>
      </c>
      <c r="C103" s="45">
        <v>45793</v>
      </c>
      <c r="D103" s="31" t="s">
        <v>507</v>
      </c>
      <c r="E103" s="105" t="s">
        <v>508</v>
      </c>
      <c r="F103" s="26" t="s">
        <v>509</v>
      </c>
      <c r="G103" s="157" t="s">
        <v>193</v>
      </c>
      <c r="H103" s="106" t="s">
        <v>198</v>
      </c>
      <c r="J103" s="22">
        <v>510</v>
      </c>
      <c r="K103" s="64">
        <v>235</v>
      </c>
      <c r="L103" s="23">
        <f t="shared" si="33"/>
        <v>119850</v>
      </c>
      <c r="M103" s="23">
        <v>0</v>
      </c>
      <c r="N103" s="23">
        <v>0</v>
      </c>
      <c r="O103" s="112">
        <f t="shared" si="32"/>
        <v>119850</v>
      </c>
      <c r="P103" s="33">
        <v>0.18</v>
      </c>
      <c r="Q103" s="118">
        <v>0</v>
      </c>
      <c r="R103" s="112">
        <f t="shared" si="34"/>
        <v>10786.5</v>
      </c>
      <c r="S103" s="112">
        <f t="shared" si="35"/>
        <v>10786.5</v>
      </c>
      <c r="T103" s="23">
        <v>0</v>
      </c>
      <c r="U103" s="112">
        <f t="shared" si="36"/>
        <v>141423</v>
      </c>
    </row>
    <row r="104" spans="1:21" ht="17.100000000000001" customHeight="1" x14ac:dyDescent="0.25">
      <c r="A104" s="20">
        <f>IF(C104="","",COUNTA($C$4:C104))</f>
        <v>101</v>
      </c>
      <c r="B104" s="20" t="str">
        <f t="shared" si="37"/>
        <v>August</v>
      </c>
      <c r="C104" s="45">
        <v>45897</v>
      </c>
      <c r="D104" s="31" t="s">
        <v>1368</v>
      </c>
      <c r="E104" s="105" t="s">
        <v>1369</v>
      </c>
      <c r="F104" s="26" t="s">
        <v>192</v>
      </c>
      <c r="G104" s="157" t="s">
        <v>193</v>
      </c>
      <c r="H104" s="106" t="s">
        <v>1370</v>
      </c>
      <c r="J104" s="22">
        <v>396</v>
      </c>
      <c r="K104" s="22">
        <v>455</v>
      </c>
      <c r="L104" s="23">
        <f t="shared" si="33"/>
        <v>180180</v>
      </c>
      <c r="M104" s="23">
        <v>10810</v>
      </c>
      <c r="N104" s="23">
        <v>0</v>
      </c>
      <c r="O104" s="112">
        <f t="shared" si="32"/>
        <v>190990</v>
      </c>
      <c r="P104" s="33">
        <v>0.18</v>
      </c>
      <c r="Q104" s="118">
        <v>0</v>
      </c>
      <c r="R104" s="112">
        <f t="shared" si="34"/>
        <v>17189.099999999999</v>
      </c>
      <c r="S104" s="112">
        <f t="shared" si="35"/>
        <v>17189.099999999999</v>
      </c>
      <c r="T104" s="23">
        <v>0</v>
      </c>
      <c r="U104" s="112">
        <f t="shared" si="36"/>
        <v>225368.2</v>
      </c>
    </row>
    <row r="105" spans="1:21" ht="17.100000000000001" customHeight="1" x14ac:dyDescent="0.25">
      <c r="A105" s="20">
        <f>IF(C105="","",COUNTA($C$4:C105))</f>
        <v>102</v>
      </c>
      <c r="B105" s="20" t="str">
        <f t="shared" si="37"/>
        <v>August</v>
      </c>
      <c r="C105" s="45">
        <v>45897</v>
      </c>
      <c r="D105" s="31" t="s">
        <v>1371</v>
      </c>
      <c r="E105" s="105" t="s">
        <v>1372</v>
      </c>
      <c r="F105" s="26" t="s">
        <v>1373</v>
      </c>
      <c r="G105" s="157" t="s">
        <v>193</v>
      </c>
      <c r="H105" s="106" t="s">
        <v>1374</v>
      </c>
      <c r="J105" s="22">
        <v>425</v>
      </c>
      <c r="K105" s="22">
        <v>405</v>
      </c>
      <c r="L105" s="23">
        <f t="shared" si="33"/>
        <v>172125</v>
      </c>
      <c r="M105" s="23">
        <v>3000</v>
      </c>
      <c r="N105" s="23">
        <v>0</v>
      </c>
      <c r="O105" s="112">
        <f t="shared" si="32"/>
        <v>175125</v>
      </c>
      <c r="P105" s="33">
        <v>0.18</v>
      </c>
      <c r="Q105" s="118">
        <v>0</v>
      </c>
      <c r="R105" s="114">
        <f t="shared" si="34"/>
        <v>15761.25</v>
      </c>
      <c r="S105" s="112">
        <f t="shared" si="35"/>
        <v>15761.25</v>
      </c>
      <c r="T105" s="23">
        <v>0</v>
      </c>
      <c r="U105" s="112">
        <f t="shared" si="36"/>
        <v>206647.5</v>
      </c>
    </row>
    <row r="106" spans="1:21" ht="17.100000000000001" customHeight="1" x14ac:dyDescent="0.25">
      <c r="A106" s="20">
        <f>IF(C106="","",COUNTA($C$4:C106))</f>
        <v>103</v>
      </c>
      <c r="B106" s="20" t="str">
        <f t="shared" si="37"/>
        <v>May</v>
      </c>
      <c r="C106" s="45">
        <v>45794</v>
      </c>
      <c r="D106" s="128" t="s">
        <v>516</v>
      </c>
      <c r="E106" s="105" t="s">
        <v>724</v>
      </c>
      <c r="F106" s="26" t="s">
        <v>310</v>
      </c>
      <c r="G106" s="157" t="s">
        <v>260</v>
      </c>
      <c r="H106" s="106" t="s">
        <v>517</v>
      </c>
      <c r="J106" s="22">
        <v>18125</v>
      </c>
      <c r="K106" s="64">
        <v>3.1</v>
      </c>
      <c r="L106" s="23">
        <f t="shared" si="33"/>
        <v>56187.5</v>
      </c>
      <c r="M106" s="23">
        <v>0</v>
      </c>
      <c r="N106" s="23">
        <v>0</v>
      </c>
      <c r="O106" s="112">
        <f t="shared" si="32"/>
        <v>56187.5</v>
      </c>
      <c r="P106" s="33">
        <v>0.18</v>
      </c>
      <c r="Q106" s="118">
        <v>0</v>
      </c>
      <c r="R106" s="112">
        <f t="shared" si="34"/>
        <v>5056.875</v>
      </c>
      <c r="S106" s="112">
        <f t="shared" si="35"/>
        <v>5056.875</v>
      </c>
      <c r="T106" s="23">
        <v>0</v>
      </c>
      <c r="U106" s="112">
        <f t="shared" si="36"/>
        <v>66301.25</v>
      </c>
    </row>
    <row r="107" spans="1:21" ht="17.100000000000001" customHeight="1" x14ac:dyDescent="0.25">
      <c r="A107" s="20">
        <f>IF(C107="","",COUNTA($C$4:C107))</f>
        <v>104</v>
      </c>
      <c r="B107" s="20" t="str">
        <f t="shared" si="37"/>
        <v>September</v>
      </c>
      <c r="C107" s="45">
        <v>45903</v>
      </c>
      <c r="D107" s="31" t="s">
        <v>1458</v>
      </c>
      <c r="E107" s="105" t="s">
        <v>1459</v>
      </c>
      <c r="F107" s="26" t="s">
        <v>192</v>
      </c>
      <c r="G107" s="157" t="s">
        <v>193</v>
      </c>
      <c r="H107" s="106" t="s">
        <v>1460</v>
      </c>
      <c r="J107" s="22">
        <v>1320</v>
      </c>
      <c r="K107" s="22">
        <v>191</v>
      </c>
      <c r="L107" s="23">
        <f t="shared" si="33"/>
        <v>252120</v>
      </c>
      <c r="M107" s="23">
        <v>20169</v>
      </c>
      <c r="N107" s="23">
        <v>0</v>
      </c>
      <c r="O107" s="112">
        <f t="shared" si="32"/>
        <v>272289</v>
      </c>
      <c r="P107" s="33">
        <v>0.18</v>
      </c>
      <c r="Q107" s="119">
        <v>0</v>
      </c>
      <c r="R107" s="112">
        <f t="shared" si="34"/>
        <v>24506.01</v>
      </c>
      <c r="S107" s="112">
        <f t="shared" si="35"/>
        <v>24506.01</v>
      </c>
      <c r="T107" s="23">
        <v>0</v>
      </c>
      <c r="U107" s="112">
        <f t="shared" si="36"/>
        <v>321301.02</v>
      </c>
    </row>
    <row r="108" spans="1:21" ht="17.100000000000001" customHeight="1" x14ac:dyDescent="0.25">
      <c r="A108" s="20">
        <f>IF(C108="","",COUNTA($C$4:C108))</f>
        <v>105</v>
      </c>
      <c r="B108" s="20" t="str">
        <f t="shared" si="37"/>
        <v>May</v>
      </c>
      <c r="C108" s="45">
        <v>45797</v>
      </c>
      <c r="D108" s="31" t="s">
        <v>522</v>
      </c>
      <c r="E108" s="105" t="s">
        <v>523</v>
      </c>
      <c r="F108" s="26" t="s">
        <v>524</v>
      </c>
      <c r="G108" s="157" t="s">
        <v>525</v>
      </c>
      <c r="H108" s="106" t="s">
        <v>526</v>
      </c>
      <c r="J108" s="22">
        <v>266.39999999999998</v>
      </c>
      <c r="K108" s="64">
        <v>312.35000000000002</v>
      </c>
      <c r="L108" s="23">
        <f t="shared" si="33"/>
        <v>83210.039999999994</v>
      </c>
      <c r="M108" s="23">
        <v>0</v>
      </c>
      <c r="N108" s="23">
        <v>0</v>
      </c>
      <c r="O108" s="112">
        <f t="shared" si="32"/>
        <v>83210.039999999994</v>
      </c>
      <c r="P108" s="33">
        <v>0.18</v>
      </c>
      <c r="Q108" s="118">
        <v>0</v>
      </c>
      <c r="R108" s="112">
        <f t="shared" si="34"/>
        <v>7488.9035999999996</v>
      </c>
      <c r="S108" s="112">
        <f t="shared" si="35"/>
        <v>7488.9035999999996</v>
      </c>
      <c r="T108" s="23">
        <v>0</v>
      </c>
      <c r="U108" s="112">
        <f t="shared" si="36"/>
        <v>98187.847200000004</v>
      </c>
    </row>
    <row r="109" spans="1:21" ht="17.100000000000001" customHeight="1" x14ac:dyDescent="0.25">
      <c r="A109" s="20">
        <f>IF(C109="","",COUNTA($C$4:C109))</f>
        <v>106</v>
      </c>
      <c r="B109" s="20" t="str">
        <f t="shared" si="37"/>
        <v>May</v>
      </c>
      <c r="C109" s="45">
        <v>45798</v>
      </c>
      <c r="D109" s="31" t="s">
        <v>527</v>
      </c>
      <c r="E109" s="105" t="s">
        <v>528</v>
      </c>
      <c r="F109" s="26"/>
      <c r="G109" s="157" t="s">
        <v>529</v>
      </c>
      <c r="H109" s="106" t="s">
        <v>530</v>
      </c>
      <c r="J109" s="22">
        <v>2.19</v>
      </c>
      <c r="K109" s="64">
        <v>72000</v>
      </c>
      <c r="L109" s="23">
        <f t="shared" si="33"/>
        <v>157680</v>
      </c>
      <c r="M109" s="23">
        <v>4000</v>
      </c>
      <c r="N109" s="23">
        <v>330</v>
      </c>
      <c r="O109" s="112">
        <f t="shared" si="32"/>
        <v>162010</v>
      </c>
      <c r="P109" s="33">
        <v>0.18</v>
      </c>
      <c r="Q109" s="118">
        <v>0</v>
      </c>
      <c r="R109" s="112">
        <f t="shared" si="34"/>
        <v>14580.9</v>
      </c>
      <c r="S109" s="112">
        <f t="shared" si="35"/>
        <v>14580.9</v>
      </c>
      <c r="T109" s="23">
        <v>0</v>
      </c>
      <c r="U109" s="112">
        <f t="shared" si="36"/>
        <v>191171.8</v>
      </c>
    </row>
    <row r="110" spans="1:21" ht="17.100000000000001" customHeight="1" x14ac:dyDescent="0.25">
      <c r="A110" s="20">
        <f>IF(C110="","",COUNTA($C$4:C110))</f>
        <v>107</v>
      </c>
      <c r="B110" s="20" t="str">
        <f t="shared" si="37"/>
        <v>May</v>
      </c>
      <c r="C110" s="45">
        <v>45799</v>
      </c>
      <c r="D110" s="31" t="s">
        <v>542</v>
      </c>
      <c r="E110" s="105" t="s">
        <v>543</v>
      </c>
      <c r="F110" s="26" t="s">
        <v>544</v>
      </c>
      <c r="G110" s="157" t="s">
        <v>415</v>
      </c>
      <c r="H110" s="106" t="s">
        <v>545</v>
      </c>
      <c r="J110" s="22">
        <v>280</v>
      </c>
      <c r="K110" s="64">
        <v>15.7</v>
      </c>
      <c r="L110" s="23">
        <f t="shared" ref="L110:L126" si="38">J110*K110</f>
        <v>4396</v>
      </c>
      <c r="M110" s="23">
        <v>0</v>
      </c>
      <c r="N110" s="23">
        <v>0</v>
      </c>
      <c r="O110" s="112">
        <f t="shared" si="32"/>
        <v>4396</v>
      </c>
      <c r="P110" s="33">
        <v>0.18</v>
      </c>
      <c r="Q110" s="118">
        <v>0</v>
      </c>
      <c r="R110" s="112">
        <f t="shared" si="34"/>
        <v>395.64</v>
      </c>
      <c r="S110" s="112">
        <f t="shared" si="35"/>
        <v>395.64</v>
      </c>
      <c r="T110" s="23">
        <v>0</v>
      </c>
      <c r="U110" s="112">
        <f t="shared" si="36"/>
        <v>5187.2800000000007</v>
      </c>
    </row>
    <row r="111" spans="1:21" ht="17.100000000000001" customHeight="1" x14ac:dyDescent="0.25">
      <c r="A111" s="20">
        <f>IF(C111="","",COUNTA($C$4:C111))</f>
        <v>108</v>
      </c>
      <c r="B111" s="20" t="str">
        <f t="shared" si="37"/>
        <v>May</v>
      </c>
      <c r="C111" s="45">
        <v>45799</v>
      </c>
      <c r="D111" s="101" t="s">
        <v>542</v>
      </c>
      <c r="E111" s="105" t="s">
        <v>543</v>
      </c>
      <c r="F111" s="26" t="s">
        <v>544</v>
      </c>
      <c r="G111" s="157" t="s">
        <v>415</v>
      </c>
      <c r="H111" s="106" t="s">
        <v>546</v>
      </c>
      <c r="J111" s="22">
        <v>5</v>
      </c>
      <c r="K111" s="64">
        <v>350</v>
      </c>
      <c r="L111" s="23">
        <f t="shared" si="38"/>
        <v>1750</v>
      </c>
      <c r="M111" s="23">
        <v>0</v>
      </c>
      <c r="N111" s="23">
        <v>0</v>
      </c>
      <c r="O111" s="112">
        <f t="shared" si="32"/>
        <v>1750</v>
      </c>
      <c r="P111" s="33">
        <v>0.18</v>
      </c>
      <c r="Q111" s="118">
        <v>0</v>
      </c>
      <c r="R111" s="112">
        <f t="shared" si="34"/>
        <v>157.5</v>
      </c>
      <c r="S111" s="112">
        <f t="shared" si="35"/>
        <v>157.5</v>
      </c>
      <c r="T111" s="23">
        <v>0</v>
      </c>
      <c r="U111" s="112">
        <f t="shared" si="36"/>
        <v>2065</v>
      </c>
    </row>
    <row r="112" spans="1:21" ht="17.100000000000001" customHeight="1" x14ac:dyDescent="0.25">
      <c r="A112" s="20">
        <f>IF(C112="","",COUNTA($C$4:C112))</f>
        <v>109</v>
      </c>
      <c r="B112" s="20" t="str">
        <f t="shared" si="37"/>
        <v>September</v>
      </c>
      <c r="C112" s="45">
        <v>45903</v>
      </c>
      <c r="D112" s="31" t="s">
        <v>1461</v>
      </c>
      <c r="E112" s="105" t="s">
        <v>1462</v>
      </c>
      <c r="F112" s="26" t="s">
        <v>192</v>
      </c>
      <c r="G112" s="157" t="s">
        <v>193</v>
      </c>
      <c r="H112" s="106" t="s">
        <v>1463</v>
      </c>
      <c r="J112" s="22">
        <v>792</v>
      </c>
      <c r="K112" s="22">
        <v>191</v>
      </c>
      <c r="L112" s="23">
        <f t="shared" si="38"/>
        <v>151272</v>
      </c>
      <c r="M112" s="23">
        <v>12101</v>
      </c>
      <c r="N112" s="23">
        <v>0</v>
      </c>
      <c r="O112" s="112">
        <f t="shared" si="32"/>
        <v>163373</v>
      </c>
      <c r="P112" s="33">
        <v>0.18</v>
      </c>
      <c r="Q112" s="118">
        <v>0</v>
      </c>
      <c r="R112" s="112">
        <f t="shared" si="34"/>
        <v>14703.57</v>
      </c>
      <c r="S112" s="112">
        <f t="shared" si="35"/>
        <v>14703.57</v>
      </c>
      <c r="T112" s="23">
        <v>0</v>
      </c>
      <c r="U112" s="112">
        <f t="shared" si="36"/>
        <v>192780.14</v>
      </c>
    </row>
    <row r="113" spans="1:21" ht="17.100000000000001" customHeight="1" x14ac:dyDescent="0.25">
      <c r="A113" s="20">
        <f>IF(C113="","",COUNTA($C$4:C113))</f>
        <v>110</v>
      </c>
      <c r="B113" s="20" t="str">
        <f t="shared" si="37"/>
        <v>July</v>
      </c>
      <c r="C113" s="45">
        <v>45861</v>
      </c>
      <c r="D113" s="31" t="s">
        <v>1087</v>
      </c>
      <c r="E113" s="105" t="s">
        <v>1088</v>
      </c>
      <c r="F113" s="26" t="s">
        <v>1082</v>
      </c>
      <c r="G113" s="157" t="s">
        <v>122</v>
      </c>
      <c r="H113" s="106" t="s">
        <v>1083</v>
      </c>
      <c r="I113" s="159" t="s">
        <v>160</v>
      </c>
      <c r="J113" s="22">
        <v>10690</v>
      </c>
      <c r="K113" s="22">
        <v>69.400000000000006</v>
      </c>
      <c r="L113" s="23">
        <f t="shared" si="38"/>
        <v>741886.00000000012</v>
      </c>
      <c r="M113" s="23">
        <v>6420</v>
      </c>
      <c r="N113" s="23">
        <v>0</v>
      </c>
      <c r="O113" s="112">
        <f t="shared" si="32"/>
        <v>748306.00000000012</v>
      </c>
      <c r="P113" s="33">
        <v>0.18</v>
      </c>
      <c r="Q113" s="119">
        <v>0</v>
      </c>
      <c r="R113" s="112">
        <f t="shared" si="34"/>
        <v>67347.540000000008</v>
      </c>
      <c r="S113" s="112">
        <f t="shared" si="35"/>
        <v>67347.540000000008</v>
      </c>
      <c r="T113" s="23">
        <v>0</v>
      </c>
      <c r="U113" s="112">
        <f t="shared" si="36"/>
        <v>883001.08000000019</v>
      </c>
    </row>
    <row r="114" spans="1:21" ht="17.100000000000001" customHeight="1" x14ac:dyDescent="0.25">
      <c r="A114" s="20">
        <f>IF(C114="","",COUNTA($C$4:C114))</f>
        <v>111</v>
      </c>
      <c r="B114" s="20" t="str">
        <f t="shared" si="37"/>
        <v>July</v>
      </c>
      <c r="C114" s="45">
        <v>45862</v>
      </c>
      <c r="D114" s="31" t="s">
        <v>1089</v>
      </c>
      <c r="E114" s="105" t="s">
        <v>1090</v>
      </c>
      <c r="F114" s="26" t="s">
        <v>1082</v>
      </c>
      <c r="G114" s="157" t="s">
        <v>122</v>
      </c>
      <c r="H114" s="106" t="s">
        <v>1091</v>
      </c>
      <c r="I114" s="159" t="s">
        <v>266</v>
      </c>
      <c r="J114" s="22">
        <v>28394</v>
      </c>
      <c r="K114" s="22">
        <v>70.900000000000006</v>
      </c>
      <c r="L114" s="23">
        <f t="shared" si="38"/>
        <v>2013134.6</v>
      </c>
      <c r="M114" s="23">
        <v>17040</v>
      </c>
      <c r="N114" s="23">
        <v>0</v>
      </c>
      <c r="O114" s="112">
        <f t="shared" si="32"/>
        <v>2030174.6</v>
      </c>
      <c r="P114" s="33">
        <v>0.18</v>
      </c>
      <c r="Q114" s="115">
        <v>0</v>
      </c>
      <c r="R114" s="112">
        <f t="shared" si="34"/>
        <v>182715.71400000004</v>
      </c>
      <c r="S114" s="112">
        <f t="shared" si="35"/>
        <v>182715.71400000004</v>
      </c>
      <c r="T114" s="23">
        <v>0</v>
      </c>
      <c r="U114" s="112">
        <f t="shared" si="36"/>
        <v>2395606.0280000004</v>
      </c>
    </row>
    <row r="115" spans="1:21" ht="17.100000000000001" customHeight="1" x14ac:dyDescent="0.25">
      <c r="A115" s="20">
        <f>IF(C115="","",COUNTA($C$4:C115))</f>
        <v>112</v>
      </c>
      <c r="B115" s="20" t="str">
        <f t="shared" si="37"/>
        <v>July</v>
      </c>
      <c r="C115" s="45">
        <v>45868</v>
      </c>
      <c r="D115" s="31" t="s">
        <v>1142</v>
      </c>
      <c r="E115" s="105" t="s">
        <v>1143</v>
      </c>
      <c r="F115" s="26" t="s">
        <v>1082</v>
      </c>
      <c r="G115" s="157" t="s">
        <v>122</v>
      </c>
      <c r="H115" s="106" t="s">
        <v>1144</v>
      </c>
      <c r="I115" s="159" t="s">
        <v>1145</v>
      </c>
      <c r="J115" s="22">
        <v>5960</v>
      </c>
      <c r="K115" s="22">
        <v>69.400000000000006</v>
      </c>
      <c r="L115" s="23">
        <f t="shared" si="38"/>
        <v>413624.00000000006</v>
      </c>
      <c r="M115" s="23">
        <v>3600</v>
      </c>
      <c r="N115" s="23">
        <v>0</v>
      </c>
      <c r="O115" s="112">
        <f t="shared" si="32"/>
        <v>417224.00000000006</v>
      </c>
      <c r="P115" s="33">
        <v>0.18</v>
      </c>
      <c r="Q115" s="115">
        <v>0</v>
      </c>
      <c r="R115" s="112">
        <f t="shared" si="34"/>
        <v>37550.160000000003</v>
      </c>
      <c r="S115" s="112">
        <f t="shared" si="35"/>
        <v>37550.160000000003</v>
      </c>
      <c r="T115" s="23">
        <v>0</v>
      </c>
      <c r="U115" s="112">
        <f t="shared" si="36"/>
        <v>492324.32000000007</v>
      </c>
    </row>
    <row r="116" spans="1:21" ht="17.100000000000001" customHeight="1" x14ac:dyDescent="0.25">
      <c r="A116" s="20">
        <f>IF(C116="","",COUNTA($C$4:C116))</f>
        <v>113</v>
      </c>
      <c r="B116" s="20" t="str">
        <f t="shared" si="37"/>
        <v>July</v>
      </c>
      <c r="C116" s="45">
        <v>45868</v>
      </c>
      <c r="D116" s="31" t="s">
        <v>1151</v>
      </c>
      <c r="E116" s="105" t="s">
        <v>1152</v>
      </c>
      <c r="F116" s="26" t="s">
        <v>1153</v>
      </c>
      <c r="G116" s="157" t="s">
        <v>122</v>
      </c>
      <c r="H116" s="106" t="s">
        <v>730</v>
      </c>
      <c r="I116" s="159" t="s">
        <v>276</v>
      </c>
      <c r="J116" s="22">
        <v>4705</v>
      </c>
      <c r="K116" s="22">
        <v>69.400000000000006</v>
      </c>
      <c r="L116" s="23">
        <f t="shared" si="38"/>
        <v>326527</v>
      </c>
      <c r="M116" s="23">
        <v>6000</v>
      </c>
      <c r="N116" s="23">
        <v>0</v>
      </c>
      <c r="O116" s="112">
        <f t="shared" si="32"/>
        <v>332527</v>
      </c>
      <c r="P116" s="33">
        <v>0.18</v>
      </c>
      <c r="Q116" s="115">
        <v>0</v>
      </c>
      <c r="R116" s="112">
        <f t="shared" si="34"/>
        <v>29927.43</v>
      </c>
      <c r="S116" s="112">
        <f t="shared" si="35"/>
        <v>29927.43</v>
      </c>
      <c r="T116" s="23">
        <v>0</v>
      </c>
      <c r="U116" s="112">
        <f t="shared" si="36"/>
        <v>392381.86</v>
      </c>
    </row>
    <row r="117" spans="1:21" ht="17.100000000000001" customHeight="1" x14ac:dyDescent="0.25">
      <c r="A117" s="20">
        <f>IF(C117="","",COUNTA($C$4:C117))</f>
        <v>114</v>
      </c>
      <c r="B117" s="20" t="str">
        <f t="shared" si="37"/>
        <v>May</v>
      </c>
      <c r="C117" s="45">
        <v>45806</v>
      </c>
      <c r="D117" s="31" t="s">
        <v>606</v>
      </c>
      <c r="E117" s="105" t="s">
        <v>607</v>
      </c>
      <c r="F117" s="26" t="s">
        <v>608</v>
      </c>
      <c r="G117" s="157" t="s">
        <v>260</v>
      </c>
      <c r="H117" s="106" t="s">
        <v>609</v>
      </c>
      <c r="J117" s="22">
        <v>1901</v>
      </c>
      <c r="K117" s="64">
        <v>11</v>
      </c>
      <c r="L117" s="23">
        <f t="shared" si="38"/>
        <v>20911</v>
      </c>
      <c r="M117" s="23">
        <v>0</v>
      </c>
      <c r="N117" s="23">
        <v>0</v>
      </c>
      <c r="O117" s="112">
        <f t="shared" si="32"/>
        <v>20911</v>
      </c>
      <c r="P117" s="33">
        <v>0.18</v>
      </c>
      <c r="Q117" s="118">
        <v>0</v>
      </c>
      <c r="R117" s="112">
        <f t="shared" si="34"/>
        <v>1881.99</v>
      </c>
      <c r="S117" s="112">
        <f t="shared" si="35"/>
        <v>1881.99</v>
      </c>
      <c r="T117" s="23">
        <v>0</v>
      </c>
      <c r="U117" s="112">
        <f t="shared" si="36"/>
        <v>24674.980000000003</v>
      </c>
    </row>
    <row r="118" spans="1:21" ht="17.100000000000001" customHeight="1" x14ac:dyDescent="0.25">
      <c r="A118" s="20">
        <f>IF(C118="","",COUNTA($C$4:C118))</f>
        <v>115</v>
      </c>
      <c r="B118" s="20" t="str">
        <f t="shared" si="37"/>
        <v>May</v>
      </c>
      <c r="C118" s="45">
        <v>45806</v>
      </c>
      <c r="D118" s="31" t="s">
        <v>610</v>
      </c>
      <c r="E118" s="105" t="s">
        <v>611</v>
      </c>
      <c r="F118" s="26" t="s">
        <v>608</v>
      </c>
      <c r="G118" s="157" t="s">
        <v>260</v>
      </c>
      <c r="H118" s="106" t="s">
        <v>612</v>
      </c>
      <c r="J118" s="22">
        <v>3327</v>
      </c>
      <c r="K118" s="64">
        <v>13</v>
      </c>
      <c r="L118" s="23">
        <f t="shared" si="38"/>
        <v>43251</v>
      </c>
      <c r="M118" s="23">
        <v>0</v>
      </c>
      <c r="N118" s="23">
        <v>0</v>
      </c>
      <c r="O118" s="112">
        <f t="shared" si="32"/>
        <v>43251</v>
      </c>
      <c r="P118" s="33">
        <v>0.18</v>
      </c>
      <c r="Q118" s="118">
        <v>0</v>
      </c>
      <c r="R118" s="112">
        <f t="shared" si="34"/>
        <v>3892.59</v>
      </c>
      <c r="S118" s="112">
        <f t="shared" si="35"/>
        <v>3892.59</v>
      </c>
      <c r="T118" s="23">
        <v>0</v>
      </c>
      <c r="U118" s="112">
        <f t="shared" si="36"/>
        <v>51036.179999999993</v>
      </c>
    </row>
    <row r="119" spans="1:21" ht="17.100000000000001" customHeight="1" x14ac:dyDescent="0.25">
      <c r="A119" s="20">
        <f>IF(C119="","",COUNTA($C$4:C119))</f>
        <v>116</v>
      </c>
      <c r="B119" s="20" t="str">
        <f t="shared" si="37"/>
        <v>May</v>
      </c>
      <c r="C119" s="45">
        <v>45806</v>
      </c>
      <c r="D119" s="31" t="s">
        <v>610</v>
      </c>
      <c r="E119" s="105" t="s">
        <v>611</v>
      </c>
      <c r="F119" s="26" t="s">
        <v>608</v>
      </c>
      <c r="G119" s="157" t="s">
        <v>260</v>
      </c>
      <c r="H119" s="106" t="s">
        <v>613</v>
      </c>
      <c r="J119" s="22">
        <v>920</v>
      </c>
      <c r="K119" s="64">
        <v>14.5</v>
      </c>
      <c r="L119" s="23">
        <f t="shared" si="38"/>
        <v>13340</v>
      </c>
      <c r="M119" s="23">
        <v>0</v>
      </c>
      <c r="N119" s="23">
        <v>0</v>
      </c>
      <c r="O119" s="112">
        <f t="shared" si="32"/>
        <v>13340</v>
      </c>
      <c r="P119" s="33">
        <v>0.18</v>
      </c>
      <c r="Q119" s="118">
        <v>0</v>
      </c>
      <c r="R119" s="112">
        <f t="shared" si="34"/>
        <v>1200.5999999999999</v>
      </c>
      <c r="S119" s="112">
        <f t="shared" si="35"/>
        <v>1200.5999999999999</v>
      </c>
      <c r="T119" s="23">
        <v>0</v>
      </c>
      <c r="U119" s="112">
        <f t="shared" si="36"/>
        <v>15741.2</v>
      </c>
    </row>
    <row r="120" spans="1:21" ht="17.100000000000001" customHeight="1" x14ac:dyDescent="0.25">
      <c r="A120" s="20">
        <f>IF(C120="","",COUNTA($C$4:C120))</f>
        <v>117</v>
      </c>
      <c r="B120" s="20" t="str">
        <f t="shared" si="37"/>
        <v>May</v>
      </c>
      <c r="C120" s="45">
        <v>45806</v>
      </c>
      <c r="D120" s="31" t="s">
        <v>610</v>
      </c>
      <c r="E120" s="105" t="s">
        <v>611</v>
      </c>
      <c r="F120" s="26" t="s">
        <v>608</v>
      </c>
      <c r="G120" s="157" t="s">
        <v>260</v>
      </c>
      <c r="H120" s="106" t="s">
        <v>614</v>
      </c>
      <c r="J120" s="22">
        <v>10</v>
      </c>
      <c r="K120" s="64">
        <v>16.600000000000001</v>
      </c>
      <c r="L120" s="23">
        <f t="shared" si="38"/>
        <v>166</v>
      </c>
      <c r="M120" s="23">
        <v>0</v>
      </c>
      <c r="N120" s="23">
        <v>0</v>
      </c>
      <c r="O120" s="112">
        <f t="shared" si="32"/>
        <v>166</v>
      </c>
      <c r="P120" s="33">
        <v>0.18</v>
      </c>
      <c r="Q120" s="118">
        <v>0</v>
      </c>
      <c r="R120" s="112">
        <f t="shared" si="34"/>
        <v>14.94</v>
      </c>
      <c r="S120" s="112">
        <f t="shared" si="35"/>
        <v>14.94</v>
      </c>
      <c r="T120" s="23">
        <v>0</v>
      </c>
      <c r="U120" s="112">
        <f t="shared" si="36"/>
        <v>195.88</v>
      </c>
    </row>
    <row r="121" spans="1:21" ht="17.100000000000001" customHeight="1" x14ac:dyDescent="0.25">
      <c r="A121" s="20">
        <f>IF(C121="","",COUNTA($C$4:C121))</f>
        <v>118</v>
      </c>
      <c r="B121" s="20" t="str">
        <f t="shared" si="37"/>
        <v>May</v>
      </c>
      <c r="C121" s="45">
        <v>45806</v>
      </c>
      <c r="D121" s="31" t="s">
        <v>610</v>
      </c>
      <c r="E121" s="105" t="s">
        <v>611</v>
      </c>
      <c r="F121" s="26" t="s">
        <v>608</v>
      </c>
      <c r="G121" s="157" t="s">
        <v>260</v>
      </c>
      <c r="H121" s="106" t="s">
        <v>615</v>
      </c>
      <c r="J121" s="22">
        <v>97</v>
      </c>
      <c r="K121" s="64">
        <v>18.329999999999998</v>
      </c>
      <c r="L121" s="23">
        <f t="shared" si="38"/>
        <v>1778.0099999999998</v>
      </c>
      <c r="M121" s="23">
        <v>0</v>
      </c>
      <c r="N121" s="23">
        <v>0</v>
      </c>
      <c r="O121" s="112">
        <f t="shared" si="32"/>
        <v>1778.0099999999998</v>
      </c>
      <c r="P121" s="33">
        <v>0.18</v>
      </c>
      <c r="Q121" s="118">
        <v>0</v>
      </c>
      <c r="R121" s="112">
        <f t="shared" si="34"/>
        <v>160.02089999999998</v>
      </c>
      <c r="S121" s="112">
        <f t="shared" si="35"/>
        <v>160.02089999999998</v>
      </c>
      <c r="T121" s="23">
        <v>0</v>
      </c>
      <c r="U121" s="112">
        <f t="shared" si="36"/>
        <v>2098.0517999999997</v>
      </c>
    </row>
    <row r="122" spans="1:21" ht="17.100000000000001" customHeight="1" x14ac:dyDescent="0.25">
      <c r="A122" s="20">
        <f>IF(C122="","",COUNTA($C$4:C122))</f>
        <v>119</v>
      </c>
      <c r="B122" s="20" t="str">
        <f t="shared" si="37"/>
        <v>May</v>
      </c>
      <c r="C122" s="45">
        <v>45806</v>
      </c>
      <c r="D122" s="31" t="s">
        <v>610</v>
      </c>
      <c r="E122" s="105" t="s">
        <v>611</v>
      </c>
      <c r="F122" s="26" t="s">
        <v>608</v>
      </c>
      <c r="G122" s="157" t="s">
        <v>260</v>
      </c>
      <c r="H122" s="106" t="s">
        <v>616</v>
      </c>
      <c r="J122" s="22">
        <v>336</v>
      </c>
      <c r="K122" s="64">
        <v>20.059999999999999</v>
      </c>
      <c r="L122" s="23">
        <f t="shared" si="38"/>
        <v>6740.16</v>
      </c>
      <c r="M122" s="23">
        <v>0</v>
      </c>
      <c r="N122" s="23">
        <v>0</v>
      </c>
      <c r="O122" s="112">
        <f t="shared" si="32"/>
        <v>6740.16</v>
      </c>
      <c r="P122" s="33">
        <v>0.18</v>
      </c>
      <c r="Q122" s="118">
        <v>0</v>
      </c>
      <c r="R122" s="112">
        <f t="shared" si="34"/>
        <v>606.61440000000005</v>
      </c>
      <c r="S122" s="112">
        <f t="shared" si="35"/>
        <v>606.61440000000005</v>
      </c>
      <c r="T122" s="23">
        <v>0</v>
      </c>
      <c r="U122" s="112">
        <f t="shared" si="36"/>
        <v>7953.3888000000006</v>
      </c>
    </row>
    <row r="123" spans="1:21" ht="17.100000000000001" customHeight="1" x14ac:dyDescent="0.25">
      <c r="A123" s="20">
        <f>IF(C123="","",COUNTA($C$4:C123))</f>
        <v>120</v>
      </c>
      <c r="B123" s="20" t="str">
        <f t="shared" si="37"/>
        <v>May</v>
      </c>
      <c r="C123" s="45">
        <v>45807</v>
      </c>
      <c r="D123" s="31" t="s">
        <v>617</v>
      </c>
      <c r="E123" s="105" t="s">
        <v>618</v>
      </c>
      <c r="F123" s="26" t="s">
        <v>619</v>
      </c>
      <c r="G123" s="157" t="s">
        <v>746</v>
      </c>
      <c r="H123" s="106" t="s">
        <v>620</v>
      </c>
      <c r="J123" s="22">
        <v>4800</v>
      </c>
      <c r="K123" s="64">
        <v>101.5</v>
      </c>
      <c r="L123" s="23">
        <f t="shared" si="38"/>
        <v>487200</v>
      </c>
      <c r="M123" s="23">
        <v>56000</v>
      </c>
      <c r="N123" s="23">
        <v>0</v>
      </c>
      <c r="O123" s="112">
        <f t="shared" si="32"/>
        <v>543200</v>
      </c>
      <c r="P123" s="33">
        <v>0.18</v>
      </c>
      <c r="Q123" s="118">
        <f>O123*18/100</f>
        <v>97776</v>
      </c>
      <c r="R123" s="115">
        <v>0</v>
      </c>
      <c r="S123" s="115">
        <v>0</v>
      </c>
      <c r="T123" s="23">
        <v>0</v>
      </c>
      <c r="U123" s="112">
        <f>O123+Q123</f>
        <v>640976</v>
      </c>
    </row>
    <row r="124" spans="1:21" ht="17.100000000000001" customHeight="1" x14ac:dyDescent="0.25">
      <c r="A124" s="20">
        <f>IF(C124="","",COUNTA($C$4:C124))</f>
        <v>121</v>
      </c>
      <c r="B124" s="20" t="str">
        <f t="shared" si="37"/>
        <v>September</v>
      </c>
      <c r="C124" s="45">
        <v>45904</v>
      </c>
      <c r="D124" s="31" t="s">
        <v>1469</v>
      </c>
      <c r="E124" s="105" t="s">
        <v>1470</v>
      </c>
      <c r="F124" s="26" t="s">
        <v>192</v>
      </c>
      <c r="G124" s="157" t="s">
        <v>193</v>
      </c>
      <c r="H124" s="106" t="s">
        <v>1471</v>
      </c>
      <c r="J124" s="22">
        <v>840</v>
      </c>
      <c r="K124" s="22">
        <v>191</v>
      </c>
      <c r="L124" s="23">
        <f t="shared" si="38"/>
        <v>160440</v>
      </c>
      <c r="M124" s="23">
        <v>12835</v>
      </c>
      <c r="N124" s="23">
        <v>0</v>
      </c>
      <c r="O124" s="112">
        <f t="shared" si="32"/>
        <v>173275</v>
      </c>
      <c r="P124" s="33">
        <v>0.18</v>
      </c>
      <c r="Q124" s="118">
        <v>0</v>
      </c>
      <c r="R124" s="112">
        <f>O124*9/100</f>
        <v>15594.75</v>
      </c>
      <c r="S124" s="112">
        <f>O124*9/100</f>
        <v>15594.75</v>
      </c>
      <c r="T124" s="23">
        <v>0</v>
      </c>
      <c r="U124" s="112">
        <f t="shared" ref="U124:U156" si="39">O124+R124+S124</f>
        <v>204464.5</v>
      </c>
    </row>
    <row r="125" spans="1:21" ht="17.100000000000001" customHeight="1" x14ac:dyDescent="0.25">
      <c r="A125" s="20">
        <f>IF(C125="","",COUNTA($C$4:C125))</f>
        <v>122</v>
      </c>
      <c r="B125" s="20" t="str">
        <f t="shared" si="37"/>
        <v>May</v>
      </c>
      <c r="C125" s="45">
        <v>45807</v>
      </c>
      <c r="D125" s="31" t="s">
        <v>654</v>
      </c>
      <c r="E125" s="105" t="s">
        <v>655</v>
      </c>
      <c r="F125" s="26"/>
      <c r="G125" s="157" t="s">
        <v>248</v>
      </c>
      <c r="H125" s="106" t="s">
        <v>656</v>
      </c>
      <c r="J125" s="22">
        <v>200</v>
      </c>
      <c r="K125" s="64">
        <v>11</v>
      </c>
      <c r="L125" s="23">
        <f t="shared" si="38"/>
        <v>2200</v>
      </c>
      <c r="M125" s="23">
        <v>0</v>
      </c>
      <c r="N125" s="23">
        <v>0</v>
      </c>
      <c r="O125" s="112">
        <f t="shared" si="32"/>
        <v>2200</v>
      </c>
      <c r="P125" s="33">
        <v>0.05</v>
      </c>
      <c r="Q125" s="118">
        <v>0</v>
      </c>
      <c r="R125" s="112">
        <f>O125*2.5/100</f>
        <v>55</v>
      </c>
      <c r="S125" s="112">
        <f>O125*2.5/100</f>
        <v>55</v>
      </c>
      <c r="T125" s="23">
        <v>0</v>
      </c>
      <c r="U125" s="112">
        <f t="shared" si="39"/>
        <v>2310</v>
      </c>
    </row>
    <row r="126" spans="1:21" ht="17.100000000000001" customHeight="1" x14ac:dyDescent="0.25">
      <c r="A126" s="20">
        <f>IF(C126="","",COUNTA($C$4:C126))</f>
        <v>123</v>
      </c>
      <c r="B126" s="20" t="str">
        <f t="shared" si="37"/>
        <v>May</v>
      </c>
      <c r="C126" s="45">
        <v>45807</v>
      </c>
      <c r="D126" s="31" t="s">
        <v>654</v>
      </c>
      <c r="E126" s="105" t="s">
        <v>655</v>
      </c>
      <c r="F126" s="26"/>
      <c r="G126" s="157" t="s">
        <v>248</v>
      </c>
      <c r="H126" s="106" t="s">
        <v>657</v>
      </c>
      <c r="J126" s="22">
        <v>300</v>
      </c>
      <c r="K126" s="64">
        <v>13</v>
      </c>
      <c r="L126" s="23">
        <f t="shared" si="38"/>
        <v>3900</v>
      </c>
      <c r="M126" s="23">
        <v>0</v>
      </c>
      <c r="N126" s="23">
        <v>0</v>
      </c>
      <c r="O126" s="112">
        <f t="shared" si="32"/>
        <v>3900</v>
      </c>
      <c r="P126" s="33">
        <v>0.05</v>
      </c>
      <c r="Q126" s="118">
        <v>0</v>
      </c>
      <c r="R126" s="112">
        <f>O126*2.5/100</f>
        <v>97.5</v>
      </c>
      <c r="S126" s="112">
        <f>O126*2.5/100</f>
        <v>97.5</v>
      </c>
      <c r="T126" s="23">
        <v>0</v>
      </c>
      <c r="U126" s="112">
        <f t="shared" si="39"/>
        <v>4095</v>
      </c>
    </row>
    <row r="127" spans="1:21" ht="17.100000000000001" customHeight="1" x14ac:dyDescent="0.25">
      <c r="A127" s="20">
        <f>IF(C127="","",COUNTA($C$4:C127))</f>
        <v>124</v>
      </c>
      <c r="B127" s="20" t="str">
        <f t="shared" si="37"/>
        <v>May</v>
      </c>
      <c r="C127" s="45">
        <v>45807</v>
      </c>
      <c r="D127" s="31" t="s">
        <v>658</v>
      </c>
      <c r="E127" s="105" t="s">
        <v>659</v>
      </c>
      <c r="F127" s="26"/>
      <c r="G127" s="157" t="s">
        <v>342</v>
      </c>
      <c r="H127" s="106" t="s">
        <v>207</v>
      </c>
      <c r="K127" s="64"/>
      <c r="L127" s="23">
        <v>5808</v>
      </c>
      <c r="M127" s="23">
        <v>0</v>
      </c>
      <c r="N127" s="23">
        <v>0</v>
      </c>
      <c r="O127" s="112">
        <f t="shared" si="32"/>
        <v>5808</v>
      </c>
      <c r="P127" s="33">
        <v>0.18</v>
      </c>
      <c r="Q127" s="118">
        <v>0</v>
      </c>
      <c r="R127" s="112">
        <f t="shared" ref="R127:R156" si="40">O127*9/100</f>
        <v>522.72</v>
      </c>
      <c r="S127" s="112">
        <f t="shared" ref="S127:S156" si="41">O127*9/100</f>
        <v>522.72</v>
      </c>
      <c r="T127" s="23">
        <v>0</v>
      </c>
      <c r="U127" s="112">
        <f t="shared" si="39"/>
        <v>6853.4400000000005</v>
      </c>
    </row>
    <row r="128" spans="1:21" ht="17.100000000000001" customHeight="1" x14ac:dyDescent="0.25">
      <c r="A128" s="20">
        <f>IF(C128="","",COUNTA($C$4:C128))</f>
        <v>125</v>
      </c>
      <c r="B128" s="20" t="str">
        <f t="shared" si="37"/>
        <v>May</v>
      </c>
      <c r="C128" s="45">
        <v>45808</v>
      </c>
      <c r="D128" s="31" t="s">
        <v>660</v>
      </c>
      <c r="E128" s="105" t="s">
        <v>661</v>
      </c>
      <c r="F128" s="26"/>
      <c r="G128" s="157" t="s">
        <v>342</v>
      </c>
      <c r="H128" s="106" t="s">
        <v>207</v>
      </c>
      <c r="K128" s="64"/>
      <c r="L128" s="23">
        <v>4579</v>
      </c>
      <c r="M128" s="23">
        <v>0</v>
      </c>
      <c r="N128" s="23">
        <v>0</v>
      </c>
      <c r="O128" s="112">
        <f t="shared" si="32"/>
        <v>4579</v>
      </c>
      <c r="P128" s="33">
        <v>0.18</v>
      </c>
      <c r="Q128" s="118">
        <v>0</v>
      </c>
      <c r="R128" s="112">
        <f t="shared" si="40"/>
        <v>412.11</v>
      </c>
      <c r="S128" s="112">
        <f t="shared" si="41"/>
        <v>412.11</v>
      </c>
      <c r="T128" s="23">
        <v>0</v>
      </c>
      <c r="U128" s="112">
        <f t="shared" si="39"/>
        <v>5403.2199999999993</v>
      </c>
    </row>
    <row r="129" spans="1:21" ht="17.100000000000001" customHeight="1" x14ac:dyDescent="0.25">
      <c r="A129" s="20">
        <f>IF(C129="","",COUNTA($C$4:C129))</f>
        <v>126</v>
      </c>
      <c r="B129" s="20" t="str">
        <f t="shared" si="37"/>
        <v>June</v>
      </c>
      <c r="C129" s="45">
        <v>45817</v>
      </c>
      <c r="D129" s="31" t="s">
        <v>662</v>
      </c>
      <c r="E129" s="105" t="s">
        <v>663</v>
      </c>
      <c r="F129" s="26" t="s">
        <v>608</v>
      </c>
      <c r="G129" s="157" t="s">
        <v>260</v>
      </c>
      <c r="H129" s="106" t="s">
        <v>664</v>
      </c>
      <c r="J129" s="22">
        <v>1673</v>
      </c>
      <c r="K129" s="64">
        <v>13</v>
      </c>
      <c r="L129" s="23">
        <f t="shared" ref="L129:L165" si="42">J129*K129</f>
        <v>21749</v>
      </c>
      <c r="M129" s="23">
        <v>0</v>
      </c>
      <c r="N129" s="23">
        <v>0</v>
      </c>
      <c r="O129" s="112">
        <f t="shared" si="32"/>
        <v>21749</v>
      </c>
      <c r="P129" s="33">
        <v>0.18</v>
      </c>
      <c r="Q129" s="118">
        <v>0</v>
      </c>
      <c r="R129" s="112">
        <f t="shared" si="40"/>
        <v>1957.41</v>
      </c>
      <c r="S129" s="112">
        <f t="shared" si="41"/>
        <v>1957.41</v>
      </c>
      <c r="T129" s="23">
        <v>0</v>
      </c>
      <c r="U129" s="112">
        <f t="shared" si="39"/>
        <v>25663.82</v>
      </c>
    </row>
    <row r="130" spans="1:21" ht="17.100000000000001" customHeight="1" x14ac:dyDescent="0.25">
      <c r="A130" s="20">
        <f>IF(C130="","",COUNTA($C$4:C130))</f>
        <v>127</v>
      </c>
      <c r="B130" s="20" t="str">
        <f t="shared" si="37"/>
        <v>June</v>
      </c>
      <c r="C130" s="45">
        <v>45817</v>
      </c>
      <c r="D130" s="31" t="s">
        <v>662</v>
      </c>
      <c r="E130" s="105" t="s">
        <v>663</v>
      </c>
      <c r="F130" s="26" t="s">
        <v>608</v>
      </c>
      <c r="G130" s="157" t="s">
        <v>260</v>
      </c>
      <c r="H130" s="106" t="s">
        <v>665</v>
      </c>
      <c r="J130" s="22">
        <v>1580</v>
      </c>
      <c r="K130" s="64">
        <v>14.5</v>
      </c>
      <c r="L130" s="23">
        <f t="shared" si="42"/>
        <v>22910</v>
      </c>
      <c r="M130" s="23">
        <v>0</v>
      </c>
      <c r="N130" s="23">
        <v>0</v>
      </c>
      <c r="O130" s="112">
        <f t="shared" si="32"/>
        <v>22910</v>
      </c>
      <c r="P130" s="33">
        <v>0.18</v>
      </c>
      <c r="Q130" s="118">
        <v>0</v>
      </c>
      <c r="R130" s="112">
        <f t="shared" si="40"/>
        <v>2061.9</v>
      </c>
      <c r="S130" s="112">
        <f t="shared" si="41"/>
        <v>2061.9</v>
      </c>
      <c r="T130" s="23">
        <v>0</v>
      </c>
      <c r="U130" s="112">
        <f t="shared" si="39"/>
        <v>27033.800000000003</v>
      </c>
    </row>
    <row r="131" spans="1:21" ht="17.100000000000001" customHeight="1" x14ac:dyDescent="0.25">
      <c r="A131" s="20">
        <f>IF(C131="","",COUNTA($C$4:C131))</f>
        <v>128</v>
      </c>
      <c r="B131" s="20" t="str">
        <f t="shared" si="37"/>
        <v>June</v>
      </c>
      <c r="C131" s="45">
        <v>45817</v>
      </c>
      <c r="D131" s="31" t="s">
        <v>662</v>
      </c>
      <c r="E131" s="105" t="s">
        <v>663</v>
      </c>
      <c r="F131" s="26" t="s">
        <v>608</v>
      </c>
      <c r="G131" s="157" t="s">
        <v>260</v>
      </c>
      <c r="H131" s="106" t="s">
        <v>666</v>
      </c>
      <c r="J131" s="22">
        <v>990</v>
      </c>
      <c r="K131" s="64">
        <v>16.600000000000001</v>
      </c>
      <c r="L131" s="23">
        <f t="shared" si="42"/>
        <v>16434</v>
      </c>
      <c r="M131" s="23">
        <v>0</v>
      </c>
      <c r="N131" s="23">
        <v>0</v>
      </c>
      <c r="O131" s="112">
        <f t="shared" si="32"/>
        <v>16434</v>
      </c>
      <c r="P131" s="33">
        <v>0.18</v>
      </c>
      <c r="Q131" s="118">
        <v>0</v>
      </c>
      <c r="R131" s="112">
        <f t="shared" si="40"/>
        <v>1479.06</v>
      </c>
      <c r="S131" s="112">
        <f t="shared" si="41"/>
        <v>1479.06</v>
      </c>
      <c r="T131" s="23">
        <v>0</v>
      </c>
      <c r="U131" s="112">
        <f t="shared" si="39"/>
        <v>19392.120000000003</v>
      </c>
    </row>
    <row r="132" spans="1:21" ht="17.100000000000001" customHeight="1" x14ac:dyDescent="0.25">
      <c r="A132" s="20">
        <f>IF(C132="","",COUNTA($C$4:C132))</f>
        <v>129</v>
      </c>
      <c r="B132" s="20" t="str">
        <f t="shared" si="37"/>
        <v>June</v>
      </c>
      <c r="C132" s="45">
        <v>45817</v>
      </c>
      <c r="D132" s="31" t="s">
        <v>662</v>
      </c>
      <c r="E132" s="105" t="s">
        <v>663</v>
      </c>
      <c r="F132" s="26" t="s">
        <v>608</v>
      </c>
      <c r="G132" s="157" t="s">
        <v>260</v>
      </c>
      <c r="H132" s="106" t="s">
        <v>667</v>
      </c>
      <c r="J132" s="22">
        <v>903</v>
      </c>
      <c r="K132" s="64">
        <v>18.329999999999998</v>
      </c>
      <c r="L132" s="23">
        <f t="shared" si="42"/>
        <v>16551.989999999998</v>
      </c>
      <c r="M132" s="23">
        <v>0</v>
      </c>
      <c r="N132" s="23">
        <v>0</v>
      </c>
      <c r="O132" s="112">
        <f t="shared" si="32"/>
        <v>16551.989999999998</v>
      </c>
      <c r="P132" s="33">
        <v>0.18</v>
      </c>
      <c r="Q132" s="118">
        <v>0</v>
      </c>
      <c r="R132" s="112">
        <f t="shared" si="40"/>
        <v>1489.6790999999998</v>
      </c>
      <c r="S132" s="112">
        <f t="shared" si="41"/>
        <v>1489.6790999999998</v>
      </c>
      <c r="T132" s="23">
        <v>0</v>
      </c>
      <c r="U132" s="112">
        <f t="shared" si="39"/>
        <v>19531.3482</v>
      </c>
    </row>
    <row r="133" spans="1:21" ht="17.100000000000001" customHeight="1" x14ac:dyDescent="0.25">
      <c r="A133" s="20">
        <f>IF(C133="","",COUNTA($C$4:C133))</f>
        <v>130</v>
      </c>
      <c r="B133" s="20" t="str">
        <f t="shared" ref="B133:B162" si="43">IF(C133="","",TEXT(C133,"mmmm"))</f>
        <v>June</v>
      </c>
      <c r="C133" s="45">
        <v>45817</v>
      </c>
      <c r="D133" s="31" t="s">
        <v>662</v>
      </c>
      <c r="E133" s="105" t="s">
        <v>663</v>
      </c>
      <c r="F133" s="26" t="s">
        <v>608</v>
      </c>
      <c r="G133" s="157" t="s">
        <v>260</v>
      </c>
      <c r="H133" s="106" t="s">
        <v>668</v>
      </c>
      <c r="J133" s="22">
        <v>164</v>
      </c>
      <c r="K133" s="64">
        <v>20.059999999999999</v>
      </c>
      <c r="L133" s="23">
        <f t="shared" si="42"/>
        <v>3289.8399999999997</v>
      </c>
      <c r="M133" s="23">
        <v>0</v>
      </c>
      <c r="N133" s="23">
        <v>0</v>
      </c>
      <c r="O133" s="112">
        <f t="shared" si="32"/>
        <v>3289.8399999999997</v>
      </c>
      <c r="P133" s="33">
        <v>0.18</v>
      </c>
      <c r="Q133" s="118">
        <v>0</v>
      </c>
      <c r="R133" s="112">
        <f t="shared" si="40"/>
        <v>296.0856</v>
      </c>
      <c r="S133" s="112">
        <f t="shared" si="41"/>
        <v>296.0856</v>
      </c>
      <c r="T133" s="23">
        <v>0</v>
      </c>
      <c r="U133" s="112">
        <f t="shared" si="39"/>
        <v>3882.0111999999995</v>
      </c>
    </row>
    <row r="134" spans="1:21" ht="17.100000000000001" customHeight="1" x14ac:dyDescent="0.25">
      <c r="A134" s="20">
        <f>IF(C134="","",COUNTA($C$4:C134))</f>
        <v>131</v>
      </c>
      <c r="B134" s="20" t="str">
        <f t="shared" si="43"/>
        <v>September</v>
      </c>
      <c r="C134" s="45">
        <v>45915</v>
      </c>
      <c r="D134" s="31" t="s">
        <v>1584</v>
      </c>
      <c r="E134" s="105" t="s">
        <v>1585</v>
      </c>
      <c r="F134" s="26" t="s">
        <v>1586</v>
      </c>
      <c r="G134" s="157" t="s">
        <v>193</v>
      </c>
      <c r="H134" s="106" t="s">
        <v>1587</v>
      </c>
      <c r="J134" s="22">
        <v>360</v>
      </c>
      <c r="K134" s="22">
        <v>635</v>
      </c>
      <c r="L134" s="23">
        <f t="shared" si="42"/>
        <v>228600</v>
      </c>
      <c r="M134" s="23">
        <v>4500</v>
      </c>
      <c r="N134" s="23">
        <v>0</v>
      </c>
      <c r="O134" s="112">
        <f t="shared" si="32"/>
        <v>233100</v>
      </c>
      <c r="P134" s="33">
        <v>0.18</v>
      </c>
      <c r="Q134" s="115">
        <v>0</v>
      </c>
      <c r="R134" s="112">
        <f t="shared" si="40"/>
        <v>20979</v>
      </c>
      <c r="S134" s="112">
        <f t="shared" si="41"/>
        <v>20979</v>
      </c>
      <c r="T134" s="23">
        <v>0</v>
      </c>
      <c r="U134" s="112">
        <f t="shared" si="39"/>
        <v>275058</v>
      </c>
    </row>
    <row r="135" spans="1:21" ht="17.100000000000001" customHeight="1" x14ac:dyDescent="0.25">
      <c r="A135" s="20">
        <f>IF(C135="","",COUNTA($C$4:C135))</f>
        <v>132</v>
      </c>
      <c r="B135" s="20" t="str">
        <f t="shared" si="43"/>
        <v>September</v>
      </c>
      <c r="C135" s="45">
        <v>45915</v>
      </c>
      <c r="D135" s="31" t="s">
        <v>1584</v>
      </c>
      <c r="E135" s="105" t="s">
        <v>1585</v>
      </c>
      <c r="F135" s="26" t="s">
        <v>1586</v>
      </c>
      <c r="G135" s="157" t="s">
        <v>193</v>
      </c>
      <c r="H135" s="106" t="s">
        <v>1588</v>
      </c>
      <c r="J135" s="22">
        <v>432</v>
      </c>
      <c r="K135" s="22">
        <v>150</v>
      </c>
      <c r="L135" s="23">
        <f t="shared" si="42"/>
        <v>64800</v>
      </c>
      <c r="M135" s="23">
        <v>0</v>
      </c>
      <c r="N135" s="23">
        <v>0</v>
      </c>
      <c r="O135" s="112">
        <f t="shared" ref="O135:O198" si="44">L135+M135+N135</f>
        <v>64800</v>
      </c>
      <c r="P135" s="33">
        <v>0.18</v>
      </c>
      <c r="Q135" s="115">
        <v>0</v>
      </c>
      <c r="R135" s="112">
        <f t="shared" si="40"/>
        <v>5832</v>
      </c>
      <c r="S135" s="112">
        <f t="shared" si="41"/>
        <v>5832</v>
      </c>
      <c r="T135" s="23">
        <v>0</v>
      </c>
      <c r="U135" s="112">
        <f t="shared" si="39"/>
        <v>76464</v>
      </c>
    </row>
    <row r="136" spans="1:21" ht="17.100000000000001" customHeight="1" x14ac:dyDescent="0.25">
      <c r="A136" s="20">
        <f>IF(C136="","",COUNTA($C$4:C136))</f>
        <v>133</v>
      </c>
      <c r="B136" s="20" t="str">
        <f t="shared" si="43"/>
        <v>October</v>
      </c>
      <c r="C136" s="45">
        <v>45944</v>
      </c>
      <c r="D136" s="31" t="s">
        <v>1775</v>
      </c>
      <c r="E136" s="105" t="s">
        <v>1776</v>
      </c>
      <c r="F136" s="26" t="s">
        <v>1777</v>
      </c>
      <c r="G136" s="157" t="s">
        <v>193</v>
      </c>
      <c r="H136" s="106" t="s">
        <v>1778</v>
      </c>
      <c r="J136" s="22">
        <v>180</v>
      </c>
      <c r="K136" s="22">
        <v>635</v>
      </c>
      <c r="L136" s="23">
        <f t="shared" si="42"/>
        <v>114300</v>
      </c>
      <c r="M136" s="23">
        <v>3000</v>
      </c>
      <c r="N136" s="23">
        <v>0</v>
      </c>
      <c r="O136" s="112">
        <f t="shared" si="44"/>
        <v>117300</v>
      </c>
      <c r="P136" s="33">
        <v>0.18</v>
      </c>
      <c r="Q136" s="115">
        <v>0</v>
      </c>
      <c r="R136" s="112">
        <f t="shared" si="40"/>
        <v>10557</v>
      </c>
      <c r="S136" s="112">
        <f t="shared" si="41"/>
        <v>10557</v>
      </c>
      <c r="T136" s="23">
        <v>0</v>
      </c>
      <c r="U136" s="112">
        <f t="shared" si="39"/>
        <v>138414</v>
      </c>
    </row>
    <row r="137" spans="1:21" ht="17.100000000000001" customHeight="1" x14ac:dyDescent="0.25">
      <c r="A137" s="20">
        <f>IF(C137="","",COUNTA($C$4:C137))</f>
        <v>134</v>
      </c>
      <c r="B137" s="20" t="str">
        <f t="shared" si="43"/>
        <v>November</v>
      </c>
      <c r="C137" s="45">
        <v>45966</v>
      </c>
      <c r="D137" s="31" t="s">
        <v>2075</v>
      </c>
      <c r="E137" s="105" t="s">
        <v>2076</v>
      </c>
      <c r="F137" s="26" t="s">
        <v>2077</v>
      </c>
      <c r="G137" s="157" t="s">
        <v>193</v>
      </c>
      <c r="H137" s="106" t="s">
        <v>2078</v>
      </c>
      <c r="J137" s="22">
        <v>300</v>
      </c>
      <c r="K137" s="22">
        <v>635</v>
      </c>
      <c r="L137" s="23">
        <f t="shared" si="42"/>
        <v>190500</v>
      </c>
      <c r="M137" s="23">
        <v>4000</v>
      </c>
      <c r="N137" s="23">
        <v>0</v>
      </c>
      <c r="O137" s="112">
        <f t="shared" si="44"/>
        <v>194500</v>
      </c>
      <c r="P137" s="33">
        <v>0.18</v>
      </c>
      <c r="Q137" s="115">
        <v>0</v>
      </c>
      <c r="R137" s="112">
        <f t="shared" si="40"/>
        <v>17505</v>
      </c>
      <c r="S137" s="112">
        <f t="shared" si="41"/>
        <v>17505</v>
      </c>
      <c r="T137" s="23">
        <v>0</v>
      </c>
      <c r="U137" s="112">
        <f t="shared" si="39"/>
        <v>229510</v>
      </c>
    </row>
    <row r="138" spans="1:21" ht="17.100000000000001" customHeight="1" x14ac:dyDescent="0.25">
      <c r="A138" s="20">
        <f>IF(C138="","",COUNTA($C$4:C138))</f>
        <v>135</v>
      </c>
      <c r="B138" s="20" t="str">
        <f t="shared" si="43"/>
        <v>June</v>
      </c>
      <c r="C138" s="45">
        <v>45813</v>
      </c>
      <c r="D138" s="31" t="s">
        <v>680</v>
      </c>
      <c r="E138" s="105" t="s">
        <v>681</v>
      </c>
      <c r="F138" s="26"/>
      <c r="G138" s="157" t="s">
        <v>525</v>
      </c>
      <c r="H138" s="106" t="s">
        <v>526</v>
      </c>
      <c r="J138" s="22">
        <v>828.3</v>
      </c>
      <c r="K138" s="64">
        <v>312.35000000000002</v>
      </c>
      <c r="L138" s="23">
        <f t="shared" si="42"/>
        <v>258719.505</v>
      </c>
      <c r="M138" s="23">
        <v>0</v>
      </c>
      <c r="N138" s="23">
        <v>0</v>
      </c>
      <c r="O138" s="112">
        <f t="shared" si="44"/>
        <v>258719.505</v>
      </c>
      <c r="P138" s="33">
        <v>0.18</v>
      </c>
      <c r="Q138" s="118">
        <v>0</v>
      </c>
      <c r="R138" s="112">
        <f t="shared" si="40"/>
        <v>23284.755450000001</v>
      </c>
      <c r="S138" s="112">
        <f t="shared" si="41"/>
        <v>23284.755450000001</v>
      </c>
      <c r="T138" s="23">
        <v>0</v>
      </c>
      <c r="U138" s="112">
        <f t="shared" si="39"/>
        <v>305289.0159</v>
      </c>
    </row>
    <row r="139" spans="1:21" ht="17.100000000000001" customHeight="1" x14ac:dyDescent="0.25">
      <c r="A139" s="20">
        <f>IF(C139="","",COUNTA($C$4:C139))</f>
        <v>136</v>
      </c>
      <c r="B139" s="20" t="str">
        <f t="shared" si="43"/>
        <v>November</v>
      </c>
      <c r="C139" s="45">
        <v>45988</v>
      </c>
      <c r="D139" s="31" t="s">
        <v>2229</v>
      </c>
      <c r="E139" s="105" t="s">
        <v>2230</v>
      </c>
      <c r="F139" s="26" t="s">
        <v>2231</v>
      </c>
      <c r="G139" s="157" t="s">
        <v>193</v>
      </c>
      <c r="H139" s="106" t="s">
        <v>1778</v>
      </c>
      <c r="J139" s="22">
        <v>180</v>
      </c>
      <c r="K139" s="22">
        <v>635</v>
      </c>
      <c r="L139" s="23">
        <f t="shared" si="42"/>
        <v>114300</v>
      </c>
      <c r="M139" s="23">
        <v>3000</v>
      </c>
      <c r="N139" s="23">
        <v>0</v>
      </c>
      <c r="O139" s="112">
        <f t="shared" si="44"/>
        <v>117300</v>
      </c>
      <c r="P139" s="33">
        <v>0.18</v>
      </c>
      <c r="Q139" s="115">
        <v>0</v>
      </c>
      <c r="R139" s="112">
        <f t="shared" si="40"/>
        <v>10557</v>
      </c>
      <c r="S139" s="112">
        <f t="shared" si="41"/>
        <v>10557</v>
      </c>
      <c r="T139" s="23">
        <v>0</v>
      </c>
      <c r="U139" s="112">
        <f t="shared" si="39"/>
        <v>138414</v>
      </c>
    </row>
    <row r="140" spans="1:21" ht="17.100000000000001" customHeight="1" x14ac:dyDescent="0.25">
      <c r="A140" s="20">
        <f>IF(C140="","",COUNTA($C$4:C140))</f>
        <v>137</v>
      </c>
      <c r="B140" s="20" t="str">
        <f t="shared" si="43"/>
        <v>July</v>
      </c>
      <c r="C140" s="45">
        <v>45868</v>
      </c>
      <c r="D140" s="31" t="s">
        <v>1151</v>
      </c>
      <c r="E140" s="105" t="s">
        <v>1152</v>
      </c>
      <c r="F140" s="26" t="s">
        <v>1153</v>
      </c>
      <c r="G140" s="157" t="s">
        <v>122</v>
      </c>
      <c r="H140" s="106" t="s">
        <v>729</v>
      </c>
      <c r="I140" s="159" t="s">
        <v>160</v>
      </c>
      <c r="J140" s="22">
        <v>4985</v>
      </c>
      <c r="K140" s="22">
        <v>69.400000000000006</v>
      </c>
      <c r="L140" s="23">
        <f t="shared" si="42"/>
        <v>345959</v>
      </c>
      <c r="M140" s="23">
        <v>0</v>
      </c>
      <c r="N140" s="23">
        <v>0</v>
      </c>
      <c r="O140" s="112">
        <f t="shared" si="44"/>
        <v>345959</v>
      </c>
      <c r="P140" s="33">
        <v>0.18</v>
      </c>
      <c r="Q140" s="115">
        <v>0</v>
      </c>
      <c r="R140" s="112">
        <f t="shared" si="40"/>
        <v>31136.31</v>
      </c>
      <c r="S140" s="112">
        <f t="shared" si="41"/>
        <v>31136.31</v>
      </c>
      <c r="T140" s="23">
        <v>0</v>
      </c>
      <c r="U140" s="112">
        <f t="shared" si="39"/>
        <v>408231.62</v>
      </c>
    </row>
    <row r="141" spans="1:21" ht="17.100000000000001" customHeight="1" x14ac:dyDescent="0.25">
      <c r="A141" s="20">
        <f>IF(C141="","",COUNTA($C$4:C141))</f>
        <v>138</v>
      </c>
      <c r="B141" s="20" t="str">
        <f t="shared" si="43"/>
        <v>November</v>
      </c>
      <c r="C141" s="45">
        <v>45983</v>
      </c>
      <c r="D141" s="31" t="s">
        <v>2156</v>
      </c>
      <c r="E141" s="105" t="s">
        <v>2157</v>
      </c>
      <c r="F141" s="26" t="s">
        <v>2158</v>
      </c>
      <c r="G141" s="157" t="s">
        <v>122</v>
      </c>
      <c r="H141" s="106" t="s">
        <v>2159</v>
      </c>
      <c r="I141" s="159" t="s">
        <v>266</v>
      </c>
      <c r="J141" s="22">
        <v>8880</v>
      </c>
      <c r="K141" s="22">
        <v>68.75</v>
      </c>
      <c r="L141" s="23">
        <f t="shared" si="42"/>
        <v>610500</v>
      </c>
      <c r="M141" s="23">
        <v>0</v>
      </c>
      <c r="N141" s="23">
        <v>0</v>
      </c>
      <c r="O141" s="112">
        <f t="shared" si="44"/>
        <v>610500</v>
      </c>
      <c r="P141" s="33">
        <v>0.18</v>
      </c>
      <c r="Q141" s="115">
        <v>0</v>
      </c>
      <c r="R141" s="112">
        <f t="shared" si="40"/>
        <v>54945</v>
      </c>
      <c r="S141" s="112">
        <f t="shared" si="41"/>
        <v>54945</v>
      </c>
      <c r="T141" s="23">
        <v>0</v>
      </c>
      <c r="U141" s="112">
        <f t="shared" si="39"/>
        <v>720390</v>
      </c>
    </row>
    <row r="142" spans="1:21" ht="17.100000000000001" customHeight="1" x14ac:dyDescent="0.25">
      <c r="A142" s="20">
        <f>IF(C142="","",COUNTA($C$4:C142))</f>
        <v>139</v>
      </c>
      <c r="B142" s="20" t="str">
        <f t="shared" si="43"/>
        <v>November</v>
      </c>
      <c r="C142" s="45">
        <v>45983</v>
      </c>
      <c r="D142" s="31" t="s">
        <v>2156</v>
      </c>
      <c r="E142" s="105" t="s">
        <v>2157</v>
      </c>
      <c r="F142" s="26" t="s">
        <v>2158</v>
      </c>
      <c r="G142" s="157" t="s">
        <v>122</v>
      </c>
      <c r="H142" s="106" t="s">
        <v>2160</v>
      </c>
      <c r="I142" s="159" t="s">
        <v>266</v>
      </c>
      <c r="J142" s="22">
        <v>3970</v>
      </c>
      <c r="K142" s="22">
        <v>68.75</v>
      </c>
      <c r="L142" s="23">
        <f t="shared" si="42"/>
        <v>272937.5</v>
      </c>
      <c r="M142" s="23">
        <v>0</v>
      </c>
      <c r="N142" s="23">
        <v>0</v>
      </c>
      <c r="O142" s="112">
        <f t="shared" si="44"/>
        <v>272937.5</v>
      </c>
      <c r="P142" s="33">
        <v>0.18</v>
      </c>
      <c r="Q142" s="115">
        <v>0</v>
      </c>
      <c r="R142" s="112">
        <f t="shared" si="40"/>
        <v>24564.375</v>
      </c>
      <c r="S142" s="112">
        <f t="shared" si="41"/>
        <v>24564.375</v>
      </c>
      <c r="T142" s="23">
        <v>0</v>
      </c>
      <c r="U142" s="112">
        <f t="shared" si="39"/>
        <v>322066.25</v>
      </c>
    </row>
    <row r="143" spans="1:21" ht="17.100000000000001" customHeight="1" x14ac:dyDescent="0.25">
      <c r="A143" s="20">
        <f>IF(C143="","",COUNTA($C$4:C143))</f>
        <v>140</v>
      </c>
      <c r="B143" s="20" t="str">
        <f t="shared" si="43"/>
        <v>November</v>
      </c>
      <c r="C143" s="45">
        <v>45983</v>
      </c>
      <c r="D143" s="31" t="s">
        <v>2156</v>
      </c>
      <c r="E143" s="105" t="s">
        <v>2157</v>
      </c>
      <c r="F143" s="26" t="s">
        <v>2158</v>
      </c>
      <c r="G143" s="157" t="s">
        <v>122</v>
      </c>
      <c r="H143" s="106" t="s">
        <v>2160</v>
      </c>
      <c r="I143" s="159" t="s">
        <v>266</v>
      </c>
      <c r="J143" s="22">
        <v>5800</v>
      </c>
      <c r="K143" s="22">
        <v>68.75</v>
      </c>
      <c r="L143" s="23">
        <f t="shared" si="42"/>
        <v>398750</v>
      </c>
      <c r="M143" s="23">
        <v>0</v>
      </c>
      <c r="N143" s="23">
        <v>0</v>
      </c>
      <c r="O143" s="112">
        <f t="shared" si="44"/>
        <v>398750</v>
      </c>
      <c r="P143" s="33">
        <v>0.18</v>
      </c>
      <c r="Q143" s="115">
        <v>0</v>
      </c>
      <c r="R143" s="112">
        <f t="shared" si="40"/>
        <v>35887.5</v>
      </c>
      <c r="S143" s="112">
        <f t="shared" si="41"/>
        <v>35887.5</v>
      </c>
      <c r="T143" s="23">
        <v>0</v>
      </c>
      <c r="U143" s="112">
        <f t="shared" si="39"/>
        <v>470525</v>
      </c>
    </row>
    <row r="144" spans="1:21" ht="17.100000000000001" customHeight="1" x14ac:dyDescent="0.25">
      <c r="A144" s="20">
        <f>IF(C144="","",COUNTA($C$4:C144))</f>
        <v>141</v>
      </c>
      <c r="B144" s="20" t="str">
        <f t="shared" si="43"/>
        <v>November</v>
      </c>
      <c r="C144" s="45">
        <v>45983</v>
      </c>
      <c r="D144" s="31" t="s">
        <v>2161</v>
      </c>
      <c r="E144" s="105" t="s">
        <v>2162</v>
      </c>
      <c r="F144" s="26" t="s">
        <v>2158</v>
      </c>
      <c r="G144" s="157" t="s">
        <v>122</v>
      </c>
      <c r="H144" s="106" t="s">
        <v>2163</v>
      </c>
      <c r="I144" s="159" t="s">
        <v>160</v>
      </c>
      <c r="J144" s="22">
        <v>14443</v>
      </c>
      <c r="K144" s="22">
        <v>67.75</v>
      </c>
      <c r="L144" s="23">
        <f t="shared" si="42"/>
        <v>978513.25</v>
      </c>
      <c r="M144" s="23">
        <v>8665</v>
      </c>
      <c r="N144" s="23">
        <v>0</v>
      </c>
      <c r="O144" s="112">
        <f t="shared" si="44"/>
        <v>987178.25</v>
      </c>
      <c r="P144" s="33">
        <v>0.18</v>
      </c>
      <c r="Q144" s="115">
        <v>0</v>
      </c>
      <c r="R144" s="112">
        <f t="shared" si="40"/>
        <v>88846.042499999996</v>
      </c>
      <c r="S144" s="112">
        <f t="shared" si="41"/>
        <v>88846.042499999996</v>
      </c>
      <c r="T144" s="23">
        <v>0</v>
      </c>
      <c r="U144" s="112">
        <f t="shared" si="39"/>
        <v>1164870.335</v>
      </c>
    </row>
    <row r="145" spans="1:21" ht="17.100000000000001" customHeight="1" x14ac:dyDescent="0.25">
      <c r="A145" s="20">
        <f>IF(C145="","",COUNTA($C$4:C145))</f>
        <v>142</v>
      </c>
      <c r="B145" s="20" t="str">
        <f t="shared" si="43"/>
        <v>June</v>
      </c>
      <c r="C145" s="45">
        <v>45820</v>
      </c>
      <c r="D145" s="129" t="s">
        <v>732</v>
      </c>
      <c r="E145" s="105" t="s">
        <v>733</v>
      </c>
      <c r="F145" s="26" t="s">
        <v>734</v>
      </c>
      <c r="G145" s="157" t="s">
        <v>735</v>
      </c>
      <c r="H145" s="106" t="s">
        <v>736</v>
      </c>
      <c r="J145" s="22">
        <v>25000</v>
      </c>
      <c r="K145" s="64">
        <v>4</v>
      </c>
      <c r="L145" s="23">
        <f t="shared" si="42"/>
        <v>100000</v>
      </c>
      <c r="M145" s="23">
        <v>0</v>
      </c>
      <c r="N145" s="23">
        <v>0</v>
      </c>
      <c r="O145" s="112">
        <f t="shared" si="44"/>
        <v>100000</v>
      </c>
      <c r="P145" s="33">
        <v>0.18</v>
      </c>
      <c r="Q145" s="118">
        <v>0</v>
      </c>
      <c r="R145" s="112">
        <f t="shared" si="40"/>
        <v>9000</v>
      </c>
      <c r="S145" s="112">
        <f t="shared" si="41"/>
        <v>9000</v>
      </c>
      <c r="T145" s="23">
        <v>0</v>
      </c>
      <c r="U145" s="112">
        <f t="shared" si="39"/>
        <v>118000</v>
      </c>
    </row>
    <row r="146" spans="1:21" ht="17.100000000000001" customHeight="1" x14ac:dyDescent="0.25">
      <c r="A146" s="20">
        <f>IF(C146="","",COUNTA($C$4:C146))</f>
        <v>143</v>
      </c>
      <c r="B146" s="20" t="str">
        <f t="shared" si="43"/>
        <v>June</v>
      </c>
      <c r="C146" s="45">
        <v>45820</v>
      </c>
      <c r="D146" s="129" t="s">
        <v>732</v>
      </c>
      <c r="E146" s="105" t="s">
        <v>733</v>
      </c>
      <c r="F146" s="26" t="s">
        <v>734</v>
      </c>
      <c r="G146" s="157" t="s">
        <v>735</v>
      </c>
      <c r="H146" s="106" t="s">
        <v>737</v>
      </c>
      <c r="J146" s="22">
        <v>5000</v>
      </c>
      <c r="K146" s="64">
        <v>4.5</v>
      </c>
      <c r="L146" s="23">
        <f t="shared" si="42"/>
        <v>22500</v>
      </c>
      <c r="M146" s="23">
        <v>0</v>
      </c>
      <c r="N146" s="23">
        <v>0</v>
      </c>
      <c r="O146" s="112">
        <f t="shared" si="44"/>
        <v>22500</v>
      </c>
      <c r="P146" s="33">
        <v>0.18</v>
      </c>
      <c r="Q146" s="118">
        <v>0</v>
      </c>
      <c r="R146" s="112">
        <f t="shared" si="40"/>
        <v>2025</v>
      </c>
      <c r="S146" s="112">
        <f t="shared" si="41"/>
        <v>2025</v>
      </c>
      <c r="T146" s="23">
        <v>0</v>
      </c>
      <c r="U146" s="112">
        <f t="shared" si="39"/>
        <v>26550</v>
      </c>
    </row>
    <row r="147" spans="1:21" ht="17.100000000000001" customHeight="1" x14ac:dyDescent="0.25">
      <c r="A147" s="20">
        <f>IF(C147="","",COUNTA($C$4:C147))</f>
        <v>144</v>
      </c>
      <c r="B147" s="20" t="str">
        <f t="shared" si="43"/>
        <v>December</v>
      </c>
      <c r="C147" s="45">
        <v>46015</v>
      </c>
      <c r="D147" s="131" t="s">
        <v>2399</v>
      </c>
      <c r="E147" s="105" t="s">
        <v>2400</v>
      </c>
      <c r="F147" s="26" t="s">
        <v>192</v>
      </c>
      <c r="G147" s="157" t="s">
        <v>193</v>
      </c>
      <c r="H147" s="106" t="s">
        <v>2401</v>
      </c>
      <c r="J147" s="22">
        <v>3000</v>
      </c>
      <c r="K147" s="22">
        <v>191</v>
      </c>
      <c r="L147" s="23">
        <f t="shared" si="42"/>
        <v>573000</v>
      </c>
      <c r="M147" s="23">
        <v>50000</v>
      </c>
      <c r="N147" s="23">
        <v>0</v>
      </c>
      <c r="O147" s="112">
        <f t="shared" si="44"/>
        <v>623000</v>
      </c>
      <c r="P147" s="33">
        <v>0.18</v>
      </c>
      <c r="Q147" s="119">
        <v>0</v>
      </c>
      <c r="R147" s="112">
        <f t="shared" si="40"/>
        <v>56070</v>
      </c>
      <c r="S147" s="112">
        <f t="shared" si="41"/>
        <v>56070</v>
      </c>
      <c r="T147" s="23">
        <v>0</v>
      </c>
      <c r="U147" s="112">
        <f t="shared" si="39"/>
        <v>735140</v>
      </c>
    </row>
    <row r="148" spans="1:21" ht="17.100000000000001" customHeight="1" x14ac:dyDescent="0.25">
      <c r="A148" s="20">
        <f>IF(C148="","",COUNTA($C$4:C148))</f>
        <v>145</v>
      </c>
      <c r="B148" s="20" t="str">
        <f t="shared" si="43"/>
        <v>May</v>
      </c>
      <c r="C148" s="45">
        <v>45794</v>
      </c>
      <c r="D148" s="128" t="s">
        <v>742</v>
      </c>
      <c r="E148" s="105" t="s">
        <v>725</v>
      </c>
      <c r="F148" s="26" t="s">
        <v>608</v>
      </c>
      <c r="G148" s="157" t="s">
        <v>260</v>
      </c>
      <c r="H148" s="106" t="s">
        <v>609</v>
      </c>
      <c r="J148" s="22">
        <v>3099</v>
      </c>
      <c r="K148" s="64">
        <v>11</v>
      </c>
      <c r="L148" s="23">
        <f t="shared" si="42"/>
        <v>34089</v>
      </c>
      <c r="M148" s="23">
        <v>0</v>
      </c>
      <c r="N148" s="23">
        <v>0</v>
      </c>
      <c r="O148" s="112">
        <f t="shared" si="44"/>
        <v>34089</v>
      </c>
      <c r="P148" s="33">
        <v>0.18</v>
      </c>
      <c r="Q148" s="118">
        <v>0</v>
      </c>
      <c r="R148" s="112">
        <f t="shared" si="40"/>
        <v>3068.01</v>
      </c>
      <c r="S148" s="112">
        <f t="shared" si="41"/>
        <v>3068.01</v>
      </c>
      <c r="T148" s="23">
        <v>0</v>
      </c>
      <c r="U148" s="112">
        <f t="shared" si="39"/>
        <v>40225.020000000004</v>
      </c>
    </row>
    <row r="149" spans="1:21" ht="17.100000000000001" customHeight="1" x14ac:dyDescent="0.25">
      <c r="A149" s="20">
        <f>IF(C149="","",COUNTA($C$4:C149))</f>
        <v>146</v>
      </c>
      <c r="B149" s="20" t="str">
        <f t="shared" si="43"/>
        <v>June</v>
      </c>
      <c r="C149" s="45">
        <v>45824</v>
      </c>
      <c r="D149" s="31" t="s">
        <v>743</v>
      </c>
      <c r="E149" s="105" t="s">
        <v>744</v>
      </c>
      <c r="F149" s="26" t="s">
        <v>619</v>
      </c>
      <c r="G149" s="157" t="s">
        <v>745</v>
      </c>
      <c r="H149" s="106" t="s">
        <v>747</v>
      </c>
      <c r="J149" s="22">
        <v>504</v>
      </c>
      <c r="K149" s="64">
        <v>143</v>
      </c>
      <c r="L149" s="23">
        <f t="shared" si="42"/>
        <v>72072</v>
      </c>
      <c r="M149" s="23">
        <v>12700</v>
      </c>
      <c r="N149" s="23">
        <v>0</v>
      </c>
      <c r="O149" s="112">
        <f t="shared" si="44"/>
        <v>84772</v>
      </c>
      <c r="P149" s="33">
        <v>0.18</v>
      </c>
      <c r="Q149" s="118">
        <v>0</v>
      </c>
      <c r="R149" s="112">
        <f t="shared" si="40"/>
        <v>7629.48</v>
      </c>
      <c r="S149" s="112">
        <f t="shared" si="41"/>
        <v>7629.48</v>
      </c>
      <c r="T149" s="23">
        <v>0</v>
      </c>
      <c r="U149" s="112">
        <f t="shared" si="39"/>
        <v>100030.95999999999</v>
      </c>
    </row>
    <row r="150" spans="1:21" ht="17.100000000000001" customHeight="1" x14ac:dyDescent="0.25">
      <c r="A150" s="20">
        <f>IF(C150="","",COUNTA($C$4:C150))</f>
        <v>147</v>
      </c>
      <c r="B150" s="20" t="str">
        <f t="shared" si="43"/>
        <v>June</v>
      </c>
      <c r="C150" s="45">
        <v>45824</v>
      </c>
      <c r="D150" s="31" t="s">
        <v>748</v>
      </c>
      <c r="E150" s="105" t="s">
        <v>749</v>
      </c>
      <c r="F150" s="26" t="s">
        <v>750</v>
      </c>
      <c r="G150" s="157" t="s">
        <v>350</v>
      </c>
      <c r="H150" s="106" t="s">
        <v>751</v>
      </c>
      <c r="J150" s="22">
        <v>512.71</v>
      </c>
      <c r="K150" s="64">
        <v>127</v>
      </c>
      <c r="L150" s="23">
        <f t="shared" si="42"/>
        <v>65114.170000000006</v>
      </c>
      <c r="M150" s="23">
        <v>0</v>
      </c>
      <c r="N150" s="23">
        <v>0</v>
      </c>
      <c r="O150" s="112">
        <f t="shared" si="44"/>
        <v>65114.170000000006</v>
      </c>
      <c r="P150" s="33">
        <v>0.18</v>
      </c>
      <c r="Q150" s="119">
        <v>0</v>
      </c>
      <c r="R150" s="112">
        <f t="shared" si="40"/>
        <v>5860.2753000000002</v>
      </c>
      <c r="S150" s="112">
        <f t="shared" si="41"/>
        <v>5860.2753000000002</v>
      </c>
      <c r="T150" s="23">
        <v>0</v>
      </c>
      <c r="U150" s="112">
        <f t="shared" si="39"/>
        <v>76834.720600000001</v>
      </c>
    </row>
    <row r="151" spans="1:21" ht="17.100000000000001" customHeight="1" x14ac:dyDescent="0.25">
      <c r="A151" s="20">
        <f>IF(C151="","",COUNTA($C$4:C151))</f>
        <v>148</v>
      </c>
      <c r="B151" s="20" t="str">
        <f t="shared" si="43"/>
        <v>December</v>
      </c>
      <c r="C151" s="45">
        <v>45993</v>
      </c>
      <c r="D151" s="31" t="s">
        <v>2245</v>
      </c>
      <c r="E151" s="105" t="s">
        <v>2246</v>
      </c>
      <c r="F151" s="26" t="s">
        <v>2158</v>
      </c>
      <c r="G151" s="157" t="s">
        <v>122</v>
      </c>
      <c r="H151" s="106" t="s">
        <v>2247</v>
      </c>
      <c r="I151" s="159" t="s">
        <v>266</v>
      </c>
      <c r="J151" s="22">
        <v>12362</v>
      </c>
      <c r="K151" s="22">
        <v>68.75</v>
      </c>
      <c r="L151" s="23">
        <f t="shared" si="42"/>
        <v>849887.5</v>
      </c>
      <c r="M151" s="23">
        <v>0</v>
      </c>
      <c r="N151" s="23">
        <v>0</v>
      </c>
      <c r="O151" s="112">
        <f t="shared" si="44"/>
        <v>849887.5</v>
      </c>
      <c r="P151" s="33">
        <v>0.18</v>
      </c>
      <c r="Q151" s="115">
        <v>0</v>
      </c>
      <c r="R151" s="112">
        <f t="shared" si="40"/>
        <v>76489.875</v>
      </c>
      <c r="S151" s="112">
        <f t="shared" si="41"/>
        <v>76489.875</v>
      </c>
      <c r="T151" s="23">
        <v>0</v>
      </c>
      <c r="U151" s="112">
        <f t="shared" si="39"/>
        <v>1002867.25</v>
      </c>
    </row>
    <row r="152" spans="1:21" ht="17.100000000000001" customHeight="1" x14ac:dyDescent="0.25">
      <c r="A152" s="20">
        <f>IF(C152="","",COUNTA($C$4:C152))</f>
        <v>149</v>
      </c>
      <c r="B152" s="20" t="str">
        <f t="shared" si="43"/>
        <v>December</v>
      </c>
      <c r="C152" s="45">
        <v>45993</v>
      </c>
      <c r="D152" s="31" t="s">
        <v>2245</v>
      </c>
      <c r="E152" s="105" t="s">
        <v>2246</v>
      </c>
      <c r="F152" s="26" t="s">
        <v>2158</v>
      </c>
      <c r="G152" s="157" t="s">
        <v>122</v>
      </c>
      <c r="H152" s="106" t="s">
        <v>2248</v>
      </c>
      <c r="I152" s="159" t="s">
        <v>160</v>
      </c>
      <c r="J152" s="22">
        <v>10620</v>
      </c>
      <c r="K152" s="22">
        <v>67.75</v>
      </c>
      <c r="L152" s="23">
        <f t="shared" si="42"/>
        <v>719505</v>
      </c>
      <c r="M152" s="23">
        <v>0</v>
      </c>
      <c r="N152" s="23">
        <v>0</v>
      </c>
      <c r="O152" s="112">
        <f t="shared" si="44"/>
        <v>719505</v>
      </c>
      <c r="P152" s="33">
        <v>0.18</v>
      </c>
      <c r="Q152" s="119">
        <v>0</v>
      </c>
      <c r="R152" s="112">
        <f t="shared" si="40"/>
        <v>64755.45</v>
      </c>
      <c r="S152" s="112">
        <f t="shared" si="41"/>
        <v>64755.45</v>
      </c>
      <c r="T152" s="23">
        <v>0</v>
      </c>
      <c r="U152" s="112">
        <f t="shared" si="39"/>
        <v>849015.89999999991</v>
      </c>
    </row>
    <row r="153" spans="1:21" ht="17.100000000000001" customHeight="1" x14ac:dyDescent="0.25">
      <c r="A153" s="20">
        <f>IF(C153="","",COUNTA($C$4:C153))</f>
        <v>150</v>
      </c>
      <c r="B153" s="20" t="str">
        <f t="shared" si="43"/>
        <v>June</v>
      </c>
      <c r="C153" s="45">
        <v>45826</v>
      </c>
      <c r="D153" s="31" t="s">
        <v>756</v>
      </c>
      <c r="E153" s="105" t="s">
        <v>757</v>
      </c>
      <c r="F153" s="26" t="s">
        <v>758</v>
      </c>
      <c r="G153" s="157" t="s">
        <v>759</v>
      </c>
      <c r="H153" s="106" t="s">
        <v>760</v>
      </c>
      <c r="J153" s="22">
        <v>30</v>
      </c>
      <c r="K153" s="64">
        <v>947</v>
      </c>
      <c r="L153" s="23">
        <f t="shared" si="42"/>
        <v>28410</v>
      </c>
      <c r="M153" s="23">
        <v>0</v>
      </c>
      <c r="N153" s="23">
        <v>0</v>
      </c>
      <c r="O153" s="112">
        <f t="shared" si="44"/>
        <v>28410</v>
      </c>
      <c r="P153" s="33">
        <v>0.18</v>
      </c>
      <c r="Q153" s="119">
        <v>0</v>
      </c>
      <c r="R153" s="112">
        <f t="shared" si="40"/>
        <v>2556.9</v>
      </c>
      <c r="S153" s="112">
        <f t="shared" si="41"/>
        <v>2556.9</v>
      </c>
      <c r="T153" s="23">
        <v>0</v>
      </c>
      <c r="U153" s="112">
        <f t="shared" si="39"/>
        <v>33523.800000000003</v>
      </c>
    </row>
    <row r="154" spans="1:21" ht="17.100000000000001" customHeight="1" x14ac:dyDescent="0.25">
      <c r="A154" s="20">
        <f>IF(C154="","",COUNTA($C$4:C154))</f>
        <v>151</v>
      </c>
      <c r="B154" s="20" t="str">
        <f t="shared" si="43"/>
        <v>June</v>
      </c>
      <c r="C154" s="45">
        <v>45826</v>
      </c>
      <c r="D154" s="31" t="s">
        <v>756</v>
      </c>
      <c r="E154" s="105" t="s">
        <v>757</v>
      </c>
      <c r="F154" s="26" t="s">
        <v>758</v>
      </c>
      <c r="G154" s="157" t="s">
        <v>759</v>
      </c>
      <c r="H154" s="106" t="s">
        <v>761</v>
      </c>
      <c r="J154" s="22">
        <v>30</v>
      </c>
      <c r="K154" s="64">
        <v>691</v>
      </c>
      <c r="L154" s="23">
        <f t="shared" si="42"/>
        <v>20730</v>
      </c>
      <c r="M154" s="23">
        <v>0</v>
      </c>
      <c r="N154" s="23">
        <v>0</v>
      </c>
      <c r="O154" s="112">
        <f t="shared" si="44"/>
        <v>20730</v>
      </c>
      <c r="P154" s="33">
        <v>0.18</v>
      </c>
      <c r="Q154" s="119">
        <v>0</v>
      </c>
      <c r="R154" s="112">
        <f t="shared" si="40"/>
        <v>1865.7</v>
      </c>
      <c r="S154" s="112">
        <f t="shared" si="41"/>
        <v>1865.7</v>
      </c>
      <c r="T154" s="23">
        <v>0</v>
      </c>
      <c r="U154" s="112">
        <f t="shared" si="39"/>
        <v>24461.4</v>
      </c>
    </row>
    <row r="155" spans="1:21" ht="17.100000000000001" customHeight="1" x14ac:dyDescent="0.25">
      <c r="A155" s="20">
        <f>IF(C155="","",COUNTA($C$4:C155))</f>
        <v>152</v>
      </c>
      <c r="B155" s="20" t="str">
        <f t="shared" si="43"/>
        <v>June</v>
      </c>
      <c r="C155" s="45">
        <v>45826</v>
      </c>
      <c r="D155" s="31" t="s">
        <v>762</v>
      </c>
      <c r="E155" s="105" t="s">
        <v>763</v>
      </c>
      <c r="F155" s="26"/>
      <c r="G155" s="157" t="s">
        <v>529</v>
      </c>
      <c r="H155" s="106" t="s">
        <v>764</v>
      </c>
      <c r="J155" s="22">
        <v>5260</v>
      </c>
      <c r="K155" s="64">
        <v>72</v>
      </c>
      <c r="L155" s="23">
        <f t="shared" si="42"/>
        <v>378720</v>
      </c>
      <c r="M155" s="23">
        <v>4500</v>
      </c>
      <c r="N155" s="23">
        <v>1050</v>
      </c>
      <c r="O155" s="112">
        <f t="shared" si="44"/>
        <v>384270</v>
      </c>
      <c r="P155" s="33">
        <v>0.18</v>
      </c>
      <c r="Q155" s="118">
        <v>0</v>
      </c>
      <c r="R155" s="112">
        <f t="shared" si="40"/>
        <v>34584.300000000003</v>
      </c>
      <c r="S155" s="112">
        <f t="shared" si="41"/>
        <v>34584.300000000003</v>
      </c>
      <c r="T155" s="23">
        <v>0</v>
      </c>
      <c r="U155" s="112">
        <f t="shared" si="39"/>
        <v>453438.6</v>
      </c>
    </row>
    <row r="156" spans="1:21" ht="17.100000000000001" customHeight="1" x14ac:dyDescent="0.25">
      <c r="A156" s="20">
        <f>IF(C156="","",COUNTA($C$4:C156))</f>
        <v>153</v>
      </c>
      <c r="B156" s="20" t="str">
        <f t="shared" si="43"/>
        <v>June</v>
      </c>
      <c r="C156" s="45">
        <v>45826</v>
      </c>
      <c r="D156" s="31" t="s">
        <v>765</v>
      </c>
      <c r="E156" s="107" t="s">
        <v>766</v>
      </c>
      <c r="F156" s="55"/>
      <c r="G156" s="157" t="s">
        <v>768</v>
      </c>
      <c r="H156" s="120" t="s">
        <v>767</v>
      </c>
      <c r="J156" s="22">
        <v>3</v>
      </c>
      <c r="K156" s="64">
        <v>9750</v>
      </c>
      <c r="L156" s="23">
        <f t="shared" si="42"/>
        <v>29250</v>
      </c>
      <c r="M156" s="23">
        <v>0</v>
      </c>
      <c r="N156" s="23">
        <v>0</v>
      </c>
      <c r="O156" s="112">
        <f t="shared" si="44"/>
        <v>29250</v>
      </c>
      <c r="P156" s="33">
        <v>0.18</v>
      </c>
      <c r="Q156" s="118">
        <v>0</v>
      </c>
      <c r="R156" s="112">
        <f t="shared" si="40"/>
        <v>2632.5</v>
      </c>
      <c r="S156" s="112">
        <f t="shared" si="41"/>
        <v>2632.5</v>
      </c>
      <c r="T156" s="23">
        <v>0</v>
      </c>
      <c r="U156" s="112">
        <f t="shared" si="39"/>
        <v>34515</v>
      </c>
    </row>
    <row r="157" spans="1:21" ht="17.100000000000001" customHeight="1" x14ac:dyDescent="0.25">
      <c r="A157" s="20">
        <f>IF(C157="","",COUNTA($C$4:C157))</f>
        <v>154</v>
      </c>
      <c r="B157" s="20" t="str">
        <f t="shared" si="43"/>
        <v>June</v>
      </c>
      <c r="C157" s="45">
        <v>45827</v>
      </c>
      <c r="D157" s="31" t="s">
        <v>808</v>
      </c>
      <c r="E157" s="105" t="s">
        <v>809</v>
      </c>
      <c r="F157" s="26"/>
      <c r="G157" s="157" t="s">
        <v>810</v>
      </c>
      <c r="H157" s="106" t="s">
        <v>811</v>
      </c>
      <c r="J157" s="22">
        <v>100</v>
      </c>
      <c r="K157" s="64">
        <v>180</v>
      </c>
      <c r="L157" s="23">
        <f t="shared" si="42"/>
        <v>18000</v>
      </c>
      <c r="M157" s="23">
        <v>0</v>
      </c>
      <c r="N157" s="23">
        <v>0</v>
      </c>
      <c r="O157" s="112">
        <f t="shared" si="44"/>
        <v>18000</v>
      </c>
      <c r="P157" s="33">
        <v>0.18</v>
      </c>
      <c r="Q157" s="118">
        <f>O157*18/100</f>
        <v>3240</v>
      </c>
      <c r="R157" s="115">
        <v>0</v>
      </c>
      <c r="S157" s="112" t="s">
        <v>679</v>
      </c>
      <c r="T157" s="23">
        <v>0</v>
      </c>
      <c r="U157" s="112">
        <f>O157+Q157</f>
        <v>21240</v>
      </c>
    </row>
    <row r="158" spans="1:21" ht="17.100000000000001" customHeight="1" x14ac:dyDescent="0.25">
      <c r="A158" s="20">
        <f>IF(C158="","",COUNTA($C$4:C158))</f>
        <v>155</v>
      </c>
      <c r="B158" s="20" t="str">
        <f t="shared" si="43"/>
        <v>June</v>
      </c>
      <c r="C158" s="45">
        <v>45827</v>
      </c>
      <c r="D158" s="31" t="s">
        <v>812</v>
      </c>
      <c r="E158" s="107" t="s">
        <v>813</v>
      </c>
      <c r="F158" s="55" t="s">
        <v>814</v>
      </c>
      <c r="G158" s="157" t="s">
        <v>559</v>
      </c>
      <c r="H158" s="106" t="s">
        <v>815</v>
      </c>
      <c r="J158" s="22">
        <v>2</v>
      </c>
      <c r="K158" s="64">
        <v>880500</v>
      </c>
      <c r="L158" s="23">
        <f t="shared" si="42"/>
        <v>1761000</v>
      </c>
      <c r="M158" s="23">
        <v>0</v>
      </c>
      <c r="N158" s="23">
        <v>0</v>
      </c>
      <c r="O158" s="112">
        <f t="shared" si="44"/>
        <v>1761000</v>
      </c>
      <c r="P158" s="33">
        <v>0.18</v>
      </c>
      <c r="Q158" s="118">
        <f>O158*18/100</f>
        <v>316980</v>
      </c>
      <c r="R158" s="115">
        <v>0</v>
      </c>
      <c r="S158" s="112" t="s">
        <v>679</v>
      </c>
      <c r="T158" s="23">
        <v>0</v>
      </c>
      <c r="U158" s="112">
        <f>O158+Q158</f>
        <v>2077980</v>
      </c>
    </row>
    <row r="159" spans="1:21" ht="17.100000000000001" customHeight="1" x14ac:dyDescent="0.25">
      <c r="A159" s="20">
        <f>IF(C159="","",COUNTA($C$4:C159))</f>
        <v>156</v>
      </c>
      <c r="B159" s="20" t="str">
        <f t="shared" si="43"/>
        <v>December</v>
      </c>
      <c r="C159" s="45">
        <v>46003</v>
      </c>
      <c r="D159" s="31" t="s">
        <v>2347</v>
      </c>
      <c r="E159" s="105" t="s">
        <v>2348</v>
      </c>
      <c r="F159" s="26" t="s">
        <v>2158</v>
      </c>
      <c r="G159" s="157" t="s">
        <v>122</v>
      </c>
      <c r="H159" s="106" t="s">
        <v>2350</v>
      </c>
      <c r="I159" s="159" t="s">
        <v>2349</v>
      </c>
      <c r="J159" s="22">
        <v>9445</v>
      </c>
      <c r="K159" s="22">
        <v>70</v>
      </c>
      <c r="L159" s="23">
        <f t="shared" si="42"/>
        <v>661150</v>
      </c>
      <c r="M159" s="23">
        <v>19500</v>
      </c>
      <c r="N159" s="23">
        <v>0</v>
      </c>
      <c r="O159" s="112">
        <f t="shared" si="44"/>
        <v>680650</v>
      </c>
      <c r="P159" s="33">
        <v>0.18</v>
      </c>
      <c r="Q159" s="119">
        <v>0</v>
      </c>
      <c r="R159" s="112">
        <f t="shared" ref="R159:R180" si="45">O159*9/100</f>
        <v>61258.5</v>
      </c>
      <c r="S159" s="112">
        <f t="shared" ref="S159:S180" si="46">O159*9/100</f>
        <v>61258.5</v>
      </c>
      <c r="T159" s="23">
        <v>0</v>
      </c>
      <c r="U159" s="112">
        <f t="shared" ref="U159:U180" si="47">O159+R159+S159</f>
        <v>803167</v>
      </c>
    </row>
    <row r="160" spans="1:21" ht="17.100000000000001" customHeight="1" x14ac:dyDescent="0.25">
      <c r="A160" s="20">
        <f>IF(C160="","",COUNTA($C$4:C160))</f>
        <v>157</v>
      </c>
      <c r="B160" s="20" t="str">
        <f t="shared" si="43"/>
        <v>June</v>
      </c>
      <c r="C160" s="45">
        <v>45828</v>
      </c>
      <c r="D160" s="31" t="s">
        <v>819</v>
      </c>
      <c r="E160" s="105" t="s">
        <v>820</v>
      </c>
      <c r="F160" s="26" t="s">
        <v>821</v>
      </c>
      <c r="G160" s="157" t="s">
        <v>822</v>
      </c>
      <c r="H160" s="106" t="s">
        <v>823</v>
      </c>
      <c r="J160" s="22">
        <v>100</v>
      </c>
      <c r="K160" s="64">
        <v>170</v>
      </c>
      <c r="L160" s="23">
        <f t="shared" si="42"/>
        <v>17000</v>
      </c>
      <c r="M160" s="23">
        <v>0</v>
      </c>
      <c r="N160" s="23">
        <v>0</v>
      </c>
      <c r="O160" s="112">
        <f t="shared" si="44"/>
        <v>17000</v>
      </c>
      <c r="P160" s="33">
        <v>0.18</v>
      </c>
      <c r="Q160" s="118">
        <v>0</v>
      </c>
      <c r="R160" s="112">
        <f t="shared" si="45"/>
        <v>1530</v>
      </c>
      <c r="S160" s="112">
        <f t="shared" si="46"/>
        <v>1530</v>
      </c>
      <c r="T160" s="23">
        <v>0</v>
      </c>
      <c r="U160" s="112">
        <f t="shared" si="47"/>
        <v>20060</v>
      </c>
    </row>
    <row r="161" spans="1:21" ht="17.100000000000001" customHeight="1" x14ac:dyDescent="0.25">
      <c r="A161" s="20">
        <f>IF(C161="","",COUNTA($C$4:C161))</f>
        <v>158</v>
      </c>
      <c r="B161" s="20" t="str">
        <f t="shared" si="43"/>
        <v>June</v>
      </c>
      <c r="C161" s="45">
        <v>45831</v>
      </c>
      <c r="D161" s="31" t="s">
        <v>824</v>
      </c>
      <c r="E161" s="105" t="s">
        <v>825</v>
      </c>
      <c r="F161" s="26"/>
      <c r="G161" s="157" t="s">
        <v>826</v>
      </c>
      <c r="H161" s="106" t="s">
        <v>827</v>
      </c>
      <c r="J161" s="22">
        <v>3</v>
      </c>
      <c r="K161" s="64">
        <v>19500</v>
      </c>
      <c r="L161" s="23">
        <f t="shared" si="42"/>
        <v>58500</v>
      </c>
      <c r="M161" s="23">
        <v>0</v>
      </c>
      <c r="N161" s="23">
        <v>0</v>
      </c>
      <c r="O161" s="112">
        <f t="shared" si="44"/>
        <v>58500</v>
      </c>
      <c r="P161" s="33">
        <v>0.18</v>
      </c>
      <c r="Q161" s="118">
        <v>0</v>
      </c>
      <c r="R161" s="112">
        <f t="shared" si="45"/>
        <v>5265</v>
      </c>
      <c r="S161" s="112">
        <f t="shared" si="46"/>
        <v>5265</v>
      </c>
      <c r="T161" s="23">
        <v>0</v>
      </c>
      <c r="U161" s="112">
        <f t="shared" si="47"/>
        <v>69030</v>
      </c>
    </row>
    <row r="162" spans="1:21" ht="17.100000000000001" customHeight="1" x14ac:dyDescent="0.25">
      <c r="A162" s="20">
        <f>IF(C162="","",COUNTA($C$4:C162))</f>
        <v>159</v>
      </c>
      <c r="B162" s="20" t="str">
        <f t="shared" si="43"/>
        <v>June</v>
      </c>
      <c r="C162" s="45">
        <v>45832</v>
      </c>
      <c r="D162" s="31" t="s">
        <v>828</v>
      </c>
      <c r="E162" s="105" t="s">
        <v>829</v>
      </c>
      <c r="F162" s="26" t="s">
        <v>758</v>
      </c>
      <c r="G162" s="157" t="s">
        <v>759</v>
      </c>
      <c r="H162" s="106" t="s">
        <v>760</v>
      </c>
      <c r="J162" s="22">
        <v>20</v>
      </c>
      <c r="K162" s="64">
        <v>947</v>
      </c>
      <c r="L162" s="23">
        <f t="shared" si="42"/>
        <v>18940</v>
      </c>
      <c r="M162" s="23">
        <v>0</v>
      </c>
      <c r="N162" s="23">
        <v>0</v>
      </c>
      <c r="O162" s="112">
        <f t="shared" si="44"/>
        <v>18940</v>
      </c>
      <c r="P162" s="33">
        <v>0.18</v>
      </c>
      <c r="Q162" s="118">
        <v>0</v>
      </c>
      <c r="R162" s="112">
        <f t="shared" si="45"/>
        <v>1704.6</v>
      </c>
      <c r="S162" s="112">
        <f t="shared" si="46"/>
        <v>1704.6</v>
      </c>
      <c r="T162" s="23">
        <v>0</v>
      </c>
      <c r="U162" s="112">
        <f t="shared" si="47"/>
        <v>22349.199999999997</v>
      </c>
    </row>
    <row r="163" spans="1:21" ht="17.100000000000001" customHeight="1" x14ac:dyDescent="0.25">
      <c r="A163" s="20">
        <f>IF(C164="","",COUNTA($C$4:C164))</f>
        <v>161</v>
      </c>
      <c r="B163" s="20" t="str">
        <f>IF(C164="","",TEXT(C164,"mmmm"))</f>
        <v>February</v>
      </c>
      <c r="C163" s="45">
        <v>45832</v>
      </c>
      <c r="D163" s="31" t="s">
        <v>828</v>
      </c>
      <c r="E163" s="105" t="s">
        <v>829</v>
      </c>
      <c r="F163" s="26" t="s">
        <v>758</v>
      </c>
      <c r="G163" s="157" t="s">
        <v>759</v>
      </c>
      <c r="H163" s="106" t="s">
        <v>761</v>
      </c>
      <c r="J163" s="22">
        <v>20</v>
      </c>
      <c r="K163" s="64">
        <v>691</v>
      </c>
      <c r="L163" s="23">
        <f t="shared" si="42"/>
        <v>13820</v>
      </c>
      <c r="M163" s="23">
        <v>0</v>
      </c>
      <c r="N163" s="23">
        <v>0</v>
      </c>
      <c r="O163" s="112">
        <f t="shared" si="44"/>
        <v>13820</v>
      </c>
      <c r="P163" s="33">
        <v>0.18</v>
      </c>
      <c r="Q163" s="118">
        <v>0</v>
      </c>
      <c r="R163" s="112">
        <f t="shared" si="45"/>
        <v>1243.8</v>
      </c>
      <c r="S163" s="112">
        <f t="shared" si="46"/>
        <v>1243.8</v>
      </c>
      <c r="T163" s="23">
        <v>0</v>
      </c>
      <c r="U163" s="112">
        <f t="shared" si="47"/>
        <v>16307.599999999999</v>
      </c>
    </row>
    <row r="164" spans="1:21" ht="17.100000000000001" customHeight="1" x14ac:dyDescent="0.25">
      <c r="A164" s="20">
        <f>IF(C164="","",COUNTA($C$4:C164))</f>
        <v>161</v>
      </c>
      <c r="B164" s="20" t="str">
        <f t="shared" ref="B164:B195" si="48">IF(C164="","",TEXT(C164,"mmmm"))</f>
        <v>February</v>
      </c>
      <c r="C164" s="45">
        <v>46063</v>
      </c>
      <c r="D164" s="31" t="s">
        <v>2811</v>
      </c>
      <c r="E164" s="105" t="s">
        <v>2812</v>
      </c>
      <c r="F164" s="26" t="s">
        <v>2813</v>
      </c>
      <c r="G164" s="157" t="s">
        <v>122</v>
      </c>
      <c r="H164" s="106" t="s">
        <v>2815</v>
      </c>
      <c r="I164" s="159" t="s">
        <v>266</v>
      </c>
      <c r="J164" s="22">
        <v>10174</v>
      </c>
      <c r="K164" s="22">
        <v>78</v>
      </c>
      <c r="L164" s="23">
        <f t="shared" si="42"/>
        <v>793572</v>
      </c>
      <c r="M164" s="23">
        <v>12600</v>
      </c>
      <c r="N164" s="23">
        <v>0</v>
      </c>
      <c r="O164" s="112">
        <f t="shared" si="44"/>
        <v>806172</v>
      </c>
      <c r="P164" s="33">
        <v>0.18</v>
      </c>
      <c r="Q164" s="119">
        <v>0</v>
      </c>
      <c r="R164" s="112">
        <f t="shared" si="45"/>
        <v>72555.48</v>
      </c>
      <c r="S164" s="112">
        <f t="shared" si="46"/>
        <v>72555.48</v>
      </c>
      <c r="T164" s="23">
        <v>0</v>
      </c>
      <c r="U164" s="112">
        <f t="shared" si="47"/>
        <v>951282.96</v>
      </c>
    </row>
    <row r="165" spans="1:21" ht="17.100000000000001" customHeight="1" x14ac:dyDescent="0.25">
      <c r="A165" s="20">
        <f>IF(C165="","",COUNTA($C$4:C165))</f>
        <v>162</v>
      </c>
      <c r="B165" s="20" t="str">
        <f t="shared" si="48"/>
        <v>February</v>
      </c>
      <c r="C165" s="45">
        <v>46063</v>
      </c>
      <c r="D165" s="31" t="s">
        <v>2811</v>
      </c>
      <c r="E165" s="105" t="s">
        <v>2812</v>
      </c>
      <c r="F165" s="26" t="s">
        <v>2813</v>
      </c>
      <c r="G165" s="157" t="s">
        <v>122</v>
      </c>
      <c r="H165" s="106" t="s">
        <v>2814</v>
      </c>
      <c r="I165" s="159" t="s">
        <v>266</v>
      </c>
      <c r="J165" s="22">
        <v>10784</v>
      </c>
      <c r="K165" s="22">
        <v>78</v>
      </c>
      <c r="L165" s="23">
        <f t="shared" si="42"/>
        <v>841152</v>
      </c>
      <c r="M165" s="23">
        <v>0</v>
      </c>
      <c r="N165" s="23">
        <v>0</v>
      </c>
      <c r="O165" s="112">
        <f t="shared" si="44"/>
        <v>841152</v>
      </c>
      <c r="P165" s="33">
        <v>0.18</v>
      </c>
      <c r="Q165" s="119">
        <v>0</v>
      </c>
      <c r="R165" s="112">
        <f t="shared" si="45"/>
        <v>75703.679999999993</v>
      </c>
      <c r="S165" s="112">
        <f t="shared" si="46"/>
        <v>75703.679999999993</v>
      </c>
      <c r="T165" s="23">
        <v>0</v>
      </c>
      <c r="U165" s="112">
        <f t="shared" si="47"/>
        <v>992559.35999999987</v>
      </c>
    </row>
    <row r="166" spans="1:21" ht="17.100000000000001" customHeight="1" x14ac:dyDescent="0.25">
      <c r="A166" s="20">
        <f>IF(C166="","",COUNTA($C$4:C166))</f>
        <v>163</v>
      </c>
      <c r="B166" s="20" t="str">
        <f t="shared" si="48"/>
        <v>June</v>
      </c>
      <c r="C166" s="45">
        <v>45834</v>
      </c>
      <c r="D166" s="31" t="s">
        <v>833</v>
      </c>
      <c r="E166" s="105" t="s">
        <v>834</v>
      </c>
      <c r="F166" s="26" t="s">
        <v>835</v>
      </c>
      <c r="G166" s="157" t="s">
        <v>836</v>
      </c>
      <c r="H166" s="106" t="s">
        <v>207</v>
      </c>
      <c r="K166" s="64"/>
      <c r="L166" s="23">
        <v>8305</v>
      </c>
      <c r="M166" s="23">
        <v>950</v>
      </c>
      <c r="N166" s="23">
        <v>0</v>
      </c>
      <c r="O166" s="112">
        <f t="shared" si="44"/>
        <v>9255</v>
      </c>
      <c r="P166" s="33">
        <v>0.18</v>
      </c>
      <c r="Q166" s="118">
        <v>0</v>
      </c>
      <c r="R166" s="112">
        <f t="shared" si="45"/>
        <v>832.95</v>
      </c>
      <c r="S166" s="112">
        <f t="shared" si="46"/>
        <v>832.95</v>
      </c>
      <c r="T166" s="23">
        <v>0</v>
      </c>
      <c r="U166" s="112">
        <f t="shared" si="47"/>
        <v>10920.900000000001</v>
      </c>
    </row>
    <row r="167" spans="1:21" ht="17.100000000000001" customHeight="1" x14ac:dyDescent="0.25">
      <c r="A167" s="20">
        <f>IF(C167="","",COUNTA($C$4:C167))</f>
        <v>164</v>
      </c>
      <c r="B167" s="20" t="str">
        <f t="shared" si="48"/>
        <v>June</v>
      </c>
      <c r="C167" s="45">
        <v>45834</v>
      </c>
      <c r="D167" s="31" t="s">
        <v>837</v>
      </c>
      <c r="E167" s="105" t="s">
        <v>838</v>
      </c>
      <c r="F167" s="26" t="s">
        <v>839</v>
      </c>
      <c r="G167" s="157" t="s">
        <v>746</v>
      </c>
      <c r="H167" s="106" t="s">
        <v>840</v>
      </c>
      <c r="J167" s="22">
        <v>696</v>
      </c>
      <c r="K167" s="64">
        <v>308</v>
      </c>
      <c r="L167" s="23">
        <f t="shared" ref="L167:L175" si="49">J167*K167</f>
        <v>214368</v>
      </c>
      <c r="M167" s="23">
        <v>0</v>
      </c>
      <c r="N167" s="23">
        <v>0</v>
      </c>
      <c r="O167" s="112">
        <f t="shared" si="44"/>
        <v>214368</v>
      </c>
      <c r="P167" s="33">
        <v>0.18</v>
      </c>
      <c r="Q167" s="118">
        <v>0</v>
      </c>
      <c r="R167" s="112">
        <f t="shared" si="45"/>
        <v>19293.12</v>
      </c>
      <c r="S167" s="112">
        <f t="shared" si="46"/>
        <v>19293.12</v>
      </c>
      <c r="T167" s="23">
        <v>0</v>
      </c>
      <c r="U167" s="112">
        <f t="shared" si="47"/>
        <v>252954.23999999999</v>
      </c>
    </row>
    <row r="168" spans="1:21" ht="17.100000000000001" customHeight="1" x14ac:dyDescent="0.25">
      <c r="A168" s="20">
        <f>IF(C168="","",COUNTA($C$4:C168))</f>
        <v>165</v>
      </c>
      <c r="B168" s="20" t="str">
        <f t="shared" si="48"/>
        <v>December</v>
      </c>
      <c r="C168" s="45">
        <v>46015</v>
      </c>
      <c r="D168" s="131" t="s">
        <v>2406</v>
      </c>
      <c r="E168" s="105" t="s">
        <v>2407</v>
      </c>
      <c r="F168" s="26" t="s">
        <v>2408</v>
      </c>
      <c r="G168" s="157" t="s">
        <v>193</v>
      </c>
      <c r="H168" s="106" t="s">
        <v>2409</v>
      </c>
      <c r="J168" s="22">
        <v>300</v>
      </c>
      <c r="K168" s="22">
        <v>635</v>
      </c>
      <c r="L168" s="23">
        <f t="shared" si="49"/>
        <v>190500</v>
      </c>
      <c r="M168" s="23">
        <v>3500</v>
      </c>
      <c r="N168" s="23">
        <v>0</v>
      </c>
      <c r="O168" s="112">
        <f t="shared" si="44"/>
        <v>194000</v>
      </c>
      <c r="P168" s="33">
        <v>0.18</v>
      </c>
      <c r="Q168" s="119">
        <v>0</v>
      </c>
      <c r="R168" s="112">
        <f t="shared" si="45"/>
        <v>17460</v>
      </c>
      <c r="S168" s="112">
        <f t="shared" si="46"/>
        <v>17460</v>
      </c>
      <c r="T168" s="23">
        <v>0</v>
      </c>
      <c r="U168" s="112">
        <f t="shared" si="47"/>
        <v>228920</v>
      </c>
    </row>
    <row r="169" spans="1:21" ht="17.100000000000001" customHeight="1" x14ac:dyDescent="0.25">
      <c r="A169" s="20">
        <f>IF(C169="","",COUNTA($C$4:C169))</f>
        <v>166</v>
      </c>
      <c r="B169" s="20" t="str">
        <f t="shared" si="48"/>
        <v>June</v>
      </c>
      <c r="C169" s="45">
        <v>45835</v>
      </c>
      <c r="D169" s="31" t="s">
        <v>842</v>
      </c>
      <c r="E169" s="105" t="s">
        <v>843</v>
      </c>
      <c r="F169" s="26" t="s">
        <v>844</v>
      </c>
      <c r="G169" s="157" t="s">
        <v>845</v>
      </c>
      <c r="H169" s="106" t="s">
        <v>846</v>
      </c>
      <c r="J169" s="22">
        <v>1008</v>
      </c>
      <c r="K169" s="64">
        <v>171</v>
      </c>
      <c r="L169" s="23">
        <f t="shared" si="49"/>
        <v>172368</v>
      </c>
      <c r="M169" s="23">
        <v>0</v>
      </c>
      <c r="N169" s="23">
        <v>0</v>
      </c>
      <c r="O169" s="112">
        <f t="shared" si="44"/>
        <v>172368</v>
      </c>
      <c r="P169" s="33">
        <v>0.18</v>
      </c>
      <c r="Q169" s="118">
        <v>0</v>
      </c>
      <c r="R169" s="112">
        <f t="shared" si="45"/>
        <v>15513.12</v>
      </c>
      <c r="S169" s="112">
        <f t="shared" si="46"/>
        <v>15513.12</v>
      </c>
      <c r="T169" s="23">
        <v>0</v>
      </c>
      <c r="U169" s="112">
        <f t="shared" si="47"/>
        <v>203394.24</v>
      </c>
    </row>
    <row r="170" spans="1:21" ht="17.100000000000001" customHeight="1" x14ac:dyDescent="0.25">
      <c r="A170" s="20">
        <f>IF(C170="","",COUNTA($C$4:C170))</f>
        <v>167</v>
      </c>
      <c r="B170" s="20" t="str">
        <f t="shared" si="48"/>
        <v>June</v>
      </c>
      <c r="C170" s="45">
        <v>45835</v>
      </c>
      <c r="D170" s="31" t="s">
        <v>847</v>
      </c>
      <c r="E170" s="105" t="s">
        <v>848</v>
      </c>
      <c r="F170" s="26" t="s">
        <v>849</v>
      </c>
      <c r="G170" s="157" t="s">
        <v>850</v>
      </c>
      <c r="H170" s="106" t="s">
        <v>851</v>
      </c>
      <c r="J170" s="22">
        <v>1</v>
      </c>
      <c r="K170" s="64">
        <v>29680</v>
      </c>
      <c r="L170" s="23">
        <f t="shared" si="49"/>
        <v>29680</v>
      </c>
      <c r="M170" s="23">
        <v>0</v>
      </c>
      <c r="N170" s="23">
        <v>0</v>
      </c>
      <c r="O170" s="112">
        <f t="shared" si="44"/>
        <v>29680</v>
      </c>
      <c r="P170" s="33">
        <v>0.18</v>
      </c>
      <c r="Q170" s="118">
        <v>0</v>
      </c>
      <c r="R170" s="112">
        <f t="shared" si="45"/>
        <v>2671.2</v>
      </c>
      <c r="S170" s="112">
        <f t="shared" si="46"/>
        <v>2671.2</v>
      </c>
      <c r="T170" s="23">
        <v>0</v>
      </c>
      <c r="U170" s="112">
        <f t="shared" si="47"/>
        <v>35022.400000000001</v>
      </c>
    </row>
    <row r="171" spans="1:21" ht="17.100000000000001" customHeight="1" x14ac:dyDescent="0.25">
      <c r="A171" s="20">
        <f>IF(C171="","",COUNTA($C$4:C171))</f>
        <v>168</v>
      </c>
      <c r="B171" s="20" t="str">
        <f t="shared" si="48"/>
        <v>June</v>
      </c>
      <c r="C171" s="45">
        <v>45836</v>
      </c>
      <c r="D171" s="31" t="s">
        <v>901</v>
      </c>
      <c r="E171" s="105" t="s">
        <v>902</v>
      </c>
      <c r="F171" s="26" t="s">
        <v>903</v>
      </c>
      <c r="G171" s="157" t="s">
        <v>260</v>
      </c>
      <c r="H171" s="106" t="s">
        <v>664</v>
      </c>
      <c r="J171" s="22">
        <v>22</v>
      </c>
      <c r="K171" s="64">
        <v>13</v>
      </c>
      <c r="L171" s="23">
        <f t="shared" si="49"/>
        <v>286</v>
      </c>
      <c r="M171" s="23">
        <v>0</v>
      </c>
      <c r="N171" s="23">
        <v>0</v>
      </c>
      <c r="O171" s="112">
        <f t="shared" si="44"/>
        <v>286</v>
      </c>
      <c r="P171" s="33">
        <v>0.18</v>
      </c>
      <c r="Q171" s="118">
        <v>0</v>
      </c>
      <c r="R171" s="112">
        <f t="shared" si="45"/>
        <v>25.74</v>
      </c>
      <c r="S171" s="112">
        <f t="shared" si="46"/>
        <v>25.74</v>
      </c>
      <c r="T171" s="23">
        <v>0</v>
      </c>
      <c r="U171" s="112">
        <f t="shared" si="47"/>
        <v>337.48</v>
      </c>
    </row>
    <row r="172" spans="1:21" ht="17.100000000000001" customHeight="1" x14ac:dyDescent="0.25">
      <c r="A172" s="20">
        <f>IF(C172="","",COUNTA($C$4:C172))</f>
        <v>169</v>
      </c>
      <c r="B172" s="20" t="str">
        <f t="shared" si="48"/>
        <v>June</v>
      </c>
      <c r="C172" s="45">
        <v>45836</v>
      </c>
      <c r="D172" s="31" t="s">
        <v>901</v>
      </c>
      <c r="E172" s="105" t="s">
        <v>902</v>
      </c>
      <c r="F172" s="26" t="s">
        <v>903</v>
      </c>
      <c r="G172" s="157" t="s">
        <v>260</v>
      </c>
      <c r="H172" s="106" t="s">
        <v>665</v>
      </c>
      <c r="J172" s="22">
        <v>50</v>
      </c>
      <c r="K172" s="64">
        <v>14.5</v>
      </c>
      <c r="L172" s="23">
        <f t="shared" si="49"/>
        <v>725</v>
      </c>
      <c r="M172" s="23">
        <v>0</v>
      </c>
      <c r="N172" s="23">
        <v>0</v>
      </c>
      <c r="O172" s="112">
        <f t="shared" si="44"/>
        <v>725</v>
      </c>
      <c r="P172" s="33">
        <v>0.18</v>
      </c>
      <c r="Q172" s="118">
        <v>0</v>
      </c>
      <c r="R172" s="112">
        <f t="shared" si="45"/>
        <v>65.25</v>
      </c>
      <c r="S172" s="112">
        <f t="shared" si="46"/>
        <v>65.25</v>
      </c>
      <c r="T172" s="23">
        <v>0</v>
      </c>
      <c r="U172" s="112">
        <f t="shared" si="47"/>
        <v>855.5</v>
      </c>
    </row>
    <row r="173" spans="1:21" ht="17.100000000000001" customHeight="1" x14ac:dyDescent="0.25">
      <c r="A173" s="20">
        <f>IF(C173="","",COUNTA($C$4:C173))</f>
        <v>170</v>
      </c>
      <c r="B173" s="20" t="str">
        <f t="shared" si="48"/>
        <v>June</v>
      </c>
      <c r="C173" s="45">
        <v>45836</v>
      </c>
      <c r="D173" s="31" t="s">
        <v>901</v>
      </c>
      <c r="E173" s="105" t="s">
        <v>902</v>
      </c>
      <c r="F173" s="26" t="s">
        <v>903</v>
      </c>
      <c r="G173" s="157" t="s">
        <v>260</v>
      </c>
      <c r="H173" s="106" t="s">
        <v>668</v>
      </c>
      <c r="J173" s="22">
        <v>500</v>
      </c>
      <c r="K173" s="64">
        <v>20</v>
      </c>
      <c r="L173" s="23">
        <f t="shared" si="49"/>
        <v>10000</v>
      </c>
      <c r="M173" s="23">
        <v>0</v>
      </c>
      <c r="N173" s="23">
        <v>0</v>
      </c>
      <c r="O173" s="112">
        <f t="shared" si="44"/>
        <v>10000</v>
      </c>
      <c r="P173" s="33">
        <v>0.18</v>
      </c>
      <c r="Q173" s="118">
        <v>0</v>
      </c>
      <c r="R173" s="112">
        <f t="shared" si="45"/>
        <v>900</v>
      </c>
      <c r="S173" s="112">
        <f t="shared" si="46"/>
        <v>900</v>
      </c>
      <c r="T173" s="23">
        <v>0</v>
      </c>
      <c r="U173" s="112">
        <f t="shared" si="47"/>
        <v>11800</v>
      </c>
    </row>
    <row r="174" spans="1:21" ht="17.100000000000001" customHeight="1" x14ac:dyDescent="0.25">
      <c r="A174" s="20">
        <f>IF(C174="","",COUNTA($C$4:C174))</f>
        <v>171</v>
      </c>
      <c r="B174" s="20" t="str">
        <f t="shared" si="48"/>
        <v>June</v>
      </c>
      <c r="C174" s="45">
        <v>45835</v>
      </c>
      <c r="D174" s="31" t="s">
        <v>904</v>
      </c>
      <c r="E174" s="105" t="s">
        <v>905</v>
      </c>
      <c r="F174" s="26" t="s">
        <v>906</v>
      </c>
      <c r="G174" s="157" t="s">
        <v>746</v>
      </c>
      <c r="H174" s="106" t="s">
        <v>907</v>
      </c>
      <c r="J174" s="22">
        <v>2640</v>
      </c>
      <c r="K174" s="64">
        <v>247</v>
      </c>
      <c r="L174" s="23">
        <f t="shared" si="49"/>
        <v>652080</v>
      </c>
      <c r="M174" s="23">
        <v>57000</v>
      </c>
      <c r="N174" s="23">
        <v>0</v>
      </c>
      <c r="O174" s="112">
        <f t="shared" si="44"/>
        <v>709080</v>
      </c>
      <c r="P174" s="33">
        <v>0.18</v>
      </c>
      <c r="Q174" s="118">
        <v>0</v>
      </c>
      <c r="R174" s="112">
        <f t="shared" si="45"/>
        <v>63817.2</v>
      </c>
      <c r="S174" s="112">
        <f t="shared" si="46"/>
        <v>63817.2</v>
      </c>
      <c r="T174" s="23">
        <v>0</v>
      </c>
      <c r="U174" s="112">
        <f t="shared" si="47"/>
        <v>836714.39999999991</v>
      </c>
    </row>
    <row r="175" spans="1:21" ht="17.100000000000001" customHeight="1" x14ac:dyDescent="0.25">
      <c r="A175" s="20">
        <f>IF(C175="","",COUNTA($C$4:C175))</f>
        <v>172</v>
      </c>
      <c r="B175" s="20" t="str">
        <f t="shared" si="48"/>
        <v>June</v>
      </c>
      <c r="C175" s="45">
        <v>45835</v>
      </c>
      <c r="D175" s="31" t="s">
        <v>904</v>
      </c>
      <c r="E175" s="105" t="s">
        <v>905</v>
      </c>
      <c r="F175" s="26" t="s">
        <v>906</v>
      </c>
      <c r="G175" s="157" t="s">
        <v>746</v>
      </c>
      <c r="H175" s="106" t="s">
        <v>908</v>
      </c>
      <c r="J175" s="22">
        <v>500</v>
      </c>
      <c r="K175" s="64">
        <v>346</v>
      </c>
      <c r="L175" s="23">
        <f t="shared" si="49"/>
        <v>173000</v>
      </c>
      <c r="M175" s="23">
        <v>0</v>
      </c>
      <c r="N175" s="23">
        <v>0</v>
      </c>
      <c r="O175" s="112">
        <f t="shared" si="44"/>
        <v>173000</v>
      </c>
      <c r="P175" s="33">
        <v>0.18</v>
      </c>
      <c r="Q175" s="118">
        <v>0</v>
      </c>
      <c r="R175" s="112">
        <f t="shared" si="45"/>
        <v>15570</v>
      </c>
      <c r="S175" s="112">
        <f t="shared" si="46"/>
        <v>15570</v>
      </c>
      <c r="T175" s="23">
        <v>0</v>
      </c>
      <c r="U175" s="112">
        <f t="shared" si="47"/>
        <v>204140</v>
      </c>
    </row>
    <row r="176" spans="1:21" ht="17.100000000000001" customHeight="1" x14ac:dyDescent="0.25">
      <c r="A176" s="20">
        <f>IF(C176="","",COUNTA($C$4:C176))</f>
        <v>173</v>
      </c>
      <c r="B176" s="20" t="str">
        <f t="shared" si="48"/>
        <v>June</v>
      </c>
      <c r="C176" s="45">
        <v>45838</v>
      </c>
      <c r="D176" s="31" t="s">
        <v>909</v>
      </c>
      <c r="E176" s="105" t="s">
        <v>910</v>
      </c>
      <c r="F176" s="26"/>
      <c r="G176" s="157" t="s">
        <v>342</v>
      </c>
      <c r="H176" s="106" t="s">
        <v>207</v>
      </c>
      <c r="K176" s="64"/>
      <c r="L176" s="23">
        <v>5155</v>
      </c>
      <c r="M176" s="23">
        <v>0</v>
      </c>
      <c r="N176" s="23">
        <v>0</v>
      </c>
      <c r="O176" s="112">
        <f t="shared" si="44"/>
        <v>5155</v>
      </c>
      <c r="P176" s="33">
        <v>0.18</v>
      </c>
      <c r="Q176" s="118">
        <v>0</v>
      </c>
      <c r="R176" s="112">
        <f t="shared" si="45"/>
        <v>463.95</v>
      </c>
      <c r="S176" s="112">
        <f t="shared" si="46"/>
        <v>463.95</v>
      </c>
      <c r="T176" s="23">
        <v>0</v>
      </c>
      <c r="U176" s="112">
        <f t="shared" si="47"/>
        <v>6082.9</v>
      </c>
    </row>
    <row r="177" spans="1:21" ht="17.100000000000001" customHeight="1" x14ac:dyDescent="0.25">
      <c r="A177" s="20">
        <f>IF(C177="","",COUNTA($C$4:C177))</f>
        <v>174</v>
      </c>
      <c r="B177" s="20" t="str">
        <f t="shared" si="48"/>
        <v>June</v>
      </c>
      <c r="C177" s="45">
        <v>45838</v>
      </c>
      <c r="D177" s="31" t="s">
        <v>911</v>
      </c>
      <c r="E177" s="105" t="s">
        <v>912</v>
      </c>
      <c r="F177" s="26"/>
      <c r="G177" s="157" t="s">
        <v>342</v>
      </c>
      <c r="H177" s="106" t="s">
        <v>207</v>
      </c>
      <c r="K177" s="64"/>
      <c r="L177" s="23">
        <v>5071</v>
      </c>
      <c r="M177" s="23">
        <v>0</v>
      </c>
      <c r="N177" s="23">
        <v>0</v>
      </c>
      <c r="O177" s="112">
        <f t="shared" si="44"/>
        <v>5071</v>
      </c>
      <c r="P177" s="33">
        <v>0.18</v>
      </c>
      <c r="Q177" s="118">
        <v>0</v>
      </c>
      <c r="R177" s="112">
        <f t="shared" si="45"/>
        <v>456.39</v>
      </c>
      <c r="S177" s="112">
        <f t="shared" si="46"/>
        <v>456.39</v>
      </c>
      <c r="T177" s="23">
        <v>0</v>
      </c>
      <c r="U177" s="112">
        <f t="shared" si="47"/>
        <v>5983.7800000000007</v>
      </c>
    </row>
    <row r="178" spans="1:21" ht="17.100000000000001" customHeight="1" x14ac:dyDescent="0.25">
      <c r="A178" s="20">
        <f>IF(C178="","",COUNTA($C$4:C178))</f>
        <v>175</v>
      </c>
      <c r="B178" s="20" t="str">
        <f t="shared" si="48"/>
        <v>June</v>
      </c>
      <c r="C178" s="45">
        <v>45838</v>
      </c>
      <c r="D178" s="31" t="s">
        <v>913</v>
      </c>
      <c r="E178" s="105" t="s">
        <v>914</v>
      </c>
      <c r="F178" s="26"/>
      <c r="G178" s="157" t="s">
        <v>342</v>
      </c>
      <c r="H178" s="106" t="s">
        <v>207</v>
      </c>
      <c r="K178" s="64"/>
      <c r="L178" s="23">
        <v>3205</v>
      </c>
      <c r="M178" s="23">
        <v>0</v>
      </c>
      <c r="N178" s="23">
        <v>0</v>
      </c>
      <c r="O178" s="112">
        <f t="shared" si="44"/>
        <v>3205</v>
      </c>
      <c r="P178" s="33">
        <v>0.18</v>
      </c>
      <c r="Q178" s="118">
        <v>0</v>
      </c>
      <c r="R178" s="112">
        <f t="shared" si="45"/>
        <v>288.45</v>
      </c>
      <c r="S178" s="112">
        <f t="shared" si="46"/>
        <v>288.45</v>
      </c>
      <c r="T178" s="23">
        <v>0</v>
      </c>
      <c r="U178" s="112">
        <f t="shared" si="47"/>
        <v>3781.8999999999996</v>
      </c>
    </row>
    <row r="179" spans="1:21" ht="17.100000000000001" customHeight="1" x14ac:dyDescent="0.25">
      <c r="A179" s="20">
        <f>IF(C179="","",COUNTA($C$4:C179))</f>
        <v>176</v>
      </c>
      <c r="B179" s="20" t="str">
        <f t="shared" si="48"/>
        <v>January</v>
      </c>
      <c r="C179" s="45">
        <v>46043</v>
      </c>
      <c r="D179" s="31" t="s">
        <v>2622</v>
      </c>
      <c r="E179" s="105" t="s">
        <v>2623</v>
      </c>
      <c r="F179" s="26" t="s">
        <v>2624</v>
      </c>
      <c r="G179" s="157" t="s">
        <v>193</v>
      </c>
      <c r="H179" s="106" t="s">
        <v>2625</v>
      </c>
      <c r="J179" s="22">
        <v>300</v>
      </c>
      <c r="K179" s="22">
        <v>635</v>
      </c>
      <c r="L179" s="23">
        <f t="shared" ref="L179:L185" si="50">J179*K179</f>
        <v>190500</v>
      </c>
      <c r="M179" s="23">
        <v>3500</v>
      </c>
      <c r="N179" s="23">
        <v>0</v>
      </c>
      <c r="O179" s="112">
        <f t="shared" si="44"/>
        <v>194000</v>
      </c>
      <c r="P179" s="33">
        <v>0.18</v>
      </c>
      <c r="Q179" s="119">
        <v>0</v>
      </c>
      <c r="R179" s="112">
        <f t="shared" si="45"/>
        <v>17460</v>
      </c>
      <c r="S179" s="112">
        <f t="shared" si="46"/>
        <v>17460</v>
      </c>
      <c r="T179" s="23">
        <v>0</v>
      </c>
      <c r="U179" s="112">
        <f t="shared" si="47"/>
        <v>228920</v>
      </c>
    </row>
    <row r="180" spans="1:21" ht="17.100000000000001" customHeight="1" x14ac:dyDescent="0.25">
      <c r="A180" s="20">
        <f>IF(C180="","",COUNTA($C$4:C180))</f>
        <v>177</v>
      </c>
      <c r="B180" s="20" t="str">
        <f t="shared" si="48"/>
        <v>January</v>
      </c>
      <c r="C180" s="45">
        <v>46053</v>
      </c>
      <c r="D180" s="102" t="s">
        <v>2663</v>
      </c>
      <c r="E180" s="105" t="s">
        <v>2664</v>
      </c>
      <c r="F180" s="26" t="s">
        <v>2665</v>
      </c>
      <c r="G180" s="157" t="s">
        <v>193</v>
      </c>
      <c r="H180" s="106" t="s">
        <v>2666</v>
      </c>
      <c r="J180" s="22">
        <v>276</v>
      </c>
      <c r="K180" s="22">
        <v>635</v>
      </c>
      <c r="L180" s="23">
        <f t="shared" si="50"/>
        <v>175260</v>
      </c>
      <c r="M180" s="23">
        <v>3500</v>
      </c>
      <c r="N180" s="23">
        <v>0</v>
      </c>
      <c r="O180" s="112">
        <f t="shared" si="44"/>
        <v>178760</v>
      </c>
      <c r="P180" s="33">
        <v>0.18</v>
      </c>
      <c r="Q180" s="119">
        <v>0</v>
      </c>
      <c r="R180" s="112">
        <f t="shared" si="45"/>
        <v>16088.4</v>
      </c>
      <c r="S180" s="112">
        <f t="shared" si="46"/>
        <v>16088.4</v>
      </c>
      <c r="T180" s="23">
        <v>0</v>
      </c>
      <c r="U180" s="112">
        <f t="shared" si="47"/>
        <v>210936.8</v>
      </c>
    </row>
    <row r="181" spans="1:21" ht="17.100000000000001" customHeight="1" x14ac:dyDescent="0.25">
      <c r="A181" s="20">
        <f>IF(C181="","",COUNTA($C$4:C181))</f>
        <v>178</v>
      </c>
      <c r="B181" s="20" t="str">
        <f t="shared" si="48"/>
        <v>July</v>
      </c>
      <c r="C181" s="45">
        <v>45843</v>
      </c>
      <c r="D181" s="31" t="s">
        <v>921</v>
      </c>
      <c r="E181" s="105" t="s">
        <v>922</v>
      </c>
      <c r="F181" s="26" t="s">
        <v>923</v>
      </c>
      <c r="G181" s="157" t="s">
        <v>924</v>
      </c>
      <c r="H181" s="106" t="s">
        <v>925</v>
      </c>
      <c r="J181" s="22">
        <v>1</v>
      </c>
      <c r="K181" s="64">
        <v>123785.5</v>
      </c>
      <c r="L181" s="23">
        <f t="shared" si="50"/>
        <v>123785.5</v>
      </c>
      <c r="M181" s="23">
        <v>0</v>
      </c>
      <c r="N181" s="23">
        <v>0</v>
      </c>
      <c r="O181" s="112">
        <f t="shared" si="44"/>
        <v>123785.5</v>
      </c>
      <c r="P181" s="33">
        <v>0.18</v>
      </c>
      <c r="Q181" s="118">
        <f>O181*18/100</f>
        <v>22281.39</v>
      </c>
      <c r="R181" s="115">
        <v>0</v>
      </c>
      <c r="S181" s="115">
        <v>0</v>
      </c>
      <c r="T181" s="23">
        <v>0</v>
      </c>
      <c r="U181" s="112">
        <f>O181+Q181</f>
        <v>146066.89000000001</v>
      </c>
    </row>
    <row r="182" spans="1:21" ht="17.100000000000001" customHeight="1" x14ac:dyDescent="0.25">
      <c r="A182" s="20">
        <f>IF(C182="","",COUNTA($C$4:C182))</f>
        <v>179</v>
      </c>
      <c r="B182" s="20" t="str">
        <f t="shared" si="48"/>
        <v>February</v>
      </c>
      <c r="C182" s="45">
        <v>46066</v>
      </c>
      <c r="D182" s="31" t="s">
        <v>2825</v>
      </c>
      <c r="E182" s="105" t="s">
        <v>2826</v>
      </c>
      <c r="F182" s="26" t="s">
        <v>2813</v>
      </c>
      <c r="G182" s="157" t="s">
        <v>122</v>
      </c>
      <c r="H182" s="106" t="s">
        <v>729</v>
      </c>
      <c r="I182" s="159" t="s">
        <v>160</v>
      </c>
      <c r="J182" s="22">
        <v>4520</v>
      </c>
      <c r="K182" s="22">
        <v>77</v>
      </c>
      <c r="L182" s="23">
        <f t="shared" si="50"/>
        <v>348040</v>
      </c>
      <c r="M182" s="23">
        <v>10509</v>
      </c>
      <c r="N182" s="23">
        <v>0</v>
      </c>
      <c r="O182" s="112">
        <f t="shared" si="44"/>
        <v>358549</v>
      </c>
      <c r="P182" s="33">
        <v>0.18</v>
      </c>
      <c r="Q182" s="119">
        <v>0</v>
      </c>
      <c r="R182" s="112">
        <f t="shared" ref="R182:R188" si="51">O182*9/100</f>
        <v>32269.41</v>
      </c>
      <c r="S182" s="112">
        <f t="shared" ref="S182:S188" si="52">O182*9/100</f>
        <v>32269.41</v>
      </c>
      <c r="T182" s="23">
        <v>0</v>
      </c>
      <c r="U182" s="112">
        <f t="shared" ref="U182:U213" si="53">O182+R182+S182</f>
        <v>423087.81999999995</v>
      </c>
    </row>
    <row r="183" spans="1:21" ht="17.100000000000001" customHeight="1" x14ac:dyDescent="0.25">
      <c r="A183" s="20">
        <f>IF(C183="","",COUNTA($C$4:C183))</f>
        <v>180</v>
      </c>
      <c r="B183" s="20" t="str">
        <f t="shared" si="48"/>
        <v>February</v>
      </c>
      <c r="C183" s="45">
        <v>46066</v>
      </c>
      <c r="D183" s="31" t="s">
        <v>2825</v>
      </c>
      <c r="E183" s="105" t="s">
        <v>2826</v>
      </c>
      <c r="F183" s="26" t="s">
        <v>2813</v>
      </c>
      <c r="G183" s="157" t="s">
        <v>122</v>
      </c>
      <c r="H183" s="106" t="s">
        <v>729</v>
      </c>
      <c r="I183" s="159" t="s">
        <v>160</v>
      </c>
      <c r="J183" s="22">
        <v>4575</v>
      </c>
      <c r="K183" s="22">
        <v>77</v>
      </c>
      <c r="L183" s="23">
        <f t="shared" si="50"/>
        <v>352275</v>
      </c>
      <c r="M183" s="23">
        <v>0</v>
      </c>
      <c r="N183" s="23">
        <v>0</v>
      </c>
      <c r="O183" s="112">
        <f t="shared" si="44"/>
        <v>352275</v>
      </c>
      <c r="P183" s="33">
        <v>0.18</v>
      </c>
      <c r="Q183" s="119">
        <v>0</v>
      </c>
      <c r="R183" s="112">
        <f t="shared" si="51"/>
        <v>31704.75</v>
      </c>
      <c r="S183" s="112">
        <f t="shared" si="52"/>
        <v>31704.75</v>
      </c>
      <c r="T183" s="23">
        <v>0</v>
      </c>
      <c r="U183" s="112">
        <f t="shared" si="53"/>
        <v>415684.5</v>
      </c>
    </row>
    <row r="184" spans="1:21" ht="17.100000000000001" customHeight="1" x14ac:dyDescent="0.25">
      <c r="A184" s="20">
        <f>IF(C184="","",COUNTA($C$4:C184))</f>
        <v>181</v>
      </c>
      <c r="B184" s="20" t="str">
        <f t="shared" si="48"/>
        <v>February</v>
      </c>
      <c r="C184" s="45">
        <v>46066</v>
      </c>
      <c r="D184" s="31" t="s">
        <v>2825</v>
      </c>
      <c r="E184" s="105" t="s">
        <v>2826</v>
      </c>
      <c r="F184" s="26" t="s">
        <v>2813</v>
      </c>
      <c r="G184" s="157" t="s">
        <v>122</v>
      </c>
      <c r="H184" s="106" t="s">
        <v>729</v>
      </c>
      <c r="I184" s="159" t="s">
        <v>160</v>
      </c>
      <c r="J184" s="22">
        <v>4655</v>
      </c>
      <c r="K184" s="22">
        <v>77</v>
      </c>
      <c r="L184" s="23">
        <f t="shared" si="50"/>
        <v>358435</v>
      </c>
      <c r="M184" s="23">
        <v>0</v>
      </c>
      <c r="N184" s="23">
        <v>0</v>
      </c>
      <c r="O184" s="112">
        <f t="shared" si="44"/>
        <v>358435</v>
      </c>
      <c r="P184" s="33">
        <v>0.18</v>
      </c>
      <c r="Q184" s="119">
        <v>0</v>
      </c>
      <c r="R184" s="112">
        <f t="shared" si="51"/>
        <v>32259.15</v>
      </c>
      <c r="S184" s="112">
        <f t="shared" si="52"/>
        <v>32259.15</v>
      </c>
      <c r="T184" s="23">
        <v>0</v>
      </c>
      <c r="U184" s="112">
        <f t="shared" si="53"/>
        <v>422953.30000000005</v>
      </c>
    </row>
    <row r="185" spans="1:21" ht="17.100000000000001" customHeight="1" x14ac:dyDescent="0.25">
      <c r="A185" s="20">
        <f>IF(C185="","",COUNTA($C$4:C185))</f>
        <v>182</v>
      </c>
      <c r="B185" s="20" t="str">
        <f t="shared" si="48"/>
        <v>February</v>
      </c>
      <c r="C185" s="45">
        <v>46062</v>
      </c>
      <c r="D185" s="31" t="s">
        <v>2804</v>
      </c>
      <c r="E185" s="105" t="s">
        <v>2805</v>
      </c>
      <c r="F185" s="26" t="s">
        <v>2806</v>
      </c>
      <c r="G185" s="157" t="s">
        <v>193</v>
      </c>
      <c r="H185" s="106" t="s">
        <v>2807</v>
      </c>
      <c r="J185" s="22">
        <v>300</v>
      </c>
      <c r="K185" s="22">
        <v>635</v>
      </c>
      <c r="L185" s="23">
        <f t="shared" si="50"/>
        <v>190500</v>
      </c>
      <c r="M185" s="23">
        <v>3500</v>
      </c>
      <c r="N185" s="23">
        <v>0</v>
      </c>
      <c r="O185" s="112">
        <f t="shared" si="44"/>
        <v>194000</v>
      </c>
      <c r="P185" s="33">
        <v>0.18</v>
      </c>
      <c r="Q185" s="119">
        <v>0</v>
      </c>
      <c r="R185" s="112">
        <f t="shared" si="51"/>
        <v>17460</v>
      </c>
      <c r="S185" s="112">
        <f t="shared" si="52"/>
        <v>17460</v>
      </c>
      <c r="T185" s="23">
        <v>0</v>
      </c>
      <c r="U185" s="112">
        <f t="shared" si="53"/>
        <v>228920</v>
      </c>
    </row>
    <row r="186" spans="1:21" ht="17.100000000000001" customHeight="1" x14ac:dyDescent="0.25">
      <c r="A186" s="20">
        <f>IF(C186="","",COUNTA($C$4:C186))</f>
        <v>183</v>
      </c>
      <c r="B186" s="20" t="str">
        <f t="shared" si="48"/>
        <v>July</v>
      </c>
      <c r="C186" s="45">
        <v>45845</v>
      </c>
      <c r="D186" s="31" t="s">
        <v>977</v>
      </c>
      <c r="E186" s="105" t="s">
        <v>978</v>
      </c>
      <c r="F186" s="26" t="s">
        <v>979</v>
      </c>
      <c r="G186" s="157" t="s">
        <v>60</v>
      </c>
      <c r="H186" s="106" t="s">
        <v>207</v>
      </c>
      <c r="K186" s="64"/>
      <c r="L186" s="23">
        <v>128915</v>
      </c>
      <c r="M186" s="23">
        <v>0</v>
      </c>
      <c r="N186" s="23">
        <v>0</v>
      </c>
      <c r="O186" s="112">
        <f t="shared" si="44"/>
        <v>128915</v>
      </c>
      <c r="P186" s="33">
        <v>0.18</v>
      </c>
      <c r="Q186" s="118">
        <v>0</v>
      </c>
      <c r="R186" s="112">
        <f t="shared" si="51"/>
        <v>11602.35</v>
      </c>
      <c r="S186" s="112">
        <f t="shared" si="52"/>
        <v>11602.35</v>
      </c>
      <c r="T186" s="23">
        <v>0</v>
      </c>
      <c r="U186" s="112">
        <f t="shared" si="53"/>
        <v>152119.70000000001</v>
      </c>
    </row>
    <row r="187" spans="1:21" ht="17.100000000000001" customHeight="1" x14ac:dyDescent="0.25">
      <c r="A187" s="20">
        <f>IF(C187="","",COUNTA($C$4:C187))</f>
        <v>184</v>
      </c>
      <c r="B187" s="20" t="str">
        <f t="shared" si="48"/>
        <v>July</v>
      </c>
      <c r="C187" s="45">
        <v>45846</v>
      </c>
      <c r="D187" s="130" t="s">
        <v>980</v>
      </c>
      <c r="E187" s="105" t="s">
        <v>981</v>
      </c>
      <c r="F187" s="26" t="s">
        <v>982</v>
      </c>
      <c r="G187" s="157" t="s">
        <v>768</v>
      </c>
      <c r="H187" s="106" t="s">
        <v>983</v>
      </c>
      <c r="J187" s="22">
        <v>1</v>
      </c>
      <c r="K187" s="64">
        <v>56200</v>
      </c>
      <c r="L187" s="23">
        <v>56200</v>
      </c>
      <c r="M187" s="23">
        <v>0</v>
      </c>
      <c r="N187" s="23">
        <v>0</v>
      </c>
      <c r="O187" s="112">
        <f t="shared" si="44"/>
        <v>56200</v>
      </c>
      <c r="P187" s="33">
        <v>0.18</v>
      </c>
      <c r="Q187" s="119">
        <v>0</v>
      </c>
      <c r="R187" s="112">
        <f t="shared" si="51"/>
        <v>5058</v>
      </c>
      <c r="S187" s="112">
        <f t="shared" si="52"/>
        <v>5058</v>
      </c>
      <c r="T187" s="23">
        <v>0</v>
      </c>
      <c r="U187" s="112">
        <f t="shared" si="53"/>
        <v>66316</v>
      </c>
    </row>
    <row r="188" spans="1:21" ht="17.100000000000001" customHeight="1" x14ac:dyDescent="0.25">
      <c r="A188" s="20">
        <f>IF(C188="","",COUNTA($C$4:C188))</f>
        <v>185</v>
      </c>
      <c r="B188" s="20" t="str">
        <f t="shared" si="48"/>
        <v>July</v>
      </c>
      <c r="C188" s="45">
        <v>45847</v>
      </c>
      <c r="D188" s="31" t="s">
        <v>984</v>
      </c>
      <c r="E188" s="105" t="s">
        <v>985</v>
      </c>
      <c r="F188" s="26"/>
      <c r="G188" s="157" t="s">
        <v>986</v>
      </c>
      <c r="H188" s="106" t="s">
        <v>987</v>
      </c>
      <c r="J188" s="22">
        <v>1</v>
      </c>
      <c r="K188" s="64">
        <v>6610.17</v>
      </c>
      <c r="L188" s="23">
        <f t="shared" ref="L188:L201" si="54">J188*K188</f>
        <v>6610.17</v>
      </c>
      <c r="M188" s="23">
        <v>0</v>
      </c>
      <c r="N188" s="23">
        <v>0</v>
      </c>
      <c r="O188" s="112">
        <f t="shared" si="44"/>
        <v>6610.17</v>
      </c>
      <c r="P188" s="33">
        <v>0.18</v>
      </c>
      <c r="Q188" s="119">
        <v>0</v>
      </c>
      <c r="R188" s="112">
        <f t="shared" si="51"/>
        <v>594.9153</v>
      </c>
      <c r="S188" s="112">
        <f t="shared" si="52"/>
        <v>594.9153</v>
      </c>
      <c r="T188" s="23">
        <v>0</v>
      </c>
      <c r="U188" s="112">
        <f t="shared" si="53"/>
        <v>7800.0005999999994</v>
      </c>
    </row>
    <row r="189" spans="1:21" ht="17.100000000000001" customHeight="1" x14ac:dyDescent="0.25">
      <c r="A189" s="20">
        <f>IF(C189="","",COUNTA($C$4:C189))</f>
        <v>186</v>
      </c>
      <c r="B189" s="20" t="str">
        <f t="shared" si="48"/>
        <v>July</v>
      </c>
      <c r="C189" s="45">
        <v>45847</v>
      </c>
      <c r="D189" s="31" t="s">
        <v>988</v>
      </c>
      <c r="E189" s="105" t="s">
        <v>989</v>
      </c>
      <c r="F189" s="26"/>
      <c r="G189" s="157" t="s">
        <v>248</v>
      </c>
      <c r="H189" s="106" t="s">
        <v>990</v>
      </c>
      <c r="J189" s="22">
        <v>500</v>
      </c>
      <c r="K189" s="64">
        <v>11</v>
      </c>
      <c r="L189" s="23">
        <f t="shared" si="54"/>
        <v>5500</v>
      </c>
      <c r="M189" s="23">
        <v>0</v>
      </c>
      <c r="N189" s="23">
        <v>0</v>
      </c>
      <c r="O189" s="112">
        <f t="shared" si="44"/>
        <v>5500</v>
      </c>
      <c r="P189" s="33">
        <v>0.18</v>
      </c>
      <c r="Q189" s="119">
        <v>0</v>
      </c>
      <c r="R189" s="112">
        <f>O189*2.5/100</f>
        <v>137.5</v>
      </c>
      <c r="S189" s="112">
        <f>O189*2.5/100</f>
        <v>137.5</v>
      </c>
      <c r="T189" s="23">
        <v>0</v>
      </c>
      <c r="U189" s="112">
        <f t="shared" si="53"/>
        <v>5775</v>
      </c>
    </row>
    <row r="190" spans="1:21" ht="17.100000000000001" customHeight="1" x14ac:dyDescent="0.25">
      <c r="A190" s="20">
        <f>IF(C190="","",COUNTA($C$4:C190))</f>
        <v>187</v>
      </c>
      <c r="B190" s="20" t="str">
        <f t="shared" si="48"/>
        <v>February</v>
      </c>
      <c r="C190" s="45">
        <v>46066</v>
      </c>
      <c r="D190" s="31" t="s">
        <v>2825</v>
      </c>
      <c r="E190" s="105" t="s">
        <v>2826</v>
      </c>
      <c r="F190" s="26" t="s">
        <v>2813</v>
      </c>
      <c r="G190" s="157" t="s">
        <v>122</v>
      </c>
      <c r="H190" s="106" t="s">
        <v>729</v>
      </c>
      <c r="I190" s="159" t="s">
        <v>160</v>
      </c>
      <c r="J190" s="22">
        <v>3765</v>
      </c>
      <c r="K190" s="22">
        <v>77</v>
      </c>
      <c r="L190" s="23">
        <f t="shared" si="54"/>
        <v>289905</v>
      </c>
      <c r="M190" s="23">
        <v>0</v>
      </c>
      <c r="N190" s="23">
        <v>0</v>
      </c>
      <c r="O190" s="112">
        <f t="shared" si="44"/>
        <v>289905</v>
      </c>
      <c r="P190" s="33">
        <v>0.18</v>
      </c>
      <c r="Q190" s="119">
        <v>0</v>
      </c>
      <c r="R190" s="112">
        <f t="shared" ref="R190:R213" si="55">O190*9/100</f>
        <v>26091.45</v>
      </c>
      <c r="S190" s="112">
        <f t="shared" ref="S190:S213" si="56">O190*9/100</f>
        <v>26091.45</v>
      </c>
      <c r="T190" s="23">
        <v>0</v>
      </c>
      <c r="U190" s="112">
        <f t="shared" si="53"/>
        <v>342087.9</v>
      </c>
    </row>
    <row r="191" spans="1:21" ht="17.100000000000001" customHeight="1" x14ac:dyDescent="0.25">
      <c r="A191" s="20">
        <f>IF(C191="","",COUNTA($C$4:C191))</f>
        <v>188</v>
      </c>
      <c r="B191" s="20" t="str">
        <f t="shared" si="48"/>
        <v>February</v>
      </c>
      <c r="C191" s="45">
        <v>46078</v>
      </c>
      <c r="D191" s="31" t="s">
        <v>2870</v>
      </c>
      <c r="E191" s="105" t="s">
        <v>2871</v>
      </c>
      <c r="F191" s="26" t="s">
        <v>2813</v>
      </c>
      <c r="G191" s="157" t="s">
        <v>122</v>
      </c>
      <c r="H191" s="106" t="s">
        <v>2872</v>
      </c>
      <c r="I191" s="159" t="s">
        <v>2349</v>
      </c>
      <c r="J191" s="22">
        <v>4765</v>
      </c>
      <c r="K191" s="22">
        <v>82</v>
      </c>
      <c r="L191" s="23">
        <f t="shared" si="54"/>
        <v>390730</v>
      </c>
      <c r="M191" s="23">
        <v>20073</v>
      </c>
      <c r="N191" s="23">
        <v>0</v>
      </c>
      <c r="O191" s="112">
        <f t="shared" si="44"/>
        <v>410803</v>
      </c>
      <c r="P191" s="33">
        <v>0.18</v>
      </c>
      <c r="Q191" s="119">
        <v>0</v>
      </c>
      <c r="R191" s="112">
        <f t="shared" si="55"/>
        <v>36972.269999999997</v>
      </c>
      <c r="S191" s="112">
        <f t="shared" si="56"/>
        <v>36972.269999999997</v>
      </c>
      <c r="T191" s="23">
        <v>0</v>
      </c>
      <c r="U191" s="112">
        <f t="shared" si="53"/>
        <v>484747.54000000004</v>
      </c>
    </row>
    <row r="192" spans="1:21" ht="17.100000000000001" customHeight="1" x14ac:dyDescent="0.25">
      <c r="A192" s="20">
        <f>IF(C192="","",COUNTA($C$4:C192))</f>
        <v>189</v>
      </c>
      <c r="B192" s="20" t="str">
        <f t="shared" si="48"/>
        <v>February</v>
      </c>
      <c r="C192" s="45">
        <v>46078</v>
      </c>
      <c r="D192" s="31" t="s">
        <v>2870</v>
      </c>
      <c r="E192" s="105" t="s">
        <v>2871</v>
      </c>
      <c r="F192" s="26" t="s">
        <v>2813</v>
      </c>
      <c r="G192" s="157" t="s">
        <v>122</v>
      </c>
      <c r="H192" s="106" t="s">
        <v>2873</v>
      </c>
      <c r="I192" s="159" t="s">
        <v>2349</v>
      </c>
      <c r="J192" s="22">
        <v>4780</v>
      </c>
      <c r="K192" s="22">
        <v>82</v>
      </c>
      <c r="L192" s="23">
        <f t="shared" si="54"/>
        <v>391960</v>
      </c>
      <c r="M192" s="23">
        <v>0</v>
      </c>
      <c r="N192" s="23">
        <v>0</v>
      </c>
      <c r="O192" s="112">
        <f t="shared" si="44"/>
        <v>391960</v>
      </c>
      <c r="P192" s="33">
        <v>0.18</v>
      </c>
      <c r="Q192" s="119">
        <v>0</v>
      </c>
      <c r="R192" s="112">
        <f t="shared" si="55"/>
        <v>35276.400000000001</v>
      </c>
      <c r="S192" s="112">
        <f t="shared" si="56"/>
        <v>35276.400000000001</v>
      </c>
      <c r="T192" s="23">
        <v>0</v>
      </c>
      <c r="U192" s="112">
        <f t="shared" si="53"/>
        <v>462512.80000000005</v>
      </c>
    </row>
    <row r="193" spans="1:21" ht="17.100000000000001" customHeight="1" x14ac:dyDescent="0.25">
      <c r="A193" s="20">
        <f>IF(C193="","",COUNTA($C$4:C193))</f>
        <v>190</v>
      </c>
      <c r="B193" s="20" t="str">
        <f t="shared" si="48"/>
        <v>February</v>
      </c>
      <c r="C193" s="45">
        <v>46078</v>
      </c>
      <c r="D193" s="31" t="s">
        <v>2870</v>
      </c>
      <c r="E193" s="105" t="s">
        <v>2871</v>
      </c>
      <c r="F193" s="26" t="s">
        <v>2813</v>
      </c>
      <c r="G193" s="157" t="s">
        <v>122</v>
      </c>
      <c r="H193" s="106" t="s">
        <v>2873</v>
      </c>
      <c r="I193" s="159" t="s">
        <v>2349</v>
      </c>
      <c r="J193" s="22">
        <v>5995</v>
      </c>
      <c r="K193" s="22">
        <v>82</v>
      </c>
      <c r="L193" s="23">
        <f t="shared" si="54"/>
        <v>491590</v>
      </c>
      <c r="M193" s="23">
        <v>0</v>
      </c>
      <c r="N193" s="23">
        <v>0</v>
      </c>
      <c r="O193" s="112">
        <f t="shared" si="44"/>
        <v>491590</v>
      </c>
      <c r="P193" s="33">
        <v>0.18</v>
      </c>
      <c r="Q193" s="119">
        <v>0</v>
      </c>
      <c r="R193" s="112">
        <f t="shared" si="55"/>
        <v>44243.1</v>
      </c>
      <c r="S193" s="112">
        <f t="shared" si="56"/>
        <v>44243.1</v>
      </c>
      <c r="T193" s="23"/>
      <c r="U193" s="112">
        <f t="shared" si="53"/>
        <v>580076.19999999995</v>
      </c>
    </row>
    <row r="194" spans="1:21" ht="17.100000000000001" customHeight="1" x14ac:dyDescent="0.25">
      <c r="A194" s="20">
        <f>IF(C194="","",COUNTA($C$4:C194))</f>
        <v>191</v>
      </c>
      <c r="B194" s="20" t="str">
        <f t="shared" si="48"/>
        <v>February</v>
      </c>
      <c r="C194" s="45">
        <v>46078</v>
      </c>
      <c r="D194" s="31" t="s">
        <v>2870</v>
      </c>
      <c r="E194" s="105" t="s">
        <v>2871</v>
      </c>
      <c r="F194" s="26" t="s">
        <v>2813</v>
      </c>
      <c r="G194" s="157" t="s">
        <v>122</v>
      </c>
      <c r="H194" s="106" t="s">
        <v>2873</v>
      </c>
      <c r="I194" s="159" t="s">
        <v>2349</v>
      </c>
      <c r="J194" s="22">
        <v>6135</v>
      </c>
      <c r="K194" s="22">
        <v>82</v>
      </c>
      <c r="L194" s="23">
        <f t="shared" si="54"/>
        <v>503070</v>
      </c>
      <c r="M194" s="23">
        <v>0</v>
      </c>
      <c r="N194" s="23">
        <v>0</v>
      </c>
      <c r="O194" s="112">
        <f t="shared" si="44"/>
        <v>503070</v>
      </c>
      <c r="P194" s="33">
        <v>0.18</v>
      </c>
      <c r="Q194" s="119">
        <v>0</v>
      </c>
      <c r="R194" s="112">
        <f t="shared" si="55"/>
        <v>45276.3</v>
      </c>
      <c r="S194" s="112">
        <f t="shared" si="56"/>
        <v>45276.3</v>
      </c>
      <c r="T194" s="23"/>
      <c r="U194" s="112">
        <f t="shared" si="53"/>
        <v>593622.60000000009</v>
      </c>
    </row>
    <row r="195" spans="1:21" ht="17.100000000000001" customHeight="1" x14ac:dyDescent="0.25">
      <c r="A195" s="20">
        <f>IF(C195="","",COUNTA($C$4:C195))</f>
        <v>192</v>
      </c>
      <c r="B195" s="20" t="str">
        <f t="shared" si="48"/>
        <v>February</v>
      </c>
      <c r="C195" s="45">
        <v>46078</v>
      </c>
      <c r="D195" s="31" t="s">
        <v>2870</v>
      </c>
      <c r="E195" s="105" t="s">
        <v>2871</v>
      </c>
      <c r="F195" s="26" t="s">
        <v>2813</v>
      </c>
      <c r="G195" s="157" t="s">
        <v>122</v>
      </c>
      <c r="H195" s="106" t="s">
        <v>2874</v>
      </c>
      <c r="I195" s="159" t="s">
        <v>2875</v>
      </c>
      <c r="J195" s="22">
        <v>5785</v>
      </c>
      <c r="K195" s="22">
        <v>77</v>
      </c>
      <c r="L195" s="23">
        <f t="shared" si="54"/>
        <v>445445</v>
      </c>
      <c r="M195" s="23">
        <v>0</v>
      </c>
      <c r="N195" s="23">
        <v>0</v>
      </c>
      <c r="O195" s="112">
        <f t="shared" si="44"/>
        <v>445445</v>
      </c>
      <c r="P195" s="33">
        <v>0.18</v>
      </c>
      <c r="Q195" s="119">
        <v>0</v>
      </c>
      <c r="R195" s="112">
        <f t="shared" si="55"/>
        <v>40090.050000000003</v>
      </c>
      <c r="S195" s="112">
        <f t="shared" si="56"/>
        <v>40090.050000000003</v>
      </c>
      <c r="T195" s="23">
        <v>0</v>
      </c>
      <c r="U195" s="112">
        <f t="shared" si="53"/>
        <v>525625.1</v>
      </c>
    </row>
    <row r="196" spans="1:21" ht="17.100000000000001" customHeight="1" x14ac:dyDescent="0.25">
      <c r="A196" s="20">
        <f>IF(C196="","",COUNTA($C$4:C196))</f>
        <v>193</v>
      </c>
      <c r="B196" s="20" t="str">
        <f t="shared" ref="B196:B224" si="57">IF(C196="","",TEXT(C196,"mmmm"))</f>
        <v>March</v>
      </c>
      <c r="C196" s="45">
        <v>46090</v>
      </c>
      <c r="D196" s="31" t="s">
        <v>2917</v>
      </c>
      <c r="E196" s="105" t="s">
        <v>2918</v>
      </c>
      <c r="F196" s="26" t="s">
        <v>2919</v>
      </c>
      <c r="G196" s="157" t="s">
        <v>193</v>
      </c>
      <c r="H196" s="106" t="s">
        <v>2920</v>
      </c>
      <c r="J196" s="22">
        <v>996</v>
      </c>
      <c r="K196" s="22">
        <v>532</v>
      </c>
      <c r="L196" s="23">
        <f t="shared" si="54"/>
        <v>529872</v>
      </c>
      <c r="M196" s="23">
        <v>45000</v>
      </c>
      <c r="N196" s="23">
        <v>0</v>
      </c>
      <c r="O196" s="112">
        <f t="shared" si="44"/>
        <v>574872</v>
      </c>
      <c r="P196" s="33">
        <v>0.18</v>
      </c>
      <c r="Q196" s="119">
        <v>0</v>
      </c>
      <c r="R196" s="112">
        <f t="shared" si="55"/>
        <v>51738.48</v>
      </c>
      <c r="S196" s="112">
        <f t="shared" si="56"/>
        <v>51738.48</v>
      </c>
      <c r="T196" s="23">
        <v>0</v>
      </c>
      <c r="U196" s="112">
        <f t="shared" si="53"/>
        <v>678348.96</v>
      </c>
    </row>
    <row r="197" spans="1:21" ht="17.100000000000001" customHeight="1" x14ac:dyDescent="0.25">
      <c r="A197" s="20">
        <f>IF(C197="","",COUNTA($C$4:C197))</f>
        <v>194</v>
      </c>
      <c r="B197" s="20" t="str">
        <f t="shared" si="57"/>
        <v>March</v>
      </c>
      <c r="C197" s="45">
        <v>46090</v>
      </c>
      <c r="D197" s="31" t="s">
        <v>2917</v>
      </c>
      <c r="E197" s="105" t="s">
        <v>2918</v>
      </c>
      <c r="F197" s="26" t="s">
        <v>2919</v>
      </c>
      <c r="G197" s="157" t="s">
        <v>193</v>
      </c>
      <c r="H197" s="106" t="s">
        <v>2921</v>
      </c>
      <c r="J197" s="22">
        <v>3312</v>
      </c>
      <c r="K197" s="22">
        <v>115</v>
      </c>
      <c r="L197" s="23">
        <f t="shared" si="54"/>
        <v>380880</v>
      </c>
      <c r="M197" s="23">
        <v>0</v>
      </c>
      <c r="N197" s="23">
        <v>0</v>
      </c>
      <c r="O197" s="112">
        <f t="shared" si="44"/>
        <v>380880</v>
      </c>
      <c r="P197" s="33">
        <v>0.18</v>
      </c>
      <c r="Q197" s="115">
        <v>0</v>
      </c>
      <c r="R197" s="112">
        <f t="shared" si="55"/>
        <v>34279.199999999997</v>
      </c>
      <c r="S197" s="112">
        <f t="shared" si="56"/>
        <v>34279.199999999997</v>
      </c>
      <c r="T197" s="23">
        <v>0</v>
      </c>
      <c r="U197" s="112">
        <f t="shared" si="53"/>
        <v>449438.4</v>
      </c>
    </row>
    <row r="198" spans="1:21" ht="17.100000000000001" customHeight="1" x14ac:dyDescent="0.25">
      <c r="A198" s="20">
        <f>IF(C198="","",COUNTA($C$4:C198))</f>
        <v>195</v>
      </c>
      <c r="B198" s="20" t="str">
        <f t="shared" si="57"/>
        <v>February</v>
      </c>
      <c r="C198" s="45">
        <v>46078</v>
      </c>
      <c r="D198" s="31" t="s">
        <v>2870</v>
      </c>
      <c r="E198" s="105" t="s">
        <v>2871</v>
      </c>
      <c r="F198" s="26" t="s">
        <v>2813</v>
      </c>
      <c r="G198" s="157" t="s">
        <v>122</v>
      </c>
      <c r="H198" s="106" t="s">
        <v>2874</v>
      </c>
      <c r="I198" s="159" t="s">
        <v>2875</v>
      </c>
      <c r="J198" s="22">
        <v>5995</v>
      </c>
      <c r="K198" s="22">
        <v>77</v>
      </c>
      <c r="L198" s="23">
        <f t="shared" si="54"/>
        <v>461615</v>
      </c>
      <c r="M198" s="23">
        <v>0</v>
      </c>
      <c r="N198" s="23">
        <v>0</v>
      </c>
      <c r="O198" s="112">
        <f t="shared" si="44"/>
        <v>461615</v>
      </c>
      <c r="P198" s="33">
        <v>0.18</v>
      </c>
      <c r="Q198" s="119">
        <v>0</v>
      </c>
      <c r="R198" s="112">
        <f t="shared" si="55"/>
        <v>41545.35</v>
      </c>
      <c r="S198" s="112">
        <f t="shared" si="56"/>
        <v>41545.35</v>
      </c>
      <c r="T198" s="23">
        <v>0</v>
      </c>
      <c r="U198" s="112">
        <f t="shared" si="53"/>
        <v>544705.69999999995</v>
      </c>
    </row>
    <row r="199" spans="1:21" ht="17.100000000000001" customHeight="1" x14ac:dyDescent="0.25">
      <c r="A199" s="20">
        <f>IF(C199="","",COUNTA($C$4:C199))</f>
        <v>196</v>
      </c>
      <c r="B199" s="20" t="str">
        <f t="shared" si="57"/>
        <v>March</v>
      </c>
      <c r="C199" s="45">
        <v>46099</v>
      </c>
      <c r="D199" s="31" t="s">
        <v>2966</v>
      </c>
      <c r="E199" s="105" t="s">
        <v>2967</v>
      </c>
      <c r="F199" s="26" t="s">
        <v>2968</v>
      </c>
      <c r="G199" s="157" t="s">
        <v>122</v>
      </c>
      <c r="H199" s="106" t="s">
        <v>2969</v>
      </c>
      <c r="I199" s="159" t="s">
        <v>276</v>
      </c>
      <c r="J199" s="22">
        <v>6445</v>
      </c>
      <c r="K199" s="22">
        <v>81</v>
      </c>
      <c r="L199" s="23">
        <f t="shared" si="54"/>
        <v>522045</v>
      </c>
      <c r="M199" s="23">
        <v>7500</v>
      </c>
      <c r="N199" s="23">
        <v>0</v>
      </c>
      <c r="O199" s="112">
        <f t="shared" ref="O199:O262" si="58">L199+M199+N199</f>
        <v>529545</v>
      </c>
      <c r="P199" s="33">
        <v>0.18</v>
      </c>
      <c r="Q199" s="119">
        <v>0</v>
      </c>
      <c r="R199" s="112">
        <f t="shared" si="55"/>
        <v>47659.05</v>
      </c>
      <c r="S199" s="112">
        <f t="shared" si="56"/>
        <v>47659.05</v>
      </c>
      <c r="T199" s="23">
        <v>0</v>
      </c>
      <c r="U199" s="112">
        <f t="shared" si="53"/>
        <v>624863.10000000009</v>
      </c>
    </row>
    <row r="200" spans="1:21" ht="17.100000000000001" customHeight="1" x14ac:dyDescent="0.25">
      <c r="A200" s="20">
        <f>IF(C200="","",COUNTA($C$4:C200))</f>
        <v>197</v>
      </c>
      <c r="B200" s="20" t="str">
        <f t="shared" si="57"/>
        <v>March</v>
      </c>
      <c r="C200" s="45">
        <v>46099</v>
      </c>
      <c r="D200" s="31" t="s">
        <v>2966</v>
      </c>
      <c r="E200" s="105" t="s">
        <v>2967</v>
      </c>
      <c r="F200" s="26" t="s">
        <v>2968</v>
      </c>
      <c r="G200" s="157" t="s">
        <v>122</v>
      </c>
      <c r="H200" s="106" t="s">
        <v>2969</v>
      </c>
      <c r="I200" s="159" t="s">
        <v>276</v>
      </c>
      <c r="J200" s="22">
        <v>5835</v>
      </c>
      <c r="K200" s="22">
        <v>81</v>
      </c>
      <c r="L200" s="23">
        <f t="shared" si="54"/>
        <v>472635</v>
      </c>
      <c r="M200" s="23">
        <v>0</v>
      </c>
      <c r="N200" s="23">
        <v>0</v>
      </c>
      <c r="O200" s="112">
        <f t="shared" si="58"/>
        <v>472635</v>
      </c>
      <c r="P200" s="33">
        <v>0.18</v>
      </c>
      <c r="Q200" s="119">
        <v>0</v>
      </c>
      <c r="R200" s="112">
        <f t="shared" si="55"/>
        <v>42537.15</v>
      </c>
      <c r="S200" s="112">
        <f t="shared" si="56"/>
        <v>42537.15</v>
      </c>
      <c r="T200" s="23">
        <v>0</v>
      </c>
      <c r="U200" s="112">
        <f t="shared" si="53"/>
        <v>557709.30000000005</v>
      </c>
    </row>
    <row r="201" spans="1:21" ht="17.100000000000001" customHeight="1" x14ac:dyDescent="0.25">
      <c r="A201" s="20">
        <f>IF(C201="","",COUNTA($C$4:C201))</f>
        <v>198</v>
      </c>
      <c r="B201" s="20" t="str">
        <f t="shared" si="57"/>
        <v>April</v>
      </c>
      <c r="C201" s="29">
        <v>45752</v>
      </c>
      <c r="D201" s="31" t="s">
        <v>82</v>
      </c>
      <c r="E201" s="105" t="s">
        <v>83</v>
      </c>
      <c r="F201" s="26" t="s">
        <v>84</v>
      </c>
      <c r="G201" s="158" t="s">
        <v>64</v>
      </c>
      <c r="H201" s="106" t="s">
        <v>85</v>
      </c>
      <c r="I201" s="159" t="s">
        <v>74</v>
      </c>
      <c r="J201" s="22">
        <v>2.0339999999999998</v>
      </c>
      <c r="K201" s="64">
        <v>315123.89</v>
      </c>
      <c r="L201" s="23">
        <f t="shared" si="54"/>
        <v>640961.99225999997</v>
      </c>
      <c r="M201" s="23">
        <v>4650</v>
      </c>
      <c r="N201" s="23">
        <v>638</v>
      </c>
      <c r="O201" s="112">
        <f t="shared" si="58"/>
        <v>646249.99225999997</v>
      </c>
      <c r="P201" s="33">
        <v>0.18</v>
      </c>
      <c r="Q201" s="115">
        <v>0</v>
      </c>
      <c r="R201" s="112">
        <f t="shared" si="55"/>
        <v>58162.499303399993</v>
      </c>
      <c r="S201" s="112">
        <f t="shared" si="56"/>
        <v>58162.499303399993</v>
      </c>
      <c r="T201" s="23">
        <v>0</v>
      </c>
      <c r="U201" s="112">
        <f t="shared" si="53"/>
        <v>762574.99086680007</v>
      </c>
    </row>
    <row r="202" spans="1:21" ht="17.100000000000001" customHeight="1" x14ac:dyDescent="0.25">
      <c r="A202" s="20">
        <f>IF(C202="","",COUNTA($C$4:C202))</f>
        <v>199</v>
      </c>
      <c r="B202" s="20" t="str">
        <f t="shared" si="57"/>
        <v>July</v>
      </c>
      <c r="C202" s="45">
        <v>45853</v>
      </c>
      <c r="D202" s="31" t="s">
        <v>1009</v>
      </c>
      <c r="E202" s="105" t="s">
        <v>1010</v>
      </c>
      <c r="F202" s="26" t="s">
        <v>1011</v>
      </c>
      <c r="G202" s="157" t="s">
        <v>415</v>
      </c>
      <c r="H202" s="106" t="s">
        <v>207</v>
      </c>
      <c r="K202" s="64"/>
      <c r="L202" s="23">
        <v>60508</v>
      </c>
      <c r="M202" s="23">
        <v>1800</v>
      </c>
      <c r="N202" s="23">
        <v>0</v>
      </c>
      <c r="O202" s="112">
        <f t="shared" si="58"/>
        <v>62308</v>
      </c>
      <c r="P202" s="33">
        <v>0.18</v>
      </c>
      <c r="Q202" s="118">
        <v>0</v>
      </c>
      <c r="R202" s="112">
        <f t="shared" si="55"/>
        <v>5607.72</v>
      </c>
      <c r="S202" s="112">
        <f t="shared" si="56"/>
        <v>5607.72</v>
      </c>
      <c r="T202" s="23">
        <v>0</v>
      </c>
      <c r="U202" s="112">
        <f t="shared" si="53"/>
        <v>73523.44</v>
      </c>
    </row>
    <row r="203" spans="1:21" ht="17.100000000000001" customHeight="1" x14ac:dyDescent="0.25">
      <c r="A203" s="20">
        <f>IF(C203="","",COUNTA($C$4:C203))</f>
        <v>200</v>
      </c>
      <c r="B203" s="20" t="str">
        <f t="shared" si="57"/>
        <v>July</v>
      </c>
      <c r="C203" s="45">
        <v>45854</v>
      </c>
      <c r="D203" s="31" t="s">
        <v>1012</v>
      </c>
      <c r="E203" s="105" t="s">
        <v>1013</v>
      </c>
      <c r="F203" s="26" t="s">
        <v>1014</v>
      </c>
      <c r="G203" s="157" t="s">
        <v>415</v>
      </c>
      <c r="H203" s="106" t="s">
        <v>207</v>
      </c>
      <c r="K203" s="64"/>
      <c r="L203" s="23">
        <v>24500</v>
      </c>
      <c r="M203" s="23">
        <v>0</v>
      </c>
      <c r="N203" s="23">
        <v>0</v>
      </c>
      <c r="O203" s="112">
        <f t="shared" si="58"/>
        <v>24500</v>
      </c>
      <c r="P203" s="33">
        <v>0.18</v>
      </c>
      <c r="Q203" s="118">
        <v>0</v>
      </c>
      <c r="R203" s="112">
        <f t="shared" si="55"/>
        <v>2205</v>
      </c>
      <c r="S203" s="112">
        <f t="shared" si="56"/>
        <v>2205</v>
      </c>
      <c r="T203" s="23">
        <v>0</v>
      </c>
      <c r="U203" s="112">
        <f t="shared" si="53"/>
        <v>28910</v>
      </c>
    </row>
    <row r="204" spans="1:21" ht="17.100000000000001" customHeight="1" x14ac:dyDescent="0.25">
      <c r="A204" s="20">
        <f>IF(C204="","",COUNTA($C$4:C204))</f>
        <v>201</v>
      </c>
      <c r="B204" s="20" t="str">
        <f t="shared" si="57"/>
        <v>July</v>
      </c>
      <c r="C204" s="45">
        <v>45853</v>
      </c>
      <c r="D204" s="31" t="s">
        <v>1015</v>
      </c>
      <c r="E204" s="105" t="s">
        <v>1016</v>
      </c>
      <c r="F204" s="26"/>
      <c r="G204" s="157" t="s">
        <v>1017</v>
      </c>
      <c r="H204" s="106" t="s">
        <v>1018</v>
      </c>
      <c r="J204" s="22">
        <v>570</v>
      </c>
      <c r="K204" s="64">
        <v>54.5</v>
      </c>
      <c r="L204" s="23">
        <f>J204*K204</f>
        <v>31065</v>
      </c>
      <c r="M204" s="23">
        <v>0</v>
      </c>
      <c r="N204" s="23">
        <v>250</v>
      </c>
      <c r="O204" s="112">
        <f t="shared" si="58"/>
        <v>31315</v>
      </c>
      <c r="P204" s="33">
        <v>0.18</v>
      </c>
      <c r="Q204" s="118">
        <v>0</v>
      </c>
      <c r="R204" s="112">
        <f t="shared" si="55"/>
        <v>2818.35</v>
      </c>
      <c r="S204" s="112">
        <f t="shared" si="56"/>
        <v>2818.35</v>
      </c>
      <c r="T204" s="23">
        <v>0</v>
      </c>
      <c r="U204" s="112">
        <f t="shared" si="53"/>
        <v>36951.699999999997</v>
      </c>
    </row>
    <row r="205" spans="1:21" ht="17.100000000000001" customHeight="1" x14ac:dyDescent="0.25">
      <c r="A205" s="20">
        <f>IF(C205="","",COUNTA($C$4:C205))</f>
        <v>202</v>
      </c>
      <c r="B205" s="20" t="str">
        <f t="shared" si="57"/>
        <v>July</v>
      </c>
      <c r="C205" s="45">
        <v>45853</v>
      </c>
      <c r="D205" s="31" t="s">
        <v>1015</v>
      </c>
      <c r="E205" s="105" t="s">
        <v>1016</v>
      </c>
      <c r="F205" s="26"/>
      <c r="G205" s="157" t="s">
        <v>1017</v>
      </c>
      <c r="H205" s="106" t="s">
        <v>1019</v>
      </c>
      <c r="J205" s="22">
        <v>250</v>
      </c>
      <c r="K205" s="64">
        <v>82</v>
      </c>
      <c r="L205" s="23">
        <f>J205*K205</f>
        <v>20500</v>
      </c>
      <c r="M205" s="23">
        <v>0</v>
      </c>
      <c r="N205" s="23">
        <v>0</v>
      </c>
      <c r="O205" s="112">
        <f t="shared" si="58"/>
        <v>20500</v>
      </c>
      <c r="P205" s="33">
        <v>0.18</v>
      </c>
      <c r="Q205" s="118">
        <v>0</v>
      </c>
      <c r="R205" s="112">
        <f t="shared" si="55"/>
        <v>1845</v>
      </c>
      <c r="S205" s="112">
        <f t="shared" si="56"/>
        <v>1845</v>
      </c>
      <c r="T205" s="23">
        <v>0</v>
      </c>
      <c r="U205" s="112">
        <f t="shared" si="53"/>
        <v>24190</v>
      </c>
    </row>
    <row r="206" spans="1:21" ht="17.100000000000001" customHeight="1" x14ac:dyDescent="0.25">
      <c r="A206" s="20">
        <f>IF(C206="","",COUNTA($C$4:C206))</f>
        <v>203</v>
      </c>
      <c r="B206" s="20" t="str">
        <f t="shared" si="57"/>
        <v>July</v>
      </c>
      <c r="C206" s="45">
        <v>45853</v>
      </c>
      <c r="D206" s="31" t="s">
        <v>1015</v>
      </c>
      <c r="E206" s="105" t="s">
        <v>1016</v>
      </c>
      <c r="F206" s="26"/>
      <c r="G206" s="157" t="s">
        <v>1017</v>
      </c>
      <c r="H206" s="106" t="s">
        <v>1019</v>
      </c>
      <c r="J206" s="22">
        <v>35</v>
      </c>
      <c r="K206" s="64">
        <v>105</v>
      </c>
      <c r="L206" s="23">
        <f>J206*K206</f>
        <v>3675</v>
      </c>
      <c r="M206" s="23">
        <v>0</v>
      </c>
      <c r="N206" s="23">
        <v>0</v>
      </c>
      <c r="O206" s="112">
        <f t="shared" si="58"/>
        <v>3675</v>
      </c>
      <c r="P206" s="33">
        <v>0.18</v>
      </c>
      <c r="Q206" s="118">
        <v>0</v>
      </c>
      <c r="R206" s="112">
        <f t="shared" si="55"/>
        <v>330.75</v>
      </c>
      <c r="S206" s="112">
        <f t="shared" si="56"/>
        <v>330.75</v>
      </c>
      <c r="T206" s="23">
        <v>0</v>
      </c>
      <c r="U206" s="112">
        <f t="shared" si="53"/>
        <v>4336.5</v>
      </c>
    </row>
    <row r="207" spans="1:21" ht="17.100000000000001" customHeight="1" x14ac:dyDescent="0.25">
      <c r="A207" s="20">
        <f>IF(C207="","",COUNTA($C$4:C207))</f>
        <v>204</v>
      </c>
      <c r="B207" s="20" t="str">
        <f t="shared" si="57"/>
        <v>July</v>
      </c>
      <c r="C207" s="45">
        <v>45855</v>
      </c>
      <c r="D207" s="131" t="s">
        <v>1020</v>
      </c>
      <c r="E207" s="105" t="s">
        <v>1021</v>
      </c>
      <c r="F207" s="26"/>
      <c r="G207" s="157" t="s">
        <v>1022</v>
      </c>
      <c r="H207" s="106" t="s">
        <v>1023</v>
      </c>
      <c r="K207" s="64"/>
      <c r="L207" s="23">
        <v>33500</v>
      </c>
      <c r="M207" s="23">
        <v>0</v>
      </c>
      <c r="N207" s="23">
        <v>0</v>
      </c>
      <c r="O207" s="112">
        <f t="shared" si="58"/>
        <v>33500</v>
      </c>
      <c r="P207" s="33">
        <v>0.18</v>
      </c>
      <c r="Q207" s="118">
        <v>0</v>
      </c>
      <c r="R207" s="112">
        <f t="shared" si="55"/>
        <v>3015</v>
      </c>
      <c r="S207" s="112">
        <f t="shared" si="56"/>
        <v>3015</v>
      </c>
      <c r="T207" s="23">
        <v>0</v>
      </c>
      <c r="U207" s="112">
        <f t="shared" si="53"/>
        <v>39530</v>
      </c>
    </row>
    <row r="208" spans="1:21" ht="17.100000000000001" customHeight="1" x14ac:dyDescent="0.25">
      <c r="A208" s="20">
        <f>IF(C208="","",COUNTA($C$4:C208))</f>
        <v>205</v>
      </c>
      <c r="B208" s="20" t="str">
        <f t="shared" si="57"/>
        <v>July</v>
      </c>
      <c r="C208" s="45">
        <v>45853</v>
      </c>
      <c r="D208" s="31" t="s">
        <v>1006</v>
      </c>
      <c r="E208" s="105" t="s">
        <v>1000</v>
      </c>
      <c r="F208" s="26"/>
      <c r="G208" s="157" t="s">
        <v>1001</v>
      </c>
      <c r="H208" s="106" t="s">
        <v>1002</v>
      </c>
      <c r="J208" s="22">
        <v>1</v>
      </c>
      <c r="K208" s="64">
        <v>4680</v>
      </c>
      <c r="L208" s="23">
        <f t="shared" ref="L208:L226" si="59">J208*K208</f>
        <v>4680</v>
      </c>
      <c r="M208" s="23">
        <v>0</v>
      </c>
      <c r="N208" s="23">
        <v>0</v>
      </c>
      <c r="O208" s="112">
        <f t="shared" si="58"/>
        <v>4680</v>
      </c>
      <c r="P208" s="33">
        <v>0.18</v>
      </c>
      <c r="Q208" s="119">
        <v>0</v>
      </c>
      <c r="R208" s="112">
        <f t="shared" si="55"/>
        <v>421.2</v>
      </c>
      <c r="S208" s="112">
        <f t="shared" si="56"/>
        <v>421.2</v>
      </c>
      <c r="T208" s="23">
        <v>0</v>
      </c>
      <c r="U208" s="112">
        <f t="shared" si="53"/>
        <v>5522.4</v>
      </c>
    </row>
    <row r="209" spans="1:21" ht="17.100000000000001" customHeight="1" x14ac:dyDescent="0.25">
      <c r="A209" s="20">
        <f>IF(C209="","",COUNTA($C$4:C209))</f>
        <v>206</v>
      </c>
      <c r="B209" s="20" t="str">
        <f t="shared" si="57"/>
        <v>July</v>
      </c>
      <c r="C209" s="45">
        <v>45853</v>
      </c>
      <c r="D209" s="31" t="s">
        <v>1006</v>
      </c>
      <c r="E209" s="105" t="s">
        <v>1000</v>
      </c>
      <c r="F209" s="26"/>
      <c r="G209" s="157" t="s">
        <v>1001</v>
      </c>
      <c r="H209" s="106" t="s">
        <v>1003</v>
      </c>
      <c r="J209" s="22">
        <v>1</v>
      </c>
      <c r="K209" s="64">
        <v>6000</v>
      </c>
      <c r="L209" s="23">
        <f t="shared" si="59"/>
        <v>6000</v>
      </c>
      <c r="M209" s="23">
        <v>0</v>
      </c>
      <c r="N209" s="23">
        <v>0</v>
      </c>
      <c r="O209" s="112">
        <f t="shared" si="58"/>
        <v>6000</v>
      </c>
      <c r="P209" s="33">
        <v>0.18</v>
      </c>
      <c r="Q209" s="119">
        <v>0</v>
      </c>
      <c r="R209" s="112">
        <f t="shared" si="55"/>
        <v>540</v>
      </c>
      <c r="S209" s="112">
        <f t="shared" si="56"/>
        <v>540</v>
      </c>
      <c r="T209" s="23">
        <v>0</v>
      </c>
      <c r="U209" s="112">
        <f t="shared" si="53"/>
        <v>7080</v>
      </c>
    </row>
    <row r="210" spans="1:21" ht="17.100000000000001" customHeight="1" x14ac:dyDescent="0.25">
      <c r="A210" s="20">
        <f>IF(C210="","",COUNTA($C$4:C210))</f>
        <v>207</v>
      </c>
      <c r="B210" s="20" t="str">
        <f t="shared" si="57"/>
        <v>July</v>
      </c>
      <c r="C210" s="45">
        <v>45853</v>
      </c>
      <c r="D210" s="31" t="s">
        <v>1006</v>
      </c>
      <c r="E210" s="105" t="s">
        <v>1000</v>
      </c>
      <c r="F210" s="26"/>
      <c r="G210" s="157" t="s">
        <v>1001</v>
      </c>
      <c r="H210" s="106" t="s">
        <v>1004</v>
      </c>
      <c r="J210" s="22">
        <v>1</v>
      </c>
      <c r="K210" s="64">
        <v>7900</v>
      </c>
      <c r="L210" s="23">
        <f t="shared" si="59"/>
        <v>7900</v>
      </c>
      <c r="M210" s="23">
        <v>0</v>
      </c>
      <c r="N210" s="23">
        <v>0</v>
      </c>
      <c r="O210" s="112">
        <f t="shared" si="58"/>
        <v>7900</v>
      </c>
      <c r="P210" s="33">
        <v>0.18</v>
      </c>
      <c r="Q210" s="119">
        <v>0</v>
      </c>
      <c r="R210" s="112">
        <f t="shared" si="55"/>
        <v>711</v>
      </c>
      <c r="S210" s="112">
        <f t="shared" si="56"/>
        <v>711</v>
      </c>
      <c r="T210" s="23">
        <v>0</v>
      </c>
      <c r="U210" s="112">
        <f t="shared" si="53"/>
        <v>9322</v>
      </c>
    </row>
    <row r="211" spans="1:21" ht="17.100000000000001" customHeight="1" x14ac:dyDescent="0.25">
      <c r="A211" s="20">
        <f>IF(C211="","",COUNTA($C$4:C211))</f>
        <v>208</v>
      </c>
      <c r="B211" s="20" t="str">
        <f t="shared" si="57"/>
        <v>July</v>
      </c>
      <c r="C211" s="45">
        <v>45853</v>
      </c>
      <c r="D211" s="31" t="s">
        <v>1006</v>
      </c>
      <c r="E211" s="105" t="s">
        <v>1000</v>
      </c>
      <c r="F211" s="26"/>
      <c r="G211" s="157" t="s">
        <v>1001</v>
      </c>
      <c r="H211" s="106" t="s">
        <v>1005</v>
      </c>
      <c r="J211" s="22">
        <v>1</v>
      </c>
      <c r="K211" s="64">
        <v>12200</v>
      </c>
      <c r="L211" s="23">
        <f t="shared" si="59"/>
        <v>12200</v>
      </c>
      <c r="M211" s="23">
        <v>0</v>
      </c>
      <c r="N211" s="23">
        <v>0</v>
      </c>
      <c r="O211" s="112">
        <f t="shared" si="58"/>
        <v>12200</v>
      </c>
      <c r="P211" s="33">
        <v>0.18</v>
      </c>
      <c r="Q211" s="119">
        <v>0</v>
      </c>
      <c r="R211" s="112">
        <f t="shared" si="55"/>
        <v>1098</v>
      </c>
      <c r="S211" s="112">
        <f t="shared" si="56"/>
        <v>1098</v>
      </c>
      <c r="T211" s="23">
        <v>0</v>
      </c>
      <c r="U211" s="112">
        <f t="shared" si="53"/>
        <v>14396</v>
      </c>
    </row>
    <row r="212" spans="1:21" ht="17.100000000000001" customHeight="1" x14ac:dyDescent="0.25">
      <c r="A212" s="20">
        <f>IF(C212="","",COUNTA($C$4:C212))</f>
        <v>209</v>
      </c>
      <c r="B212" s="20" t="str">
        <f t="shared" si="57"/>
        <v>July</v>
      </c>
      <c r="C212" s="45">
        <v>45855</v>
      </c>
      <c r="D212" s="31" t="s">
        <v>1024</v>
      </c>
      <c r="E212" s="105" t="s">
        <v>1025</v>
      </c>
      <c r="F212" s="26"/>
      <c r="G212" s="157" t="s">
        <v>1026</v>
      </c>
      <c r="H212" s="106" t="s">
        <v>1027</v>
      </c>
      <c r="J212" s="22">
        <v>1</v>
      </c>
      <c r="K212" s="64">
        <v>9745.76</v>
      </c>
      <c r="L212" s="23">
        <f t="shared" si="59"/>
        <v>9745.76</v>
      </c>
      <c r="M212" s="23">
        <v>0</v>
      </c>
      <c r="N212" s="23">
        <v>0</v>
      </c>
      <c r="O212" s="112">
        <f t="shared" si="58"/>
        <v>9745.76</v>
      </c>
      <c r="P212" s="33">
        <v>0.18</v>
      </c>
      <c r="Q212" s="118">
        <v>0</v>
      </c>
      <c r="R212" s="112">
        <f t="shared" si="55"/>
        <v>877.11839999999995</v>
      </c>
      <c r="S212" s="112">
        <f t="shared" si="56"/>
        <v>877.11839999999995</v>
      </c>
      <c r="T212" s="23">
        <v>0</v>
      </c>
      <c r="U212" s="112">
        <f t="shared" si="53"/>
        <v>11499.996799999999</v>
      </c>
    </row>
    <row r="213" spans="1:21" ht="17.100000000000001" customHeight="1" x14ac:dyDescent="0.25">
      <c r="A213" s="20">
        <f>IF(C213="","",COUNTA($C$4:C213))</f>
        <v>210</v>
      </c>
      <c r="B213" s="20" t="str">
        <f t="shared" si="57"/>
        <v>July</v>
      </c>
      <c r="C213" s="45">
        <v>45855</v>
      </c>
      <c r="D213" s="31" t="s">
        <v>1024</v>
      </c>
      <c r="E213" s="105" t="s">
        <v>1025</v>
      </c>
      <c r="F213" s="26"/>
      <c r="G213" s="157" t="s">
        <v>1026</v>
      </c>
      <c r="H213" s="106" t="s">
        <v>1028</v>
      </c>
      <c r="J213" s="22">
        <v>1</v>
      </c>
      <c r="K213" s="64">
        <v>1186.44</v>
      </c>
      <c r="L213" s="23">
        <f t="shared" si="59"/>
        <v>1186.44</v>
      </c>
      <c r="M213" s="23">
        <v>0</v>
      </c>
      <c r="N213" s="23">
        <v>0</v>
      </c>
      <c r="O213" s="112">
        <f t="shared" si="58"/>
        <v>1186.44</v>
      </c>
      <c r="P213" s="33">
        <v>0.18</v>
      </c>
      <c r="Q213" s="118">
        <v>0</v>
      </c>
      <c r="R213" s="112">
        <f t="shared" si="55"/>
        <v>106.77960000000002</v>
      </c>
      <c r="S213" s="112">
        <f t="shared" si="56"/>
        <v>106.77960000000002</v>
      </c>
      <c r="T213" s="23">
        <v>0</v>
      </c>
      <c r="U213" s="112">
        <f t="shared" si="53"/>
        <v>1399.9992000000002</v>
      </c>
    </row>
    <row r="214" spans="1:21" ht="17.100000000000001" customHeight="1" x14ac:dyDescent="0.25">
      <c r="A214" s="20">
        <f>IF(C214="","",COUNTA($C$4:C214))</f>
        <v>211</v>
      </c>
      <c r="B214" s="20" t="str">
        <f t="shared" si="57"/>
        <v>July</v>
      </c>
      <c r="C214" s="45">
        <v>45859</v>
      </c>
      <c r="D214" s="31" t="s">
        <v>885</v>
      </c>
      <c r="E214" s="105" t="s">
        <v>1029</v>
      </c>
      <c r="F214" s="26" t="s">
        <v>1030</v>
      </c>
      <c r="G214" s="157" t="s">
        <v>924</v>
      </c>
      <c r="H214" s="106" t="s">
        <v>1031</v>
      </c>
      <c r="J214" s="22">
        <v>1</v>
      </c>
      <c r="K214" s="64">
        <v>329744.75</v>
      </c>
      <c r="L214" s="23">
        <f t="shared" si="59"/>
        <v>329744.75</v>
      </c>
      <c r="M214" s="23">
        <v>0</v>
      </c>
      <c r="N214" s="23">
        <v>0</v>
      </c>
      <c r="O214" s="112">
        <f t="shared" si="58"/>
        <v>329744.75</v>
      </c>
      <c r="P214" s="33">
        <v>0.18</v>
      </c>
      <c r="Q214" s="118">
        <f>O214*18/100</f>
        <v>59354.055</v>
      </c>
      <c r="R214" s="115">
        <v>0</v>
      </c>
      <c r="S214" s="115">
        <v>0</v>
      </c>
      <c r="T214" s="23">
        <v>0</v>
      </c>
      <c r="U214" s="112">
        <f>O214+Q214</f>
        <v>389098.80499999999</v>
      </c>
    </row>
    <row r="215" spans="1:21" ht="17.100000000000001" customHeight="1" x14ac:dyDescent="0.25">
      <c r="A215" s="20">
        <f>IF(C215="","",COUNTA($C$4:C215))</f>
        <v>212</v>
      </c>
      <c r="B215" s="20" t="str">
        <f t="shared" si="57"/>
        <v>April</v>
      </c>
      <c r="C215" s="29">
        <v>45764</v>
      </c>
      <c r="D215" s="31" t="s">
        <v>169</v>
      </c>
      <c r="E215" s="106" t="s">
        <v>170</v>
      </c>
      <c r="F215" s="26" t="s">
        <v>171</v>
      </c>
      <c r="G215" s="157" t="s">
        <v>64</v>
      </c>
      <c r="H215" s="106" t="s">
        <v>85</v>
      </c>
      <c r="I215" s="159" t="s">
        <v>74</v>
      </c>
      <c r="J215" s="22">
        <v>4.1360999999999999</v>
      </c>
      <c r="K215" s="64">
        <v>315000</v>
      </c>
      <c r="L215" s="23">
        <f t="shared" si="59"/>
        <v>1302871.5</v>
      </c>
      <c r="M215" s="23">
        <v>7500</v>
      </c>
      <c r="N215" s="23">
        <v>2107</v>
      </c>
      <c r="O215" s="112">
        <f t="shared" si="58"/>
        <v>1312478.5</v>
      </c>
      <c r="P215" s="33">
        <v>0.18</v>
      </c>
      <c r="Q215" s="118">
        <v>0</v>
      </c>
      <c r="R215" s="112">
        <f t="shared" ref="R215:R250" si="60">O215*9/100</f>
        <v>118123.065</v>
      </c>
      <c r="S215" s="112">
        <f t="shared" ref="S215:S250" si="61">O215*9/100</f>
        <v>118123.065</v>
      </c>
      <c r="T215" s="23">
        <v>0</v>
      </c>
      <c r="U215" s="112">
        <f t="shared" ref="U215:U226" si="62">O215+R215+S215</f>
        <v>1548724.63</v>
      </c>
    </row>
    <row r="216" spans="1:21" ht="17.100000000000001" customHeight="1" x14ac:dyDescent="0.25">
      <c r="A216" s="20">
        <f>IF(C216="","",COUNTA($C$4:C216))</f>
        <v>213</v>
      </c>
      <c r="B216" s="20" t="str">
        <f t="shared" si="57"/>
        <v>March</v>
      </c>
      <c r="C216" s="45">
        <v>46093</v>
      </c>
      <c r="D216" s="31" t="s">
        <v>2932</v>
      </c>
      <c r="E216" s="105" t="s">
        <v>2933</v>
      </c>
      <c r="F216" s="26" t="s">
        <v>2919</v>
      </c>
      <c r="G216" s="157" t="s">
        <v>193</v>
      </c>
      <c r="H216" s="106" t="s">
        <v>2934</v>
      </c>
      <c r="J216" s="22">
        <v>1400</v>
      </c>
      <c r="K216" s="22">
        <v>890</v>
      </c>
      <c r="L216" s="23">
        <f t="shared" si="59"/>
        <v>1246000</v>
      </c>
      <c r="M216" s="23">
        <v>45000</v>
      </c>
      <c r="N216" s="23">
        <v>0</v>
      </c>
      <c r="O216" s="112">
        <f t="shared" si="58"/>
        <v>1291000</v>
      </c>
      <c r="P216" s="33">
        <v>0.18</v>
      </c>
      <c r="Q216" s="119">
        <v>0</v>
      </c>
      <c r="R216" s="112">
        <f t="shared" si="60"/>
        <v>116190</v>
      </c>
      <c r="S216" s="112">
        <f t="shared" si="61"/>
        <v>116190</v>
      </c>
      <c r="T216" s="23">
        <v>0</v>
      </c>
      <c r="U216" s="112">
        <f t="shared" si="62"/>
        <v>1523380</v>
      </c>
    </row>
    <row r="217" spans="1:21" ht="17.100000000000001" customHeight="1" x14ac:dyDescent="0.25">
      <c r="A217" s="20">
        <f>IF(C217="","",COUNTA($C$4:C217))</f>
        <v>214</v>
      </c>
      <c r="B217" s="20" t="str">
        <f t="shared" si="57"/>
        <v>July</v>
      </c>
      <c r="C217" s="45">
        <v>45860</v>
      </c>
      <c r="D217" s="31" t="s">
        <v>1069</v>
      </c>
      <c r="E217" s="105" t="s">
        <v>1070</v>
      </c>
      <c r="F217" s="26" t="s">
        <v>1071</v>
      </c>
      <c r="G217" s="157" t="s">
        <v>1072</v>
      </c>
      <c r="H217" s="106" t="s">
        <v>1073</v>
      </c>
      <c r="J217" s="22">
        <v>415</v>
      </c>
      <c r="K217" s="64">
        <v>315</v>
      </c>
      <c r="L217" s="23">
        <f t="shared" si="59"/>
        <v>130725</v>
      </c>
      <c r="M217" s="23">
        <v>0</v>
      </c>
      <c r="N217" s="23">
        <v>0</v>
      </c>
      <c r="O217" s="112">
        <f t="shared" si="58"/>
        <v>130725</v>
      </c>
      <c r="P217" s="33">
        <v>0.18</v>
      </c>
      <c r="Q217" s="119">
        <v>0</v>
      </c>
      <c r="R217" s="112">
        <f t="shared" si="60"/>
        <v>11765.25</v>
      </c>
      <c r="S217" s="112">
        <f t="shared" si="61"/>
        <v>11765.25</v>
      </c>
      <c r="T217" s="23">
        <v>0</v>
      </c>
      <c r="U217" s="112">
        <f t="shared" si="62"/>
        <v>154255.5</v>
      </c>
    </row>
    <row r="218" spans="1:21" ht="17.100000000000001" customHeight="1" x14ac:dyDescent="0.25">
      <c r="A218" s="20">
        <f>IF(C218="","",COUNTA($C$4:C218))</f>
        <v>215</v>
      </c>
      <c r="B218" s="20" t="str">
        <f t="shared" si="57"/>
        <v>July</v>
      </c>
      <c r="C218" s="45">
        <v>45861</v>
      </c>
      <c r="D218" s="31" t="s">
        <v>1074</v>
      </c>
      <c r="E218" s="105" t="s">
        <v>1075</v>
      </c>
      <c r="F218" s="26" t="s">
        <v>1076</v>
      </c>
      <c r="G218" s="157" t="s">
        <v>1077</v>
      </c>
      <c r="H218" s="106" t="s">
        <v>1078</v>
      </c>
      <c r="J218" s="22">
        <v>30</v>
      </c>
      <c r="K218" s="64">
        <v>120.36</v>
      </c>
      <c r="L218" s="23">
        <f t="shared" si="59"/>
        <v>3610.8</v>
      </c>
      <c r="M218" s="23">
        <v>0</v>
      </c>
      <c r="N218" s="23">
        <v>0</v>
      </c>
      <c r="O218" s="112">
        <f t="shared" si="58"/>
        <v>3610.8</v>
      </c>
      <c r="P218" s="33">
        <v>0.18</v>
      </c>
      <c r="Q218" s="119">
        <v>0</v>
      </c>
      <c r="R218" s="112">
        <f t="shared" si="60"/>
        <v>324.97199999999998</v>
      </c>
      <c r="S218" s="112">
        <f t="shared" si="61"/>
        <v>324.97199999999998</v>
      </c>
      <c r="T218" s="23">
        <v>0</v>
      </c>
      <c r="U218" s="112">
        <f t="shared" si="62"/>
        <v>4260.7439999999997</v>
      </c>
    </row>
    <row r="219" spans="1:21" ht="17.100000000000001" customHeight="1" x14ac:dyDescent="0.25">
      <c r="A219" s="20">
        <f>IF(C219="","",COUNTA($C$4:C219))</f>
        <v>216</v>
      </c>
      <c r="B219" s="20" t="str">
        <f t="shared" si="57"/>
        <v>July</v>
      </c>
      <c r="C219" s="45">
        <v>45861</v>
      </c>
      <c r="D219" s="31" t="s">
        <v>1074</v>
      </c>
      <c r="E219" s="105" t="s">
        <v>1075</v>
      </c>
      <c r="F219" s="26" t="s">
        <v>1076</v>
      </c>
      <c r="G219" s="157" t="s">
        <v>1077</v>
      </c>
      <c r="H219" s="106" t="s">
        <v>1079</v>
      </c>
      <c r="J219" s="22">
        <v>30</v>
      </c>
      <c r="K219" s="64">
        <v>99.76</v>
      </c>
      <c r="L219" s="23">
        <f t="shared" si="59"/>
        <v>2992.8</v>
      </c>
      <c r="M219" s="23">
        <v>0</v>
      </c>
      <c r="N219" s="23">
        <v>0</v>
      </c>
      <c r="O219" s="112">
        <f t="shared" si="58"/>
        <v>2992.8</v>
      </c>
      <c r="P219" s="33">
        <v>0.18</v>
      </c>
      <c r="Q219" s="119">
        <v>0</v>
      </c>
      <c r="R219" s="112">
        <f t="shared" si="60"/>
        <v>269.35200000000003</v>
      </c>
      <c r="S219" s="112">
        <f t="shared" si="61"/>
        <v>269.35200000000003</v>
      </c>
      <c r="T219" s="23">
        <v>0</v>
      </c>
      <c r="U219" s="112">
        <f t="shared" si="62"/>
        <v>3531.5039999999999</v>
      </c>
    </row>
    <row r="220" spans="1:21" ht="17.100000000000001" customHeight="1" x14ac:dyDescent="0.25">
      <c r="A220" s="20">
        <f>IF(C220="","",COUNTA($C$4:C220))</f>
        <v>217</v>
      </c>
      <c r="B220" s="20" t="str">
        <f t="shared" si="57"/>
        <v>May</v>
      </c>
      <c r="C220" s="45">
        <v>45783</v>
      </c>
      <c r="D220" s="31" t="s">
        <v>402</v>
      </c>
      <c r="E220" s="105" t="s">
        <v>403</v>
      </c>
      <c r="F220" s="26" t="s">
        <v>404</v>
      </c>
      <c r="G220" s="157" t="s">
        <v>64</v>
      </c>
      <c r="H220" s="106" t="s">
        <v>85</v>
      </c>
      <c r="I220" s="159" t="s">
        <v>74</v>
      </c>
      <c r="J220" s="22">
        <v>5.0380000000000003</v>
      </c>
      <c r="K220" s="64">
        <v>315000</v>
      </c>
      <c r="L220" s="23">
        <f t="shared" si="59"/>
        <v>1586970</v>
      </c>
      <c r="M220" s="23">
        <v>8515</v>
      </c>
      <c r="N220" s="23">
        <v>0</v>
      </c>
      <c r="O220" s="112">
        <f t="shared" si="58"/>
        <v>1595485</v>
      </c>
      <c r="P220" s="33">
        <v>0.18</v>
      </c>
      <c r="Q220" s="118">
        <v>0</v>
      </c>
      <c r="R220" s="112">
        <f t="shared" si="60"/>
        <v>143593.65</v>
      </c>
      <c r="S220" s="112">
        <f t="shared" si="61"/>
        <v>143593.65</v>
      </c>
      <c r="T220" s="23">
        <v>0</v>
      </c>
      <c r="U220" s="112">
        <f t="shared" si="62"/>
        <v>1882672.2999999998</v>
      </c>
    </row>
    <row r="221" spans="1:21" ht="17.100000000000001" customHeight="1" x14ac:dyDescent="0.25">
      <c r="A221" s="20">
        <f>IF(C221="","",COUNTA($C$4:C221))</f>
        <v>218</v>
      </c>
      <c r="B221" s="20" t="str">
        <f t="shared" si="57"/>
        <v>May</v>
      </c>
      <c r="C221" s="45">
        <v>45783</v>
      </c>
      <c r="D221" s="31" t="s">
        <v>402</v>
      </c>
      <c r="E221" s="105" t="s">
        <v>403</v>
      </c>
      <c r="F221" s="26" t="s">
        <v>404</v>
      </c>
      <c r="G221" s="157" t="s">
        <v>64</v>
      </c>
      <c r="H221" s="106" t="s">
        <v>405</v>
      </c>
      <c r="I221" s="159" t="s">
        <v>406</v>
      </c>
      <c r="J221" s="22">
        <v>1.2869999999999999</v>
      </c>
      <c r="K221" s="64">
        <v>315000</v>
      </c>
      <c r="L221" s="23">
        <f t="shared" si="59"/>
        <v>405405</v>
      </c>
      <c r="M221" s="23">
        <v>0</v>
      </c>
      <c r="N221" s="23">
        <v>0</v>
      </c>
      <c r="O221" s="112">
        <f t="shared" si="58"/>
        <v>405405</v>
      </c>
      <c r="P221" s="33">
        <v>0.18</v>
      </c>
      <c r="Q221" s="118">
        <v>0</v>
      </c>
      <c r="R221" s="112">
        <f t="shared" si="60"/>
        <v>36486.449999999997</v>
      </c>
      <c r="S221" s="112">
        <f t="shared" si="61"/>
        <v>36486.449999999997</v>
      </c>
      <c r="T221" s="23">
        <v>0</v>
      </c>
      <c r="U221" s="112">
        <f t="shared" si="62"/>
        <v>478377.9</v>
      </c>
    </row>
    <row r="222" spans="1:21" ht="17.100000000000001" customHeight="1" x14ac:dyDescent="0.25">
      <c r="A222" s="20">
        <f>IF(C222="","",COUNTA($C$4:C222))</f>
        <v>219</v>
      </c>
      <c r="B222" s="20" t="str">
        <f t="shared" si="57"/>
        <v>December</v>
      </c>
      <c r="C222" s="45">
        <v>46015</v>
      </c>
      <c r="D222" s="131" t="s">
        <v>2402</v>
      </c>
      <c r="E222" s="105" t="s">
        <v>2403</v>
      </c>
      <c r="F222" s="26" t="s">
        <v>2404</v>
      </c>
      <c r="G222" s="157" t="s">
        <v>64</v>
      </c>
      <c r="H222" s="106" t="s">
        <v>2405</v>
      </c>
      <c r="I222" s="159" t="s">
        <v>2413</v>
      </c>
      <c r="J222" s="22">
        <v>5.08</v>
      </c>
      <c r="K222" s="22">
        <v>345000</v>
      </c>
      <c r="L222" s="23">
        <f t="shared" si="59"/>
        <v>1752600</v>
      </c>
      <c r="M222" s="23">
        <v>8502</v>
      </c>
      <c r="N222" s="23">
        <v>0</v>
      </c>
      <c r="O222" s="112">
        <f t="shared" si="58"/>
        <v>1761102</v>
      </c>
      <c r="P222" s="33">
        <v>0.18</v>
      </c>
      <c r="Q222" s="119">
        <v>0</v>
      </c>
      <c r="R222" s="112">
        <f t="shared" si="60"/>
        <v>158499.18</v>
      </c>
      <c r="S222" s="112">
        <f t="shared" si="61"/>
        <v>158499.18</v>
      </c>
      <c r="T222" s="23">
        <v>0</v>
      </c>
      <c r="U222" s="112">
        <f t="shared" si="62"/>
        <v>2078100.3599999999</v>
      </c>
    </row>
    <row r="223" spans="1:21" ht="17.100000000000001" customHeight="1" x14ac:dyDescent="0.25">
      <c r="A223" s="20">
        <f>IF(C223="","",COUNTA($C$4:C223))</f>
        <v>220</v>
      </c>
      <c r="B223" s="20" t="str">
        <f t="shared" si="57"/>
        <v>February</v>
      </c>
      <c r="C223" s="45">
        <v>46064</v>
      </c>
      <c r="D223" s="31" t="s">
        <v>2821</v>
      </c>
      <c r="E223" s="105" t="s">
        <v>2822</v>
      </c>
      <c r="F223" s="26" t="s">
        <v>2823</v>
      </c>
      <c r="G223" s="157" t="s">
        <v>64</v>
      </c>
      <c r="H223" s="106" t="s">
        <v>2824</v>
      </c>
      <c r="I223" s="159" t="s">
        <v>2413</v>
      </c>
      <c r="J223" s="22">
        <v>5065.2</v>
      </c>
      <c r="K223" s="22">
        <v>370</v>
      </c>
      <c r="L223" s="23">
        <f t="shared" si="59"/>
        <v>1874124</v>
      </c>
      <c r="M223" s="23">
        <v>8503</v>
      </c>
      <c r="N223" s="23">
        <v>0</v>
      </c>
      <c r="O223" s="112">
        <f t="shared" si="58"/>
        <v>1882627</v>
      </c>
      <c r="P223" s="33">
        <v>0.18</v>
      </c>
      <c r="Q223" s="119">
        <v>0</v>
      </c>
      <c r="R223" s="112">
        <f t="shared" si="60"/>
        <v>169436.43</v>
      </c>
      <c r="S223" s="112">
        <f t="shared" si="61"/>
        <v>169436.43</v>
      </c>
      <c r="T223" s="23">
        <v>0</v>
      </c>
      <c r="U223" s="112">
        <f t="shared" si="62"/>
        <v>2221499.86</v>
      </c>
    </row>
    <row r="224" spans="1:21" ht="17.100000000000001" customHeight="1" x14ac:dyDescent="0.25">
      <c r="A224" s="20">
        <f>IF(C224="","",COUNTA($C$4:C224))</f>
        <v>221</v>
      </c>
      <c r="B224" s="20" t="str">
        <f t="shared" si="57"/>
        <v>July</v>
      </c>
      <c r="C224" s="45">
        <v>45862</v>
      </c>
      <c r="D224" s="31" t="s">
        <v>1092</v>
      </c>
      <c r="E224" s="105" t="s">
        <v>1093</v>
      </c>
      <c r="F224" s="26" t="s">
        <v>1094</v>
      </c>
      <c r="G224" s="157" t="s">
        <v>260</v>
      </c>
      <c r="H224" s="105" t="s">
        <v>517</v>
      </c>
      <c r="I224" s="161"/>
      <c r="J224" s="22">
        <v>12500</v>
      </c>
      <c r="K224" s="22">
        <v>3.1</v>
      </c>
      <c r="L224" s="23">
        <f t="shared" si="59"/>
        <v>38750</v>
      </c>
      <c r="M224" s="23">
        <v>0</v>
      </c>
      <c r="N224" s="23">
        <v>0</v>
      </c>
      <c r="O224" s="112">
        <f t="shared" si="58"/>
        <v>38750</v>
      </c>
      <c r="P224" s="33">
        <v>0.18</v>
      </c>
      <c r="Q224" s="115"/>
      <c r="R224" s="112">
        <f t="shared" si="60"/>
        <v>3487.5</v>
      </c>
      <c r="S224" s="112">
        <f t="shared" si="61"/>
        <v>3487.5</v>
      </c>
      <c r="T224" s="23">
        <v>0</v>
      </c>
      <c r="U224" s="112">
        <f t="shared" si="62"/>
        <v>45725</v>
      </c>
    </row>
    <row r="225" spans="1:21" ht="17.100000000000001" customHeight="1" x14ac:dyDescent="0.25">
      <c r="A225" s="20">
        <f>IF(C226="","",COUNTA($C$4:C226))</f>
        <v>223</v>
      </c>
      <c r="B225" s="20" t="str">
        <f>IF(C226="","",TEXT(C226,"mmmm"))</f>
        <v>July</v>
      </c>
      <c r="C225" s="45">
        <v>45862</v>
      </c>
      <c r="D225" s="31" t="s">
        <v>1092</v>
      </c>
      <c r="E225" s="105" t="s">
        <v>1093</v>
      </c>
      <c r="F225" s="26" t="s">
        <v>1094</v>
      </c>
      <c r="G225" s="157" t="s">
        <v>260</v>
      </c>
      <c r="H225" s="105" t="s">
        <v>1095</v>
      </c>
      <c r="J225" s="22">
        <v>8575</v>
      </c>
      <c r="K225" s="22">
        <v>3.3</v>
      </c>
      <c r="L225" s="23">
        <f t="shared" si="59"/>
        <v>28297.5</v>
      </c>
      <c r="M225" s="23">
        <v>0</v>
      </c>
      <c r="N225" s="23">
        <v>0</v>
      </c>
      <c r="O225" s="112">
        <f t="shared" si="58"/>
        <v>28297.5</v>
      </c>
      <c r="P225" s="33">
        <v>0.18</v>
      </c>
      <c r="Q225" s="115"/>
      <c r="R225" s="112">
        <f t="shared" si="60"/>
        <v>2546.7750000000001</v>
      </c>
      <c r="S225" s="112">
        <f t="shared" si="61"/>
        <v>2546.7750000000001</v>
      </c>
      <c r="T225" s="23">
        <v>0</v>
      </c>
      <c r="U225" s="112">
        <f t="shared" si="62"/>
        <v>33391.050000000003</v>
      </c>
    </row>
    <row r="226" spans="1:21" ht="17.100000000000001" customHeight="1" x14ac:dyDescent="0.25">
      <c r="A226" s="20">
        <f>IF(C227="","",COUNTA($C$4:C227))</f>
        <v>224</v>
      </c>
      <c r="B226" s="20" t="str">
        <f>IF(C227="","",TEXT(C227,"mmmm"))</f>
        <v>July</v>
      </c>
      <c r="C226" s="45">
        <v>45866</v>
      </c>
      <c r="D226" s="31" t="s">
        <v>1096</v>
      </c>
      <c r="E226" s="105" t="s">
        <v>1097</v>
      </c>
      <c r="F226" s="26" t="s">
        <v>619</v>
      </c>
      <c r="G226" s="157" t="s">
        <v>746</v>
      </c>
      <c r="H226" s="106" t="s">
        <v>1098</v>
      </c>
      <c r="J226" s="22">
        <v>672</v>
      </c>
      <c r="K226" s="22">
        <v>143</v>
      </c>
      <c r="L226" s="23">
        <f t="shared" si="59"/>
        <v>96096</v>
      </c>
      <c r="M226" s="23">
        <v>16700</v>
      </c>
      <c r="N226" s="23">
        <v>0</v>
      </c>
      <c r="O226" s="112">
        <f t="shared" si="58"/>
        <v>112796</v>
      </c>
      <c r="P226" s="33">
        <v>0.18</v>
      </c>
      <c r="Q226" s="115">
        <v>0</v>
      </c>
      <c r="R226" s="112">
        <f t="shared" si="60"/>
        <v>10151.64</v>
      </c>
      <c r="S226" s="112">
        <f t="shared" si="61"/>
        <v>10151.64</v>
      </c>
      <c r="T226" s="23">
        <v>0</v>
      </c>
      <c r="U226" s="112">
        <f t="shared" si="62"/>
        <v>133099.28</v>
      </c>
    </row>
    <row r="227" spans="1:21" ht="17.100000000000001" customHeight="1" x14ac:dyDescent="0.25">
      <c r="A227" s="20">
        <f>IF(C227="","",COUNTA($C$4:C227))</f>
        <v>224</v>
      </c>
      <c r="B227" s="20" t="str">
        <f t="shared" ref="B227:B290" si="63">IF(C227="","",TEXT(C227,"mmmm"))</f>
        <v>July</v>
      </c>
      <c r="C227" s="45">
        <v>45866</v>
      </c>
      <c r="D227" s="31" t="s">
        <v>1099</v>
      </c>
      <c r="E227" s="105" t="s">
        <v>1100</v>
      </c>
      <c r="F227" s="26" t="s">
        <v>1101</v>
      </c>
      <c r="G227" s="157" t="s">
        <v>836</v>
      </c>
      <c r="H227" s="106" t="s">
        <v>1102</v>
      </c>
      <c r="L227" s="23">
        <v>162826.5</v>
      </c>
      <c r="M227" s="23">
        <v>4200</v>
      </c>
      <c r="N227" s="23">
        <v>0</v>
      </c>
      <c r="O227" s="112">
        <f t="shared" si="58"/>
        <v>167026.5</v>
      </c>
      <c r="P227" s="33">
        <v>0.18</v>
      </c>
      <c r="Q227" s="115">
        <v>0</v>
      </c>
      <c r="R227" s="112">
        <f t="shared" si="60"/>
        <v>15032.385</v>
      </c>
      <c r="S227" s="112">
        <f t="shared" si="61"/>
        <v>15032.385</v>
      </c>
      <c r="T227" s="23">
        <v>0</v>
      </c>
      <c r="U227" s="112">
        <f>O227+R227+S227-393</f>
        <v>196698.27000000002</v>
      </c>
    </row>
    <row r="228" spans="1:21" ht="17.100000000000001" customHeight="1" x14ac:dyDescent="0.25">
      <c r="A228" s="20">
        <f>IF(C228="","",COUNTA($C$4:C228))</f>
        <v>225</v>
      </c>
      <c r="B228" s="20" t="str">
        <f t="shared" si="63"/>
        <v>February</v>
      </c>
      <c r="C228" s="45">
        <v>46076</v>
      </c>
      <c r="D228" s="31" t="s">
        <v>2858</v>
      </c>
      <c r="E228" s="105" t="s">
        <v>2859</v>
      </c>
      <c r="F228" s="26" t="s">
        <v>2860</v>
      </c>
      <c r="G228" s="157" t="s">
        <v>64</v>
      </c>
      <c r="H228" s="105" t="s">
        <v>2861</v>
      </c>
      <c r="I228" s="159" t="s">
        <v>266</v>
      </c>
      <c r="J228" s="22">
        <v>10700</v>
      </c>
      <c r="K228" s="22">
        <v>78.999719999999996</v>
      </c>
      <c r="L228" s="23">
        <f>J228*K228</f>
        <v>845297.00399999996</v>
      </c>
      <c r="M228" s="23">
        <v>0</v>
      </c>
      <c r="N228" s="23">
        <v>0</v>
      </c>
      <c r="O228" s="112">
        <f t="shared" si="58"/>
        <v>845297.00399999996</v>
      </c>
      <c r="P228" s="33">
        <v>0.18</v>
      </c>
      <c r="Q228" s="119">
        <v>0</v>
      </c>
      <c r="R228" s="112">
        <f t="shared" si="60"/>
        <v>76076.730359999987</v>
      </c>
      <c r="S228" s="112">
        <f t="shared" si="61"/>
        <v>76076.730359999987</v>
      </c>
      <c r="T228" s="23">
        <v>0</v>
      </c>
      <c r="U228" s="112">
        <f t="shared" ref="U228:U250" si="64">O228+R228+S228</f>
        <v>997450.46471999981</v>
      </c>
    </row>
    <row r="229" spans="1:21" ht="17.100000000000001" customHeight="1" x14ac:dyDescent="0.25">
      <c r="A229" s="20">
        <f>IF(C229="","",COUNTA($C$4:C229))</f>
        <v>226</v>
      </c>
      <c r="B229" s="20" t="str">
        <f t="shared" si="63"/>
        <v>February</v>
      </c>
      <c r="C229" s="45">
        <v>46064</v>
      </c>
      <c r="D229" s="31" t="s">
        <v>2816</v>
      </c>
      <c r="E229" s="105" t="s">
        <v>2817</v>
      </c>
      <c r="F229" s="26" t="s">
        <v>2818</v>
      </c>
      <c r="G229" s="157" t="s">
        <v>2819</v>
      </c>
      <c r="H229" s="106" t="s">
        <v>2820</v>
      </c>
      <c r="I229" s="159" t="s">
        <v>2413</v>
      </c>
      <c r="J229" s="22">
        <v>5166.8999999999996</v>
      </c>
      <c r="K229" s="22">
        <v>370</v>
      </c>
      <c r="L229" s="23">
        <f>J229*K229</f>
        <v>1911752.9999999998</v>
      </c>
      <c r="M229" s="23">
        <v>9500</v>
      </c>
      <c r="N229" s="23">
        <v>0</v>
      </c>
      <c r="O229" s="112">
        <f t="shared" si="58"/>
        <v>1921252.9999999998</v>
      </c>
      <c r="P229" s="33">
        <v>0.18</v>
      </c>
      <c r="Q229" s="119">
        <v>0</v>
      </c>
      <c r="R229" s="112">
        <f t="shared" si="60"/>
        <v>172912.76999999996</v>
      </c>
      <c r="S229" s="112">
        <f t="shared" si="61"/>
        <v>172912.76999999996</v>
      </c>
      <c r="T229" s="23">
        <v>0</v>
      </c>
      <c r="U229" s="112">
        <f t="shared" si="64"/>
        <v>2267078.5399999996</v>
      </c>
    </row>
    <row r="230" spans="1:21" ht="17.100000000000001" customHeight="1" x14ac:dyDescent="0.25">
      <c r="A230" s="20">
        <f>IF(C230="","",COUNTA($C$4:C230))</f>
        <v>227</v>
      </c>
      <c r="B230" s="20" t="str">
        <f t="shared" si="63"/>
        <v>July</v>
      </c>
      <c r="C230" s="45">
        <v>45864</v>
      </c>
      <c r="D230" s="31" t="s">
        <v>1135</v>
      </c>
      <c r="E230" s="105" t="s">
        <v>1136</v>
      </c>
      <c r="F230" s="26" t="s">
        <v>903</v>
      </c>
      <c r="G230" s="157" t="s">
        <v>260</v>
      </c>
      <c r="H230" s="106" t="s">
        <v>1137</v>
      </c>
      <c r="L230" s="23">
        <v>64585.5</v>
      </c>
      <c r="M230" s="23">
        <v>0</v>
      </c>
      <c r="N230" s="23">
        <v>0</v>
      </c>
      <c r="O230" s="112">
        <f t="shared" si="58"/>
        <v>64585.5</v>
      </c>
      <c r="P230" s="33">
        <v>0.18</v>
      </c>
      <c r="Q230" s="115">
        <v>0</v>
      </c>
      <c r="R230" s="112">
        <f t="shared" si="60"/>
        <v>5812.6949999999997</v>
      </c>
      <c r="S230" s="112">
        <f t="shared" si="61"/>
        <v>5812.6949999999997</v>
      </c>
      <c r="T230" s="23">
        <v>0</v>
      </c>
      <c r="U230" s="112">
        <f t="shared" si="64"/>
        <v>76210.890000000014</v>
      </c>
    </row>
    <row r="231" spans="1:21" ht="17.100000000000001" customHeight="1" x14ac:dyDescent="0.25">
      <c r="A231" s="20">
        <f>IF(C231="","",COUNTA($C$4:C231))</f>
        <v>228</v>
      </c>
      <c r="B231" s="20" t="str">
        <f t="shared" si="63"/>
        <v>July</v>
      </c>
      <c r="C231" s="45">
        <v>45867</v>
      </c>
      <c r="D231" s="31" t="s">
        <v>1138</v>
      </c>
      <c r="E231" s="105" t="s">
        <v>1139</v>
      </c>
      <c r="F231" s="26"/>
      <c r="G231" s="157" t="s">
        <v>1140</v>
      </c>
      <c r="H231" s="106" t="s">
        <v>1141</v>
      </c>
      <c r="J231" s="22">
        <v>1</v>
      </c>
      <c r="K231" s="22">
        <v>58000</v>
      </c>
      <c r="L231" s="23">
        <f>J231*K231</f>
        <v>58000</v>
      </c>
      <c r="M231" s="23">
        <v>0</v>
      </c>
      <c r="N231" s="23">
        <v>0</v>
      </c>
      <c r="O231" s="112">
        <f t="shared" si="58"/>
        <v>58000</v>
      </c>
      <c r="P231" s="33">
        <v>0.18</v>
      </c>
      <c r="Q231" s="115">
        <v>0</v>
      </c>
      <c r="R231" s="112">
        <f t="shared" si="60"/>
        <v>5220</v>
      </c>
      <c r="S231" s="112">
        <f t="shared" si="61"/>
        <v>5220</v>
      </c>
      <c r="T231" s="23">
        <v>0</v>
      </c>
      <c r="U231" s="112">
        <f t="shared" si="64"/>
        <v>68440</v>
      </c>
    </row>
    <row r="232" spans="1:21" ht="17.100000000000001" customHeight="1" x14ac:dyDescent="0.25">
      <c r="A232" s="20">
        <f>IF(C232="","",COUNTA($C$4:C232))</f>
        <v>229</v>
      </c>
      <c r="B232" s="20" t="str">
        <f t="shared" si="63"/>
        <v>February</v>
      </c>
      <c r="C232" s="45">
        <v>46078</v>
      </c>
      <c r="D232" s="31" t="s">
        <v>2876</v>
      </c>
      <c r="E232" s="105" t="s">
        <v>2877</v>
      </c>
      <c r="F232" s="26" t="s">
        <v>2818</v>
      </c>
      <c r="G232" s="157" t="s">
        <v>2819</v>
      </c>
      <c r="H232" s="106" t="s">
        <v>2878</v>
      </c>
      <c r="I232" s="159" t="s">
        <v>2413</v>
      </c>
      <c r="J232" s="22">
        <v>3911</v>
      </c>
      <c r="K232" s="22">
        <v>370</v>
      </c>
      <c r="L232" s="23">
        <f>J232*K232</f>
        <v>1447070</v>
      </c>
      <c r="M232" s="23">
        <v>0</v>
      </c>
      <c r="N232" s="23">
        <v>0</v>
      </c>
      <c r="O232" s="112">
        <f t="shared" si="58"/>
        <v>1447070</v>
      </c>
      <c r="P232" s="33">
        <v>0.18</v>
      </c>
      <c r="Q232" s="119">
        <v>0</v>
      </c>
      <c r="R232" s="112">
        <f t="shared" si="60"/>
        <v>130236.3</v>
      </c>
      <c r="S232" s="112">
        <f t="shared" si="61"/>
        <v>130236.3</v>
      </c>
      <c r="T232" s="23">
        <v>0</v>
      </c>
      <c r="U232" s="112">
        <f t="shared" si="64"/>
        <v>1707542.6</v>
      </c>
    </row>
    <row r="233" spans="1:21" ht="17.100000000000001" customHeight="1" x14ac:dyDescent="0.25">
      <c r="A233" s="20">
        <f>IF(C233="","",COUNTA($C$4:C233))</f>
        <v>230</v>
      </c>
      <c r="B233" s="20" t="str">
        <f t="shared" si="63"/>
        <v>July</v>
      </c>
      <c r="C233" s="45">
        <v>45868</v>
      </c>
      <c r="D233" s="31" t="s">
        <v>1146</v>
      </c>
      <c r="E233" s="105" t="s">
        <v>1147</v>
      </c>
      <c r="F233" s="26">
        <v>67</v>
      </c>
      <c r="G233" s="157" t="s">
        <v>1148</v>
      </c>
      <c r="H233" s="106" t="s">
        <v>3132</v>
      </c>
      <c r="L233" s="23">
        <v>80900</v>
      </c>
      <c r="M233" s="23">
        <v>0</v>
      </c>
      <c r="N233" s="23">
        <v>0</v>
      </c>
      <c r="O233" s="112">
        <f t="shared" si="58"/>
        <v>80900</v>
      </c>
      <c r="P233" s="33">
        <v>0.18</v>
      </c>
      <c r="Q233" s="115">
        <v>0</v>
      </c>
      <c r="R233" s="112">
        <f t="shared" si="60"/>
        <v>7281</v>
      </c>
      <c r="S233" s="112">
        <f t="shared" si="61"/>
        <v>7281</v>
      </c>
      <c r="T233" s="23">
        <v>0</v>
      </c>
      <c r="U233" s="112">
        <f t="shared" si="64"/>
        <v>95462</v>
      </c>
    </row>
    <row r="234" spans="1:21" ht="17.100000000000001" customHeight="1" x14ac:dyDescent="0.25">
      <c r="A234" s="20">
        <f>IF(C234="","",COUNTA($C$4:C234))</f>
        <v>231</v>
      </c>
      <c r="B234" s="20" t="str">
        <f t="shared" si="63"/>
        <v>July</v>
      </c>
      <c r="C234" s="45">
        <v>45868</v>
      </c>
      <c r="D234" s="31" t="s">
        <v>1149</v>
      </c>
      <c r="E234" s="105" t="s">
        <v>1150</v>
      </c>
      <c r="F234" s="26">
        <v>73</v>
      </c>
      <c r="G234" s="157" t="s">
        <v>525</v>
      </c>
      <c r="H234" s="106" t="s">
        <v>526</v>
      </c>
      <c r="J234" s="22">
        <v>502.42</v>
      </c>
      <c r="K234" s="22">
        <v>319.75</v>
      </c>
      <c r="L234" s="23">
        <f t="shared" ref="L234:L240" si="65">J234*K234</f>
        <v>160648.79500000001</v>
      </c>
      <c r="M234" s="23">
        <v>0</v>
      </c>
      <c r="N234" s="23">
        <v>0</v>
      </c>
      <c r="O234" s="112">
        <f t="shared" si="58"/>
        <v>160648.79500000001</v>
      </c>
      <c r="P234" s="33">
        <v>0.18</v>
      </c>
      <c r="Q234" s="115">
        <v>0</v>
      </c>
      <c r="R234" s="112">
        <f t="shared" si="60"/>
        <v>14458.39155</v>
      </c>
      <c r="S234" s="112">
        <f t="shared" si="61"/>
        <v>14458.39155</v>
      </c>
      <c r="T234" s="23">
        <v>0</v>
      </c>
      <c r="U234" s="112">
        <f t="shared" si="64"/>
        <v>189565.57810000001</v>
      </c>
    </row>
    <row r="235" spans="1:21" ht="17.100000000000001" customHeight="1" x14ac:dyDescent="0.25">
      <c r="A235" s="20">
        <f>IF(C235="","",COUNTA($C$4:C235))</f>
        <v>232</v>
      </c>
      <c r="B235" s="20" t="str">
        <f t="shared" si="63"/>
        <v>March</v>
      </c>
      <c r="C235" s="45">
        <v>46107</v>
      </c>
      <c r="D235" s="31" t="s">
        <v>3067</v>
      </c>
      <c r="E235" s="105" t="s">
        <v>3068</v>
      </c>
      <c r="F235" s="26" t="s">
        <v>2818</v>
      </c>
      <c r="G235" s="157" t="s">
        <v>2819</v>
      </c>
      <c r="H235" s="106" t="s">
        <v>3069</v>
      </c>
      <c r="I235" s="159" t="s">
        <v>2413</v>
      </c>
      <c r="J235" s="22">
        <v>1291</v>
      </c>
      <c r="K235" s="22">
        <v>370</v>
      </c>
      <c r="L235" s="23">
        <f t="shared" si="65"/>
        <v>477670</v>
      </c>
      <c r="M235" s="23">
        <v>3500</v>
      </c>
      <c r="N235" s="23">
        <v>0</v>
      </c>
      <c r="O235" s="112">
        <f t="shared" si="58"/>
        <v>481170</v>
      </c>
      <c r="P235" s="33">
        <v>0.18</v>
      </c>
      <c r="Q235" s="115">
        <v>0</v>
      </c>
      <c r="R235" s="112">
        <f t="shared" si="60"/>
        <v>43305.3</v>
      </c>
      <c r="S235" s="112">
        <f t="shared" si="61"/>
        <v>43305.3</v>
      </c>
      <c r="T235" s="23">
        <v>0</v>
      </c>
      <c r="U235" s="112">
        <f t="shared" si="64"/>
        <v>567780.60000000009</v>
      </c>
    </row>
    <row r="236" spans="1:21" ht="17.100000000000001" customHeight="1" x14ac:dyDescent="0.25">
      <c r="A236" s="20">
        <f>IF(C236="","",COUNTA($C$4:C236))</f>
        <v>233</v>
      </c>
      <c r="B236" s="20" t="str">
        <f t="shared" si="63"/>
        <v>May</v>
      </c>
      <c r="C236" s="45">
        <v>45793</v>
      </c>
      <c r="D236" s="31" t="s">
        <v>499</v>
      </c>
      <c r="E236" s="105" t="s">
        <v>500</v>
      </c>
      <c r="F236" s="26" t="s">
        <v>501</v>
      </c>
      <c r="G236" s="157" t="s">
        <v>502</v>
      </c>
      <c r="H236" s="106" t="s">
        <v>503</v>
      </c>
      <c r="I236" s="159" t="s">
        <v>160</v>
      </c>
      <c r="J236" s="22">
        <v>5530</v>
      </c>
      <c r="K236" s="64">
        <v>71.25</v>
      </c>
      <c r="L236" s="23">
        <f t="shared" si="65"/>
        <v>394012.5</v>
      </c>
      <c r="M236" s="23">
        <v>6700</v>
      </c>
      <c r="N236" s="23">
        <v>150</v>
      </c>
      <c r="O236" s="112">
        <f t="shared" si="58"/>
        <v>400862.5</v>
      </c>
      <c r="P236" s="33">
        <v>0.18</v>
      </c>
      <c r="Q236" s="118">
        <v>0</v>
      </c>
      <c r="R236" s="112">
        <f t="shared" si="60"/>
        <v>36077.625</v>
      </c>
      <c r="S236" s="112">
        <f t="shared" si="61"/>
        <v>36077.625</v>
      </c>
      <c r="T236" s="23">
        <v>0</v>
      </c>
      <c r="U236" s="112">
        <f t="shared" si="64"/>
        <v>473017.75</v>
      </c>
    </row>
    <row r="237" spans="1:21" ht="17.100000000000001" customHeight="1" x14ac:dyDescent="0.25">
      <c r="A237" s="20">
        <f>IF(C237="","",COUNTA($C$4:C237))</f>
        <v>234</v>
      </c>
      <c r="B237" s="20" t="str">
        <f t="shared" si="63"/>
        <v>March</v>
      </c>
      <c r="C237" s="45">
        <v>46093</v>
      </c>
      <c r="D237" s="31" t="s">
        <v>2935</v>
      </c>
      <c r="E237" s="105" t="s">
        <v>2936</v>
      </c>
      <c r="F237" s="26" t="s">
        <v>2919</v>
      </c>
      <c r="G237" s="157" t="s">
        <v>193</v>
      </c>
      <c r="H237" s="106" t="s">
        <v>2937</v>
      </c>
      <c r="J237" s="22">
        <v>960</v>
      </c>
      <c r="K237" s="22">
        <v>115</v>
      </c>
      <c r="L237" s="23">
        <f t="shared" si="65"/>
        <v>110400</v>
      </c>
      <c r="M237" s="23">
        <v>22787</v>
      </c>
      <c r="N237" s="23">
        <v>0</v>
      </c>
      <c r="O237" s="112">
        <f t="shared" si="58"/>
        <v>133187</v>
      </c>
      <c r="P237" s="33">
        <v>0.18</v>
      </c>
      <c r="Q237" s="115">
        <v>0</v>
      </c>
      <c r="R237" s="112">
        <f t="shared" si="60"/>
        <v>11986.83</v>
      </c>
      <c r="S237" s="112">
        <f t="shared" si="61"/>
        <v>11986.83</v>
      </c>
      <c r="T237" s="23">
        <v>0</v>
      </c>
      <c r="U237" s="112">
        <f t="shared" si="64"/>
        <v>157160.65999999997</v>
      </c>
    </row>
    <row r="238" spans="1:21" ht="17.100000000000001" customHeight="1" x14ac:dyDescent="0.25">
      <c r="A238" s="20">
        <f>IF(C238="","",COUNTA($C$4:C238))</f>
        <v>235</v>
      </c>
      <c r="B238" s="20" t="str">
        <f t="shared" si="63"/>
        <v>July</v>
      </c>
      <c r="C238" s="45">
        <v>45868</v>
      </c>
      <c r="D238" s="31" t="s">
        <v>1165</v>
      </c>
      <c r="E238" s="105" t="s">
        <v>1166</v>
      </c>
      <c r="F238" s="26" t="s">
        <v>1167</v>
      </c>
      <c r="G238" s="157" t="s">
        <v>746</v>
      </c>
      <c r="H238" s="106" t="s">
        <v>1169</v>
      </c>
      <c r="J238" s="22">
        <v>1008</v>
      </c>
      <c r="K238" s="22">
        <v>143</v>
      </c>
      <c r="L238" s="23">
        <f t="shared" si="65"/>
        <v>144144</v>
      </c>
      <c r="M238" s="23">
        <v>0</v>
      </c>
      <c r="N238" s="23">
        <v>0</v>
      </c>
      <c r="O238" s="112">
        <f t="shared" si="58"/>
        <v>144144</v>
      </c>
      <c r="P238" s="33">
        <v>0.18</v>
      </c>
      <c r="Q238" s="115">
        <v>0</v>
      </c>
      <c r="R238" s="112">
        <f t="shared" si="60"/>
        <v>12972.96</v>
      </c>
      <c r="S238" s="112">
        <f t="shared" si="61"/>
        <v>12972.96</v>
      </c>
      <c r="T238" s="23">
        <v>0</v>
      </c>
      <c r="U238" s="112">
        <f t="shared" si="64"/>
        <v>170089.91999999998</v>
      </c>
    </row>
    <row r="239" spans="1:21" ht="17.100000000000001" customHeight="1" x14ac:dyDescent="0.25">
      <c r="A239" s="20">
        <f>IF(C239="","",COUNTA($C$4:C239))</f>
        <v>236</v>
      </c>
      <c r="B239" s="20" t="str">
        <f t="shared" si="63"/>
        <v>July</v>
      </c>
      <c r="C239" s="45">
        <v>45868</v>
      </c>
      <c r="D239" s="31" t="s">
        <v>1165</v>
      </c>
      <c r="E239" s="105" t="s">
        <v>1166</v>
      </c>
      <c r="F239" s="26" t="s">
        <v>1167</v>
      </c>
      <c r="G239" s="157" t="s">
        <v>746</v>
      </c>
      <c r="H239" s="106" t="s">
        <v>1170</v>
      </c>
      <c r="J239" s="22">
        <v>600</v>
      </c>
      <c r="K239" s="22">
        <v>360</v>
      </c>
      <c r="L239" s="23">
        <f t="shared" si="65"/>
        <v>216000</v>
      </c>
      <c r="M239" s="23">
        <v>0</v>
      </c>
      <c r="N239" s="23">
        <v>0</v>
      </c>
      <c r="O239" s="112">
        <f t="shared" si="58"/>
        <v>216000</v>
      </c>
      <c r="P239" s="33">
        <v>0.18</v>
      </c>
      <c r="Q239" s="115">
        <v>0</v>
      </c>
      <c r="R239" s="112">
        <f t="shared" si="60"/>
        <v>19440</v>
      </c>
      <c r="S239" s="112">
        <f t="shared" si="61"/>
        <v>19440</v>
      </c>
      <c r="T239" s="23">
        <v>0</v>
      </c>
      <c r="U239" s="112">
        <f t="shared" si="64"/>
        <v>254880</v>
      </c>
    </row>
    <row r="240" spans="1:21" ht="17.100000000000001" customHeight="1" x14ac:dyDescent="0.25">
      <c r="A240" s="20">
        <f>IF(C240="","",COUNTA($C$4:C240))</f>
        <v>237</v>
      </c>
      <c r="B240" s="20" t="str">
        <f t="shared" si="63"/>
        <v>July</v>
      </c>
      <c r="C240" s="45">
        <v>45869</v>
      </c>
      <c r="D240" s="31" t="s">
        <v>1171</v>
      </c>
      <c r="E240" s="105" t="s">
        <v>1172</v>
      </c>
      <c r="F240" s="26"/>
      <c r="G240" s="157" t="s">
        <v>529</v>
      </c>
      <c r="H240" s="106" t="s">
        <v>764</v>
      </c>
      <c r="J240" s="22">
        <v>0.2</v>
      </c>
      <c r="K240" s="22">
        <v>72000</v>
      </c>
      <c r="L240" s="23">
        <f t="shared" si="65"/>
        <v>14400</v>
      </c>
      <c r="M240" s="23">
        <v>1500</v>
      </c>
      <c r="N240" s="23">
        <v>150</v>
      </c>
      <c r="O240" s="112">
        <f t="shared" si="58"/>
        <v>16050</v>
      </c>
      <c r="P240" s="33">
        <v>0.18</v>
      </c>
      <c r="Q240" s="115">
        <v>0</v>
      </c>
      <c r="R240" s="112">
        <f t="shared" si="60"/>
        <v>1444.5</v>
      </c>
      <c r="S240" s="112">
        <f t="shared" si="61"/>
        <v>1444.5</v>
      </c>
      <c r="T240" s="23">
        <v>0</v>
      </c>
      <c r="U240" s="112">
        <f t="shared" si="64"/>
        <v>18939</v>
      </c>
    </row>
    <row r="241" spans="1:21" ht="17.100000000000001" customHeight="1" x14ac:dyDescent="0.25">
      <c r="A241" s="20">
        <f>IF(C241="","",COUNTA($C$4:C241))</f>
        <v>238</v>
      </c>
      <c r="B241" s="20" t="str">
        <f t="shared" si="63"/>
        <v>July</v>
      </c>
      <c r="C241" s="45">
        <v>45868</v>
      </c>
      <c r="D241" s="31" t="s">
        <v>1173</v>
      </c>
      <c r="E241" s="105" t="s">
        <v>1174</v>
      </c>
      <c r="F241" s="26"/>
      <c r="G241" s="157" t="s">
        <v>342</v>
      </c>
      <c r="H241" s="106" t="s">
        <v>207</v>
      </c>
      <c r="L241" s="23">
        <v>9615</v>
      </c>
      <c r="M241" s="23"/>
      <c r="N241" s="23"/>
      <c r="O241" s="112">
        <f t="shared" si="58"/>
        <v>9615</v>
      </c>
      <c r="P241" s="33">
        <v>0.18</v>
      </c>
      <c r="Q241" s="115">
        <v>0</v>
      </c>
      <c r="R241" s="112">
        <f t="shared" si="60"/>
        <v>865.35</v>
      </c>
      <c r="S241" s="112">
        <f t="shared" si="61"/>
        <v>865.35</v>
      </c>
      <c r="T241" s="23">
        <v>0</v>
      </c>
      <c r="U241" s="112">
        <f t="shared" si="64"/>
        <v>11345.7</v>
      </c>
    </row>
    <row r="242" spans="1:21" ht="17.100000000000001" customHeight="1" x14ac:dyDescent="0.25">
      <c r="A242" s="20">
        <f>IF(C242="","",COUNTA($C$4:C242))</f>
        <v>239</v>
      </c>
      <c r="B242" s="20" t="str">
        <f t="shared" si="63"/>
        <v>July</v>
      </c>
      <c r="C242" s="45">
        <v>45869</v>
      </c>
      <c r="D242" s="31" t="s">
        <v>1175</v>
      </c>
      <c r="E242" s="105" t="s">
        <v>1176</v>
      </c>
      <c r="F242" s="26"/>
      <c r="G242" s="157" t="s">
        <v>342</v>
      </c>
      <c r="H242" s="106" t="s">
        <v>207</v>
      </c>
      <c r="L242" s="23">
        <v>6670</v>
      </c>
      <c r="M242" s="23">
        <v>0</v>
      </c>
      <c r="N242" s="23">
        <v>0</v>
      </c>
      <c r="O242" s="112">
        <f t="shared" si="58"/>
        <v>6670</v>
      </c>
      <c r="P242" s="33">
        <v>0.18</v>
      </c>
      <c r="Q242" s="115">
        <v>0</v>
      </c>
      <c r="R242" s="112">
        <f t="shared" si="60"/>
        <v>600.29999999999995</v>
      </c>
      <c r="S242" s="112">
        <f t="shared" si="61"/>
        <v>600.29999999999995</v>
      </c>
      <c r="T242" s="23">
        <v>0</v>
      </c>
      <c r="U242" s="112">
        <f t="shared" si="64"/>
        <v>7870.6</v>
      </c>
    </row>
    <row r="243" spans="1:21" ht="17.100000000000001" customHeight="1" x14ac:dyDescent="0.25">
      <c r="A243" s="20">
        <f>IF(C243="","",COUNTA($C$4:C243))</f>
        <v>240</v>
      </c>
      <c r="B243" s="20" t="str">
        <f t="shared" si="63"/>
        <v>August</v>
      </c>
      <c r="C243" s="45">
        <v>45870</v>
      </c>
      <c r="D243" s="31" t="s">
        <v>1177</v>
      </c>
      <c r="E243" s="105" t="s">
        <v>1178</v>
      </c>
      <c r="F243" s="26" t="s">
        <v>903</v>
      </c>
      <c r="G243" s="157" t="s">
        <v>260</v>
      </c>
      <c r="H243" s="106" t="s">
        <v>1179</v>
      </c>
      <c r="J243" s="22">
        <v>10000</v>
      </c>
      <c r="K243" s="22">
        <v>2.8</v>
      </c>
      <c r="L243" s="23">
        <f t="shared" ref="L243:L274" si="66">J243*K243</f>
        <v>28000</v>
      </c>
      <c r="M243" s="23">
        <v>0</v>
      </c>
      <c r="N243" s="23">
        <v>0</v>
      </c>
      <c r="O243" s="112">
        <f t="shared" si="58"/>
        <v>28000</v>
      </c>
      <c r="P243" s="33">
        <v>0.18</v>
      </c>
      <c r="Q243" s="115">
        <v>0</v>
      </c>
      <c r="R243" s="112">
        <f t="shared" si="60"/>
        <v>2520</v>
      </c>
      <c r="S243" s="112">
        <f t="shared" si="61"/>
        <v>2520</v>
      </c>
      <c r="T243" s="23">
        <v>0</v>
      </c>
      <c r="U243" s="112">
        <f t="shared" si="64"/>
        <v>33040</v>
      </c>
    </row>
    <row r="244" spans="1:21" ht="17.100000000000001" customHeight="1" x14ac:dyDescent="0.25">
      <c r="A244" s="20">
        <f>IF(C244="","",COUNTA($C$4:C244))</f>
        <v>241</v>
      </c>
      <c r="B244" s="20" t="str">
        <f t="shared" si="63"/>
        <v>March</v>
      </c>
      <c r="C244" s="45">
        <v>46093</v>
      </c>
      <c r="D244" s="31" t="s">
        <v>2935</v>
      </c>
      <c r="E244" s="105" t="s">
        <v>2936</v>
      </c>
      <c r="F244" s="26" t="s">
        <v>2919</v>
      </c>
      <c r="G244" s="157" t="s">
        <v>193</v>
      </c>
      <c r="H244" s="106" t="s">
        <v>2938</v>
      </c>
      <c r="J244" s="22">
        <v>196</v>
      </c>
      <c r="K244" s="22">
        <v>890</v>
      </c>
      <c r="L244" s="23">
        <f t="shared" si="66"/>
        <v>174440</v>
      </c>
      <c r="M244" s="23">
        <v>0</v>
      </c>
      <c r="N244" s="23">
        <v>0</v>
      </c>
      <c r="O244" s="112">
        <f t="shared" si="58"/>
        <v>174440</v>
      </c>
      <c r="P244" s="33">
        <v>0.18</v>
      </c>
      <c r="Q244" s="115">
        <v>0</v>
      </c>
      <c r="R244" s="112">
        <f t="shared" si="60"/>
        <v>15699.6</v>
      </c>
      <c r="S244" s="112">
        <f t="shared" si="61"/>
        <v>15699.6</v>
      </c>
      <c r="T244" s="23">
        <v>0</v>
      </c>
      <c r="U244" s="112">
        <f t="shared" si="64"/>
        <v>205839.2</v>
      </c>
    </row>
    <row r="245" spans="1:21" ht="17.100000000000001" customHeight="1" x14ac:dyDescent="0.25">
      <c r="A245" s="20">
        <f>IF(C245="","",COUNTA($C$4:C245))</f>
        <v>242</v>
      </c>
      <c r="B245" s="20" t="str">
        <f t="shared" si="63"/>
        <v>March</v>
      </c>
      <c r="C245" s="45">
        <v>46097</v>
      </c>
      <c r="D245" s="31" t="s">
        <v>2954</v>
      </c>
      <c r="E245" s="105" t="s">
        <v>2955</v>
      </c>
      <c r="F245" s="26" t="s">
        <v>2919</v>
      </c>
      <c r="G245" s="157" t="s">
        <v>193</v>
      </c>
      <c r="H245" s="106" t="s">
        <v>2956</v>
      </c>
      <c r="J245" s="22">
        <v>648</v>
      </c>
      <c r="K245" s="22">
        <v>115</v>
      </c>
      <c r="L245" s="23">
        <f t="shared" si="66"/>
        <v>74520</v>
      </c>
      <c r="M245" s="23">
        <v>7493.76</v>
      </c>
      <c r="N245" s="23">
        <v>0</v>
      </c>
      <c r="O245" s="112">
        <f t="shared" si="58"/>
        <v>82013.759999999995</v>
      </c>
      <c r="P245" s="33">
        <v>0.18</v>
      </c>
      <c r="Q245" s="115">
        <v>0</v>
      </c>
      <c r="R245" s="112">
        <f t="shared" si="60"/>
        <v>7381.2383999999993</v>
      </c>
      <c r="S245" s="112">
        <f t="shared" si="61"/>
        <v>7381.2383999999993</v>
      </c>
      <c r="T245" s="23">
        <v>0</v>
      </c>
      <c r="U245" s="112">
        <f t="shared" si="64"/>
        <v>96776.236799999999</v>
      </c>
    </row>
    <row r="246" spans="1:21" ht="17.100000000000001" customHeight="1" x14ac:dyDescent="0.25">
      <c r="A246" s="20">
        <f>IF(C246="","",COUNTA($C$4:C246))</f>
        <v>243</v>
      </c>
      <c r="B246" s="20" t="str">
        <f t="shared" si="63"/>
        <v>March</v>
      </c>
      <c r="C246" s="45">
        <v>46097</v>
      </c>
      <c r="D246" s="31" t="s">
        <v>2954</v>
      </c>
      <c r="E246" s="105" t="s">
        <v>2955</v>
      </c>
      <c r="F246" s="26" t="s">
        <v>2919</v>
      </c>
      <c r="G246" s="157" t="s">
        <v>193</v>
      </c>
      <c r="H246" s="106" t="s">
        <v>2957</v>
      </c>
      <c r="J246" s="22">
        <v>36</v>
      </c>
      <c r="K246" s="22">
        <v>532</v>
      </c>
      <c r="L246" s="23">
        <f t="shared" si="66"/>
        <v>19152</v>
      </c>
      <c r="M246" s="23">
        <v>0</v>
      </c>
      <c r="N246" s="23">
        <v>0</v>
      </c>
      <c r="O246" s="112">
        <f t="shared" si="58"/>
        <v>19152</v>
      </c>
      <c r="P246" s="33">
        <v>0.18</v>
      </c>
      <c r="Q246" s="119">
        <v>0</v>
      </c>
      <c r="R246" s="112">
        <f t="shared" si="60"/>
        <v>1723.68</v>
      </c>
      <c r="S246" s="112">
        <f t="shared" si="61"/>
        <v>1723.68</v>
      </c>
      <c r="T246" s="23">
        <v>0</v>
      </c>
      <c r="U246" s="112">
        <f t="shared" si="64"/>
        <v>22599.360000000001</v>
      </c>
    </row>
    <row r="247" spans="1:21" ht="17.100000000000001" customHeight="1" x14ac:dyDescent="0.25">
      <c r="A247" s="20">
        <f>IF(C247="","",COUNTA($C$4:C247))</f>
        <v>244</v>
      </c>
      <c r="B247" s="20" t="str">
        <f t="shared" si="63"/>
        <v>August</v>
      </c>
      <c r="C247" s="45">
        <v>45870</v>
      </c>
      <c r="D247" s="31" t="s">
        <v>1186</v>
      </c>
      <c r="E247" s="105" t="s">
        <v>1187</v>
      </c>
      <c r="F247" s="26" t="s">
        <v>903</v>
      </c>
      <c r="G247" s="157" t="s">
        <v>260</v>
      </c>
      <c r="H247" s="106" t="s">
        <v>667</v>
      </c>
      <c r="J247" s="22">
        <v>362</v>
      </c>
      <c r="K247" s="22">
        <v>18</v>
      </c>
      <c r="L247" s="23">
        <f t="shared" si="66"/>
        <v>6516</v>
      </c>
      <c r="M247" s="23">
        <v>0</v>
      </c>
      <c r="N247" s="23">
        <v>0</v>
      </c>
      <c r="O247" s="112">
        <f t="shared" si="58"/>
        <v>6516</v>
      </c>
      <c r="P247" s="33">
        <v>0.18</v>
      </c>
      <c r="Q247" s="118">
        <v>0</v>
      </c>
      <c r="R247" s="112">
        <f t="shared" si="60"/>
        <v>586.44000000000005</v>
      </c>
      <c r="S247" s="112">
        <f t="shared" si="61"/>
        <v>586.44000000000005</v>
      </c>
      <c r="T247" s="23">
        <v>0</v>
      </c>
      <c r="U247" s="112">
        <f t="shared" si="64"/>
        <v>7688.880000000001</v>
      </c>
    </row>
    <row r="248" spans="1:21" ht="17.100000000000001" customHeight="1" x14ac:dyDescent="0.25">
      <c r="A248" s="20">
        <f>IF(C248="","",COUNTA($C$4:C248))</f>
        <v>245</v>
      </c>
      <c r="B248" s="20" t="str">
        <f t="shared" si="63"/>
        <v>August</v>
      </c>
      <c r="C248" s="45">
        <v>45871</v>
      </c>
      <c r="D248" s="31" t="s">
        <v>1188</v>
      </c>
      <c r="E248" s="105" t="s">
        <v>1189</v>
      </c>
      <c r="F248" s="26" t="s">
        <v>903</v>
      </c>
      <c r="G248" s="157" t="s">
        <v>260</v>
      </c>
      <c r="H248" s="106" t="s">
        <v>1179</v>
      </c>
      <c r="J248" s="22">
        <v>2525</v>
      </c>
      <c r="K248" s="22">
        <v>2.8</v>
      </c>
      <c r="L248" s="23">
        <f t="shared" si="66"/>
        <v>7070</v>
      </c>
      <c r="M248" s="23">
        <v>0</v>
      </c>
      <c r="N248" s="23">
        <v>0</v>
      </c>
      <c r="O248" s="112">
        <f t="shared" si="58"/>
        <v>7070</v>
      </c>
      <c r="P248" s="33">
        <v>0.18</v>
      </c>
      <c r="Q248" s="118">
        <v>0</v>
      </c>
      <c r="R248" s="112">
        <f t="shared" si="60"/>
        <v>636.29999999999995</v>
      </c>
      <c r="S248" s="112">
        <f t="shared" si="61"/>
        <v>636.29999999999995</v>
      </c>
      <c r="T248" s="23">
        <v>0</v>
      </c>
      <c r="U248" s="112">
        <f t="shared" si="64"/>
        <v>8342.6</v>
      </c>
    </row>
    <row r="249" spans="1:21" ht="17.100000000000001" customHeight="1" x14ac:dyDescent="0.25">
      <c r="A249" s="20">
        <f>IF(C249="","",COUNTA($C$4:C249))</f>
        <v>246</v>
      </c>
      <c r="B249" s="20" t="str">
        <f t="shared" si="63"/>
        <v>May</v>
      </c>
      <c r="C249" s="45">
        <v>45793</v>
      </c>
      <c r="D249" s="31" t="s">
        <v>499</v>
      </c>
      <c r="E249" s="105" t="s">
        <v>500</v>
      </c>
      <c r="F249" s="26" t="s">
        <v>501</v>
      </c>
      <c r="G249" s="157" t="s">
        <v>502</v>
      </c>
      <c r="H249" s="106" t="s">
        <v>503</v>
      </c>
      <c r="I249" s="159" t="s">
        <v>160</v>
      </c>
      <c r="J249" s="22">
        <v>5540</v>
      </c>
      <c r="K249" s="64">
        <v>71.25</v>
      </c>
      <c r="L249" s="23">
        <f t="shared" si="66"/>
        <v>394725</v>
      </c>
      <c r="M249" s="23">
        <v>0</v>
      </c>
      <c r="N249" s="23">
        <v>0</v>
      </c>
      <c r="O249" s="112">
        <f t="shared" si="58"/>
        <v>394725</v>
      </c>
      <c r="P249" s="33">
        <v>0.18</v>
      </c>
      <c r="Q249" s="118">
        <v>0</v>
      </c>
      <c r="R249" s="112">
        <f t="shared" si="60"/>
        <v>35525.25</v>
      </c>
      <c r="S249" s="112">
        <f t="shared" si="61"/>
        <v>35525.25</v>
      </c>
      <c r="T249" s="23">
        <v>0</v>
      </c>
      <c r="U249" s="112">
        <f t="shared" si="64"/>
        <v>465775.5</v>
      </c>
    </row>
    <row r="250" spans="1:21" ht="17.100000000000001" customHeight="1" x14ac:dyDescent="0.25">
      <c r="A250" s="20">
        <f>IF(C250="","",COUNTA($C$4:C250))</f>
        <v>247</v>
      </c>
      <c r="B250" s="20" t="str">
        <f t="shared" si="63"/>
        <v>August</v>
      </c>
      <c r="C250" s="45">
        <v>45873</v>
      </c>
      <c r="D250" s="31" t="s">
        <v>1194</v>
      </c>
      <c r="E250" s="105" t="s">
        <v>1195</v>
      </c>
      <c r="F250" s="26" t="s">
        <v>1196</v>
      </c>
      <c r="G250" s="157" t="s">
        <v>350</v>
      </c>
      <c r="H250" s="106" t="s">
        <v>1197</v>
      </c>
      <c r="J250" s="22">
        <v>492.86</v>
      </c>
      <c r="K250" s="22">
        <v>127</v>
      </c>
      <c r="L250" s="23">
        <f t="shared" si="66"/>
        <v>62593.22</v>
      </c>
      <c r="M250" s="23">
        <v>0</v>
      </c>
      <c r="N250" s="23">
        <v>0</v>
      </c>
      <c r="O250" s="112">
        <f t="shared" si="58"/>
        <v>62593.22</v>
      </c>
      <c r="P250" s="33">
        <v>0.18</v>
      </c>
      <c r="Q250" s="118">
        <v>0</v>
      </c>
      <c r="R250" s="112">
        <f t="shared" si="60"/>
        <v>5633.3897999999999</v>
      </c>
      <c r="S250" s="112">
        <f t="shared" si="61"/>
        <v>5633.3897999999999</v>
      </c>
      <c r="T250" s="23">
        <v>0</v>
      </c>
      <c r="U250" s="112">
        <f t="shared" si="64"/>
        <v>73859.99960000001</v>
      </c>
    </row>
    <row r="251" spans="1:21" ht="17.100000000000001" customHeight="1" x14ac:dyDescent="0.25">
      <c r="A251" s="20">
        <f>IF(C251="","",COUNTA($C$4:C251))</f>
        <v>248</v>
      </c>
      <c r="B251" s="20" t="str">
        <f t="shared" si="63"/>
        <v>August</v>
      </c>
      <c r="C251" s="45">
        <v>45875</v>
      </c>
      <c r="D251" s="31" t="s">
        <v>1198</v>
      </c>
      <c r="E251" s="105" t="s">
        <v>1199</v>
      </c>
      <c r="F251" s="26" t="s">
        <v>1200</v>
      </c>
      <c r="G251" s="157" t="s">
        <v>1201</v>
      </c>
      <c r="H251" s="106" t="s">
        <v>1202</v>
      </c>
      <c r="J251" s="22">
        <v>1000</v>
      </c>
      <c r="K251" s="22">
        <v>28</v>
      </c>
      <c r="L251" s="23">
        <f t="shared" si="66"/>
        <v>28000</v>
      </c>
      <c r="M251" s="23">
        <v>0</v>
      </c>
      <c r="N251" s="23">
        <v>0</v>
      </c>
      <c r="O251" s="112">
        <f t="shared" si="58"/>
        <v>28000</v>
      </c>
      <c r="P251" s="33">
        <v>0.18</v>
      </c>
      <c r="Q251" s="118">
        <f>O251*18/100</f>
        <v>5040</v>
      </c>
      <c r="R251" s="115">
        <v>0</v>
      </c>
      <c r="S251" s="115">
        <v>0</v>
      </c>
      <c r="T251" s="23">
        <v>0</v>
      </c>
      <c r="U251" s="112">
        <f>O251+Q251</f>
        <v>33040</v>
      </c>
    </row>
    <row r="252" spans="1:21" ht="17.100000000000001" customHeight="1" x14ac:dyDescent="0.25">
      <c r="A252" s="20">
        <f>IF(C252="","",COUNTA($C$4:C252))</f>
        <v>249</v>
      </c>
      <c r="B252" s="20" t="str">
        <f t="shared" si="63"/>
        <v>August</v>
      </c>
      <c r="C252" s="45">
        <v>45875</v>
      </c>
      <c r="D252" s="31" t="s">
        <v>1203</v>
      </c>
      <c r="E252" s="105" t="s">
        <v>1204</v>
      </c>
      <c r="F252" s="26"/>
      <c r="G252" s="157" t="s">
        <v>1022</v>
      </c>
      <c r="H252" s="106" t="s">
        <v>1205</v>
      </c>
      <c r="J252" s="22">
        <v>1</v>
      </c>
      <c r="K252" s="22">
        <v>110000</v>
      </c>
      <c r="L252" s="23">
        <f t="shared" si="66"/>
        <v>110000</v>
      </c>
      <c r="M252" s="23">
        <v>0</v>
      </c>
      <c r="N252" s="23">
        <v>0</v>
      </c>
      <c r="O252" s="112">
        <f t="shared" si="58"/>
        <v>110000</v>
      </c>
      <c r="P252" s="33">
        <v>0.18</v>
      </c>
      <c r="Q252" s="115">
        <v>0</v>
      </c>
      <c r="R252" s="112">
        <f>O252*9/100</f>
        <v>9900</v>
      </c>
      <c r="S252" s="112">
        <f>O252*9/100</f>
        <v>9900</v>
      </c>
      <c r="T252" s="23">
        <v>0</v>
      </c>
      <c r="U252" s="112">
        <f t="shared" ref="U252:U268" si="67">O252+R252+S252</f>
        <v>129800</v>
      </c>
    </row>
    <row r="253" spans="1:21" ht="17.100000000000001" customHeight="1" x14ac:dyDescent="0.25">
      <c r="A253" s="20">
        <f>IF(C253="","",COUNTA($C$4:C253))</f>
        <v>250</v>
      </c>
      <c r="B253" s="20" t="str">
        <f t="shared" si="63"/>
        <v>August</v>
      </c>
      <c r="C253" s="45">
        <v>45875</v>
      </c>
      <c r="D253" s="31" t="s">
        <v>1203</v>
      </c>
      <c r="E253" s="105" t="s">
        <v>1204</v>
      </c>
      <c r="F253" s="26"/>
      <c r="G253" s="157" t="s">
        <v>1022</v>
      </c>
      <c r="H253" s="106" t="s">
        <v>1207</v>
      </c>
      <c r="J253" s="22">
        <v>1</v>
      </c>
      <c r="K253" s="22">
        <v>3800</v>
      </c>
      <c r="L253" s="23">
        <f t="shared" si="66"/>
        <v>3800</v>
      </c>
      <c r="M253" s="23">
        <v>0</v>
      </c>
      <c r="N253" s="23">
        <v>0</v>
      </c>
      <c r="O253" s="112">
        <f t="shared" si="58"/>
        <v>3800</v>
      </c>
      <c r="P253" s="33">
        <v>0.18</v>
      </c>
      <c r="Q253" s="115">
        <v>0</v>
      </c>
      <c r="R253" s="112">
        <f>O253*9/100</f>
        <v>342</v>
      </c>
      <c r="S253" s="112">
        <f>O253*9/100</f>
        <v>342</v>
      </c>
      <c r="T253" s="23">
        <v>0</v>
      </c>
      <c r="U253" s="112">
        <f t="shared" si="67"/>
        <v>4484</v>
      </c>
    </row>
    <row r="254" spans="1:21" ht="17.100000000000001" customHeight="1" x14ac:dyDescent="0.25">
      <c r="A254" s="20">
        <f>IF(C254="","",COUNTA($C$4:C254))</f>
        <v>251</v>
      </c>
      <c r="B254" s="20" t="str">
        <f t="shared" si="63"/>
        <v>August</v>
      </c>
      <c r="C254" s="45">
        <v>45875</v>
      </c>
      <c r="D254" s="31" t="s">
        <v>1203</v>
      </c>
      <c r="E254" s="105" t="s">
        <v>1204</v>
      </c>
      <c r="F254" s="26"/>
      <c r="G254" s="157" t="s">
        <v>1022</v>
      </c>
      <c r="H254" s="106" t="s">
        <v>1206</v>
      </c>
      <c r="J254" s="22">
        <v>2</v>
      </c>
      <c r="K254" s="22">
        <v>3500</v>
      </c>
      <c r="L254" s="23">
        <f t="shared" si="66"/>
        <v>7000</v>
      </c>
      <c r="M254" s="23">
        <v>0</v>
      </c>
      <c r="N254" s="23">
        <v>0</v>
      </c>
      <c r="O254" s="112">
        <f t="shared" si="58"/>
        <v>7000</v>
      </c>
      <c r="P254" s="33">
        <v>0.18</v>
      </c>
      <c r="Q254" s="115">
        <v>0</v>
      </c>
      <c r="R254" s="112">
        <f>O254*9/100</f>
        <v>630</v>
      </c>
      <c r="S254" s="112">
        <f>O254*9/100</f>
        <v>630</v>
      </c>
      <c r="T254" s="23">
        <v>0</v>
      </c>
      <c r="U254" s="112">
        <f t="shared" si="67"/>
        <v>8260</v>
      </c>
    </row>
    <row r="255" spans="1:21" ht="17.100000000000001" customHeight="1" x14ac:dyDescent="0.25">
      <c r="A255" s="20">
        <f>IF(C255="","",COUNTA($C$4:C255))</f>
        <v>252</v>
      </c>
      <c r="B255" s="20" t="str">
        <f t="shared" si="63"/>
        <v>August</v>
      </c>
      <c r="C255" s="45">
        <v>45875</v>
      </c>
      <c r="D255" s="31" t="s">
        <v>1208</v>
      </c>
      <c r="E255" s="105" t="s">
        <v>1209</v>
      </c>
      <c r="F255" s="26"/>
      <c r="G255" s="157" t="s">
        <v>248</v>
      </c>
      <c r="H255" s="106" t="s">
        <v>1210</v>
      </c>
      <c r="J255" s="22">
        <v>500</v>
      </c>
      <c r="K255" s="22">
        <v>11</v>
      </c>
      <c r="L255" s="23">
        <f t="shared" si="66"/>
        <v>5500</v>
      </c>
      <c r="M255" s="23">
        <v>0</v>
      </c>
      <c r="N255" s="23">
        <v>0</v>
      </c>
      <c r="O255" s="112">
        <f t="shared" si="58"/>
        <v>5500</v>
      </c>
      <c r="P255" s="33">
        <v>0.18</v>
      </c>
      <c r="Q255" s="115">
        <v>0</v>
      </c>
      <c r="R255" s="112">
        <f>O255*2.5/100</f>
        <v>137.5</v>
      </c>
      <c r="S255" s="112">
        <f>O255*2.5/100</f>
        <v>137.5</v>
      </c>
      <c r="T255" s="23"/>
      <c r="U255" s="112">
        <f t="shared" si="67"/>
        <v>5775</v>
      </c>
    </row>
    <row r="256" spans="1:21" ht="17.100000000000001" customHeight="1" x14ac:dyDescent="0.25">
      <c r="A256" s="20">
        <f>IF(C256="","",COUNTA($C$4:C256))</f>
        <v>253</v>
      </c>
      <c r="B256" s="20" t="str">
        <f t="shared" si="63"/>
        <v>August</v>
      </c>
      <c r="C256" s="45">
        <v>45875</v>
      </c>
      <c r="D256" s="31" t="s">
        <v>1211</v>
      </c>
      <c r="E256" s="105" t="s">
        <v>1212</v>
      </c>
      <c r="F256" s="26" t="s">
        <v>1213</v>
      </c>
      <c r="G256" s="157" t="s">
        <v>746</v>
      </c>
      <c r="H256" s="106" t="s">
        <v>1214</v>
      </c>
      <c r="J256" s="22">
        <v>4032</v>
      </c>
      <c r="K256" s="22">
        <v>187</v>
      </c>
      <c r="L256" s="23">
        <f t="shared" si="66"/>
        <v>753984</v>
      </c>
      <c r="M256" s="23">
        <v>57000</v>
      </c>
      <c r="N256" s="23">
        <v>0</v>
      </c>
      <c r="O256" s="112">
        <f t="shared" si="58"/>
        <v>810984</v>
      </c>
      <c r="P256" s="33">
        <v>0.18</v>
      </c>
      <c r="Q256" s="115">
        <v>0</v>
      </c>
      <c r="R256" s="112">
        <f t="shared" ref="R256:R268" si="68">O256*9/100</f>
        <v>72988.56</v>
      </c>
      <c r="S256" s="112">
        <f t="shared" ref="S256:S268" si="69">O256*9/100</f>
        <v>72988.56</v>
      </c>
      <c r="T256" s="23">
        <v>0</v>
      </c>
      <c r="U256" s="112">
        <f t="shared" si="67"/>
        <v>956961.12000000011</v>
      </c>
    </row>
    <row r="257" spans="1:21" ht="17.100000000000001" customHeight="1" x14ac:dyDescent="0.25">
      <c r="A257" s="20">
        <f>IF(C257="","",COUNTA($C$4:C257))</f>
        <v>254</v>
      </c>
      <c r="B257" s="20" t="str">
        <f t="shared" si="63"/>
        <v>May</v>
      </c>
      <c r="C257" s="45">
        <v>45793</v>
      </c>
      <c r="D257" s="31" t="s">
        <v>504</v>
      </c>
      <c r="E257" s="105" t="s">
        <v>505</v>
      </c>
      <c r="F257" s="26" t="s">
        <v>501</v>
      </c>
      <c r="G257" s="157" t="s">
        <v>502</v>
      </c>
      <c r="H257" s="106" t="s">
        <v>506</v>
      </c>
      <c r="I257" s="159" t="s">
        <v>266</v>
      </c>
      <c r="J257" s="22">
        <v>5090</v>
      </c>
      <c r="K257" s="64">
        <v>73</v>
      </c>
      <c r="L257" s="23">
        <f t="shared" si="66"/>
        <v>371570</v>
      </c>
      <c r="M257" s="23">
        <v>12300</v>
      </c>
      <c r="N257" s="23">
        <v>0</v>
      </c>
      <c r="O257" s="112">
        <f t="shared" si="58"/>
        <v>383870</v>
      </c>
      <c r="P257" s="33">
        <v>0.18</v>
      </c>
      <c r="Q257" s="118">
        <v>0</v>
      </c>
      <c r="R257" s="112">
        <f t="shared" si="68"/>
        <v>34548.300000000003</v>
      </c>
      <c r="S257" s="112">
        <f t="shared" si="69"/>
        <v>34548.300000000003</v>
      </c>
      <c r="T257" s="23">
        <v>0</v>
      </c>
      <c r="U257" s="112">
        <f t="shared" si="67"/>
        <v>452966.6</v>
      </c>
    </row>
    <row r="258" spans="1:21" ht="17.100000000000001" customHeight="1" x14ac:dyDescent="0.25">
      <c r="A258" s="20">
        <f>IF(C258="","",COUNTA($C$4:C258))</f>
        <v>255</v>
      </c>
      <c r="B258" s="20" t="str">
        <f t="shared" si="63"/>
        <v>May</v>
      </c>
      <c r="C258" s="45">
        <v>45793</v>
      </c>
      <c r="D258" s="31" t="s">
        <v>504</v>
      </c>
      <c r="E258" s="105" t="s">
        <v>505</v>
      </c>
      <c r="F258" s="26" t="s">
        <v>501</v>
      </c>
      <c r="G258" s="157" t="s">
        <v>502</v>
      </c>
      <c r="H258" s="106" t="s">
        <v>506</v>
      </c>
      <c r="I258" s="159" t="s">
        <v>266</v>
      </c>
      <c r="J258" s="22">
        <v>5290</v>
      </c>
      <c r="K258" s="64">
        <v>73</v>
      </c>
      <c r="L258" s="23">
        <f t="shared" si="66"/>
        <v>386170</v>
      </c>
      <c r="M258" s="23">
        <v>0</v>
      </c>
      <c r="N258" s="23">
        <v>0</v>
      </c>
      <c r="O258" s="112">
        <f t="shared" si="58"/>
        <v>386170</v>
      </c>
      <c r="P258" s="33">
        <v>0.18</v>
      </c>
      <c r="Q258" s="118">
        <v>0</v>
      </c>
      <c r="R258" s="112">
        <f t="shared" si="68"/>
        <v>34755.300000000003</v>
      </c>
      <c r="S258" s="112">
        <f t="shared" si="69"/>
        <v>34755.300000000003</v>
      </c>
      <c r="T258" s="23">
        <v>0</v>
      </c>
      <c r="U258" s="112">
        <f t="shared" si="67"/>
        <v>455680.6</v>
      </c>
    </row>
    <row r="259" spans="1:21" ht="17.100000000000001" customHeight="1" x14ac:dyDescent="0.25">
      <c r="A259" s="20">
        <f>IF(C259="","",COUNTA($C$4:C259))</f>
        <v>256</v>
      </c>
      <c r="B259" s="20" t="str">
        <f t="shared" si="63"/>
        <v>May</v>
      </c>
      <c r="C259" s="45">
        <v>45793</v>
      </c>
      <c r="D259" s="31" t="s">
        <v>504</v>
      </c>
      <c r="E259" s="105" t="s">
        <v>505</v>
      </c>
      <c r="F259" s="26" t="s">
        <v>501</v>
      </c>
      <c r="G259" s="157" t="s">
        <v>502</v>
      </c>
      <c r="H259" s="106" t="s">
        <v>506</v>
      </c>
      <c r="I259" s="159" t="s">
        <v>266</v>
      </c>
      <c r="J259" s="22">
        <v>5195</v>
      </c>
      <c r="K259" s="64">
        <v>73</v>
      </c>
      <c r="L259" s="23">
        <f t="shared" si="66"/>
        <v>379235</v>
      </c>
      <c r="M259" s="23">
        <v>0</v>
      </c>
      <c r="N259" s="23">
        <v>0</v>
      </c>
      <c r="O259" s="112">
        <f t="shared" si="58"/>
        <v>379235</v>
      </c>
      <c r="P259" s="33">
        <v>0.18</v>
      </c>
      <c r="Q259" s="118">
        <v>0</v>
      </c>
      <c r="R259" s="112">
        <f t="shared" si="68"/>
        <v>34131.15</v>
      </c>
      <c r="S259" s="112">
        <f t="shared" si="69"/>
        <v>34131.15</v>
      </c>
      <c r="T259" s="23">
        <v>0</v>
      </c>
      <c r="U259" s="112">
        <f t="shared" si="67"/>
        <v>447497.30000000005</v>
      </c>
    </row>
    <row r="260" spans="1:21" ht="17.100000000000001" customHeight="1" x14ac:dyDescent="0.25">
      <c r="A260" s="20">
        <f>IF(C260="","",COUNTA($C$4:C260))</f>
        <v>257</v>
      </c>
      <c r="B260" s="20" t="str">
        <f t="shared" si="63"/>
        <v>May</v>
      </c>
      <c r="C260" s="45">
        <v>45793</v>
      </c>
      <c r="D260" s="31" t="s">
        <v>504</v>
      </c>
      <c r="E260" s="105" t="s">
        <v>505</v>
      </c>
      <c r="F260" s="26" t="s">
        <v>501</v>
      </c>
      <c r="G260" s="157" t="s">
        <v>502</v>
      </c>
      <c r="H260" s="106" t="s">
        <v>506</v>
      </c>
      <c r="I260" s="159" t="s">
        <v>266</v>
      </c>
      <c r="J260" s="22">
        <v>5070</v>
      </c>
      <c r="K260" s="64">
        <v>73</v>
      </c>
      <c r="L260" s="23">
        <f t="shared" si="66"/>
        <v>370110</v>
      </c>
      <c r="M260" s="23">
        <v>0</v>
      </c>
      <c r="N260" s="23">
        <v>0</v>
      </c>
      <c r="O260" s="112">
        <f t="shared" si="58"/>
        <v>370110</v>
      </c>
      <c r="P260" s="33">
        <v>0.18</v>
      </c>
      <c r="Q260" s="118">
        <v>0</v>
      </c>
      <c r="R260" s="112">
        <f t="shared" si="68"/>
        <v>33309.9</v>
      </c>
      <c r="S260" s="112">
        <f t="shared" si="69"/>
        <v>33309.9</v>
      </c>
      <c r="T260" s="23">
        <v>0</v>
      </c>
      <c r="U260" s="112">
        <f t="shared" si="67"/>
        <v>436729.80000000005</v>
      </c>
    </row>
    <row r="261" spans="1:21" ht="17.100000000000001" customHeight="1" x14ac:dyDescent="0.25">
      <c r="A261" s="20">
        <f>IF(C261="","",COUNTA($C$4:C261))</f>
        <v>258</v>
      </c>
      <c r="B261" s="20" t="str">
        <f t="shared" si="63"/>
        <v>May</v>
      </c>
      <c r="C261" s="45">
        <v>45801</v>
      </c>
      <c r="D261" s="31" t="s">
        <v>599</v>
      </c>
      <c r="E261" s="105" t="s">
        <v>600</v>
      </c>
      <c r="F261" s="26" t="s">
        <v>501</v>
      </c>
      <c r="G261" s="157" t="s">
        <v>502</v>
      </c>
      <c r="H261" s="106" t="s">
        <v>601</v>
      </c>
      <c r="I261" s="159" t="s">
        <v>160</v>
      </c>
      <c r="J261" s="22">
        <v>5575</v>
      </c>
      <c r="K261" s="64">
        <v>71.25</v>
      </c>
      <c r="L261" s="23">
        <f t="shared" si="66"/>
        <v>397218.75</v>
      </c>
      <c r="M261" s="23">
        <v>11750</v>
      </c>
      <c r="N261" s="23"/>
      <c r="O261" s="112">
        <f t="shared" si="58"/>
        <v>408968.75</v>
      </c>
      <c r="P261" s="33">
        <v>0.18</v>
      </c>
      <c r="Q261" s="118">
        <v>0</v>
      </c>
      <c r="R261" s="112">
        <f t="shared" si="68"/>
        <v>36807.1875</v>
      </c>
      <c r="S261" s="112">
        <f t="shared" si="69"/>
        <v>36807.1875</v>
      </c>
      <c r="T261" s="23">
        <v>0</v>
      </c>
      <c r="U261" s="112">
        <f t="shared" si="67"/>
        <v>482583.125</v>
      </c>
    </row>
    <row r="262" spans="1:21" ht="17.100000000000001" customHeight="1" x14ac:dyDescent="0.25">
      <c r="A262" s="20">
        <f>IF(C262="","",COUNTA($C$4:C262))</f>
        <v>259</v>
      </c>
      <c r="B262" s="20" t="str">
        <f t="shared" si="63"/>
        <v>May</v>
      </c>
      <c r="C262" s="45">
        <v>45801</v>
      </c>
      <c r="D262" s="31" t="s">
        <v>599</v>
      </c>
      <c r="E262" s="105" t="s">
        <v>600</v>
      </c>
      <c r="F262" s="26" t="s">
        <v>501</v>
      </c>
      <c r="G262" s="157" t="s">
        <v>502</v>
      </c>
      <c r="H262" s="106" t="s">
        <v>601</v>
      </c>
      <c r="I262" s="159" t="s">
        <v>160</v>
      </c>
      <c r="J262" s="22">
        <v>5665</v>
      </c>
      <c r="K262" s="64">
        <v>71.25</v>
      </c>
      <c r="L262" s="23">
        <f t="shared" si="66"/>
        <v>403631.25</v>
      </c>
      <c r="M262" s="23">
        <v>0</v>
      </c>
      <c r="N262" s="23">
        <v>0</v>
      </c>
      <c r="O262" s="112">
        <f t="shared" si="58"/>
        <v>403631.25</v>
      </c>
      <c r="P262" s="33">
        <v>0.18</v>
      </c>
      <c r="Q262" s="118">
        <v>0</v>
      </c>
      <c r="R262" s="112">
        <f t="shared" si="68"/>
        <v>36326.8125</v>
      </c>
      <c r="S262" s="112">
        <f t="shared" si="69"/>
        <v>36326.8125</v>
      </c>
      <c r="T262" s="23">
        <v>0</v>
      </c>
      <c r="U262" s="112">
        <f t="shared" si="67"/>
        <v>476284.875</v>
      </c>
    </row>
    <row r="263" spans="1:21" ht="17.100000000000001" customHeight="1" x14ac:dyDescent="0.25">
      <c r="A263" s="20">
        <f>IF(C263="","",COUNTA($C$4:C263))</f>
        <v>260</v>
      </c>
      <c r="B263" s="20" t="str">
        <f t="shared" si="63"/>
        <v>August</v>
      </c>
      <c r="C263" s="45">
        <v>45878</v>
      </c>
      <c r="D263" s="31" t="s">
        <v>1223</v>
      </c>
      <c r="E263" s="105" t="s">
        <v>1224</v>
      </c>
      <c r="F263" s="26" t="s">
        <v>903</v>
      </c>
      <c r="G263" s="157" t="s">
        <v>260</v>
      </c>
      <c r="H263" s="106" t="s">
        <v>664</v>
      </c>
      <c r="J263" s="22">
        <v>103</v>
      </c>
      <c r="K263" s="22">
        <v>13</v>
      </c>
      <c r="L263" s="23">
        <f t="shared" si="66"/>
        <v>1339</v>
      </c>
      <c r="M263" s="23">
        <v>0</v>
      </c>
      <c r="N263" s="23">
        <v>0</v>
      </c>
      <c r="O263" s="112">
        <f t="shared" ref="O263:O326" si="70">L263+M263+N263</f>
        <v>1339</v>
      </c>
      <c r="P263" s="33">
        <v>0.18</v>
      </c>
      <c r="Q263" s="115">
        <v>0</v>
      </c>
      <c r="R263" s="112">
        <f t="shared" si="68"/>
        <v>120.51</v>
      </c>
      <c r="S263" s="112">
        <f t="shared" si="69"/>
        <v>120.51</v>
      </c>
      <c r="T263" s="23">
        <v>0</v>
      </c>
      <c r="U263" s="112">
        <f t="shared" si="67"/>
        <v>1580.02</v>
      </c>
    </row>
    <row r="264" spans="1:21" ht="17.100000000000001" customHeight="1" x14ac:dyDescent="0.25">
      <c r="A264" s="20">
        <f>IF(C264="","",COUNTA($C$4:C264))</f>
        <v>261</v>
      </c>
      <c r="B264" s="20" t="str">
        <f t="shared" si="63"/>
        <v>August</v>
      </c>
      <c r="C264" s="45">
        <v>45878</v>
      </c>
      <c r="D264" s="31" t="s">
        <v>1223</v>
      </c>
      <c r="E264" s="105" t="s">
        <v>1224</v>
      </c>
      <c r="F264" s="26" t="s">
        <v>903</v>
      </c>
      <c r="G264" s="157" t="s">
        <v>260</v>
      </c>
      <c r="H264" s="106" t="s">
        <v>665</v>
      </c>
      <c r="J264" s="22">
        <v>1634</v>
      </c>
      <c r="K264" s="22">
        <v>14.5</v>
      </c>
      <c r="L264" s="23">
        <f t="shared" si="66"/>
        <v>23693</v>
      </c>
      <c r="M264" s="23">
        <v>0</v>
      </c>
      <c r="N264" s="23">
        <v>0</v>
      </c>
      <c r="O264" s="112">
        <f t="shared" si="70"/>
        <v>23693</v>
      </c>
      <c r="P264" s="33">
        <v>0.18</v>
      </c>
      <c r="Q264" s="115">
        <v>0</v>
      </c>
      <c r="R264" s="112">
        <f t="shared" si="68"/>
        <v>2132.37</v>
      </c>
      <c r="S264" s="112">
        <f t="shared" si="69"/>
        <v>2132.37</v>
      </c>
      <c r="T264" s="23">
        <v>0</v>
      </c>
      <c r="U264" s="112">
        <f t="shared" si="67"/>
        <v>27957.739999999998</v>
      </c>
    </row>
    <row r="265" spans="1:21" ht="17.100000000000001" customHeight="1" x14ac:dyDescent="0.25">
      <c r="A265" s="20">
        <f>IF(C265="","",COUNTA($C$4:C265))</f>
        <v>262</v>
      </c>
      <c r="B265" s="20" t="str">
        <f t="shared" si="63"/>
        <v>August</v>
      </c>
      <c r="C265" s="45">
        <v>45878</v>
      </c>
      <c r="D265" s="31" t="s">
        <v>1223</v>
      </c>
      <c r="E265" s="105" t="s">
        <v>1224</v>
      </c>
      <c r="F265" s="26" t="s">
        <v>903</v>
      </c>
      <c r="G265" s="157" t="s">
        <v>260</v>
      </c>
      <c r="H265" s="106" t="s">
        <v>666</v>
      </c>
      <c r="J265" s="22">
        <v>831</v>
      </c>
      <c r="K265" s="22">
        <v>16.5</v>
      </c>
      <c r="L265" s="23">
        <f t="shared" si="66"/>
        <v>13711.5</v>
      </c>
      <c r="M265" s="23">
        <v>0</v>
      </c>
      <c r="N265" s="23">
        <v>0</v>
      </c>
      <c r="O265" s="112">
        <f t="shared" si="70"/>
        <v>13711.5</v>
      </c>
      <c r="P265" s="33">
        <v>0.18</v>
      </c>
      <c r="Q265" s="115">
        <v>0</v>
      </c>
      <c r="R265" s="112">
        <f t="shared" si="68"/>
        <v>1234.0350000000001</v>
      </c>
      <c r="S265" s="112">
        <f t="shared" si="69"/>
        <v>1234.0350000000001</v>
      </c>
      <c r="T265" s="23">
        <v>0</v>
      </c>
      <c r="U265" s="112">
        <f t="shared" si="67"/>
        <v>16179.57</v>
      </c>
    </row>
    <row r="266" spans="1:21" ht="17.100000000000001" customHeight="1" x14ac:dyDescent="0.25">
      <c r="A266" s="20">
        <f>IF(C266="","",COUNTA($C$4:C266))</f>
        <v>263</v>
      </c>
      <c r="B266" s="20" t="str">
        <f t="shared" si="63"/>
        <v>August</v>
      </c>
      <c r="C266" s="45">
        <v>45878</v>
      </c>
      <c r="D266" s="31" t="s">
        <v>1223</v>
      </c>
      <c r="E266" s="105" t="s">
        <v>1224</v>
      </c>
      <c r="F266" s="26" t="s">
        <v>903</v>
      </c>
      <c r="G266" s="157" t="s">
        <v>260</v>
      </c>
      <c r="H266" s="106" t="s">
        <v>1225</v>
      </c>
      <c r="J266" s="22">
        <v>462</v>
      </c>
      <c r="K266" s="22">
        <v>17</v>
      </c>
      <c r="L266" s="23">
        <f t="shared" si="66"/>
        <v>7854</v>
      </c>
      <c r="M266" s="23">
        <v>0</v>
      </c>
      <c r="N266" s="23">
        <v>0</v>
      </c>
      <c r="O266" s="112">
        <f t="shared" si="70"/>
        <v>7854</v>
      </c>
      <c r="P266" s="33">
        <v>0.18</v>
      </c>
      <c r="Q266" s="115">
        <v>0</v>
      </c>
      <c r="R266" s="112">
        <f t="shared" si="68"/>
        <v>706.86</v>
      </c>
      <c r="S266" s="112">
        <f t="shared" si="69"/>
        <v>706.86</v>
      </c>
      <c r="T266" s="23">
        <v>0</v>
      </c>
      <c r="U266" s="112">
        <f t="shared" si="67"/>
        <v>9267.7200000000012</v>
      </c>
    </row>
    <row r="267" spans="1:21" ht="17.100000000000001" customHeight="1" x14ac:dyDescent="0.25">
      <c r="A267" s="20">
        <f>IF(C267="","",COUNTA($C$4:C267))</f>
        <v>264</v>
      </c>
      <c r="B267" s="20" t="str">
        <f t="shared" si="63"/>
        <v>August</v>
      </c>
      <c r="C267" s="45">
        <v>45880</v>
      </c>
      <c r="D267" s="31" t="s">
        <v>1276</v>
      </c>
      <c r="E267" s="105" t="s">
        <v>1277</v>
      </c>
      <c r="F267" s="26" t="s">
        <v>1278</v>
      </c>
      <c r="G267" s="157" t="s">
        <v>735</v>
      </c>
      <c r="H267" s="106" t="s">
        <v>1279</v>
      </c>
      <c r="J267" s="22">
        <v>25000</v>
      </c>
      <c r="K267" s="22">
        <v>4</v>
      </c>
      <c r="L267" s="23">
        <f t="shared" si="66"/>
        <v>100000</v>
      </c>
      <c r="M267" s="23">
        <v>0</v>
      </c>
      <c r="N267" s="23">
        <v>0</v>
      </c>
      <c r="O267" s="112">
        <f t="shared" si="70"/>
        <v>100000</v>
      </c>
      <c r="P267" s="33">
        <v>0.18</v>
      </c>
      <c r="Q267" s="115">
        <v>0</v>
      </c>
      <c r="R267" s="112">
        <f t="shared" si="68"/>
        <v>9000</v>
      </c>
      <c r="S267" s="112">
        <f t="shared" si="69"/>
        <v>9000</v>
      </c>
      <c r="T267" s="23">
        <v>0</v>
      </c>
      <c r="U267" s="112">
        <f t="shared" si="67"/>
        <v>118000</v>
      </c>
    </row>
    <row r="268" spans="1:21" ht="17.100000000000001" customHeight="1" x14ac:dyDescent="0.25">
      <c r="A268" s="20">
        <f>IF(C268="","",COUNTA($C$4:C268))</f>
        <v>265</v>
      </c>
      <c r="B268" s="20" t="str">
        <f t="shared" si="63"/>
        <v>May</v>
      </c>
      <c r="C268" s="45">
        <v>45786</v>
      </c>
      <c r="D268" s="101" t="s">
        <v>443</v>
      </c>
      <c r="E268" s="105" t="s">
        <v>444</v>
      </c>
      <c r="F268" s="26" t="s">
        <v>445</v>
      </c>
      <c r="G268" s="157" t="s">
        <v>746</v>
      </c>
      <c r="H268" s="106" t="s">
        <v>446</v>
      </c>
      <c r="J268" s="22">
        <v>504</v>
      </c>
      <c r="K268" s="64">
        <v>635</v>
      </c>
      <c r="L268" s="23">
        <f t="shared" si="66"/>
        <v>320040</v>
      </c>
      <c r="M268" s="23">
        <v>7000</v>
      </c>
      <c r="N268" s="23">
        <v>0</v>
      </c>
      <c r="O268" s="112">
        <f t="shared" si="70"/>
        <v>327040</v>
      </c>
      <c r="P268" s="33">
        <v>0.18</v>
      </c>
      <c r="Q268" s="115">
        <v>0</v>
      </c>
      <c r="R268" s="112">
        <f t="shared" si="68"/>
        <v>29433.599999999999</v>
      </c>
      <c r="S268" s="112">
        <f t="shared" si="69"/>
        <v>29433.599999999999</v>
      </c>
      <c r="T268" s="23">
        <v>0</v>
      </c>
      <c r="U268" s="112">
        <f t="shared" si="67"/>
        <v>385907.19999999995</v>
      </c>
    </row>
    <row r="269" spans="1:21" ht="17.100000000000001" customHeight="1" x14ac:dyDescent="0.25">
      <c r="A269" s="20">
        <f>IF(C269="","",COUNTA($C$4:C269))</f>
        <v>266</v>
      </c>
      <c r="B269" s="20" t="str">
        <f t="shared" si="63"/>
        <v>May</v>
      </c>
      <c r="C269" s="45">
        <v>45807</v>
      </c>
      <c r="D269" s="31" t="s">
        <v>617</v>
      </c>
      <c r="E269" s="105" t="s">
        <v>618</v>
      </c>
      <c r="F269" s="26" t="s">
        <v>619</v>
      </c>
      <c r="G269" s="157" t="s">
        <v>746</v>
      </c>
      <c r="H269" s="106" t="s">
        <v>621</v>
      </c>
      <c r="J269" s="22">
        <v>600</v>
      </c>
      <c r="K269" s="64">
        <v>360</v>
      </c>
      <c r="L269" s="23">
        <f t="shared" si="66"/>
        <v>216000</v>
      </c>
      <c r="M269" s="23">
        <v>0</v>
      </c>
      <c r="N269" s="23">
        <v>0</v>
      </c>
      <c r="O269" s="112">
        <f t="shared" si="70"/>
        <v>216000</v>
      </c>
      <c r="P269" s="33">
        <v>0.18</v>
      </c>
      <c r="Q269" s="118">
        <f>O269*18/100</f>
        <v>38880</v>
      </c>
      <c r="R269" s="115">
        <v>0</v>
      </c>
      <c r="S269" s="115">
        <v>0</v>
      </c>
      <c r="T269" s="23">
        <v>0</v>
      </c>
      <c r="U269" s="112">
        <f>O269+Q269</f>
        <v>254880</v>
      </c>
    </row>
    <row r="270" spans="1:21" ht="17.100000000000001" customHeight="1" x14ac:dyDescent="0.25">
      <c r="A270" s="20">
        <f>IF(C270="","",COUNTA($C$4:C270))</f>
        <v>267</v>
      </c>
      <c r="B270" s="20" t="str">
        <f t="shared" si="63"/>
        <v>August</v>
      </c>
      <c r="C270" s="45">
        <v>45887</v>
      </c>
      <c r="D270" s="31" t="s">
        <v>1351</v>
      </c>
      <c r="E270" s="105" t="s">
        <v>1352</v>
      </c>
      <c r="F270" s="26" t="s">
        <v>903</v>
      </c>
      <c r="G270" s="157" t="s">
        <v>260</v>
      </c>
      <c r="H270" s="106" t="s">
        <v>609</v>
      </c>
      <c r="J270" s="22">
        <v>3010</v>
      </c>
      <c r="K270" s="22">
        <v>11</v>
      </c>
      <c r="L270" s="23">
        <f t="shared" si="66"/>
        <v>33110</v>
      </c>
      <c r="M270" s="23">
        <v>0</v>
      </c>
      <c r="N270" s="23">
        <v>0</v>
      </c>
      <c r="O270" s="112">
        <f t="shared" si="70"/>
        <v>33110</v>
      </c>
      <c r="P270" s="33">
        <v>0.18</v>
      </c>
      <c r="Q270" s="115">
        <v>0</v>
      </c>
      <c r="R270" s="112">
        <f t="shared" ref="R270:R301" si="71">O270*9/100</f>
        <v>2979.9</v>
      </c>
      <c r="S270" s="112">
        <f t="shared" ref="S270:S301" si="72">O270*9/100</f>
        <v>2979.9</v>
      </c>
      <c r="T270" s="23">
        <v>0</v>
      </c>
      <c r="U270" s="112">
        <f t="shared" ref="U270:U301" si="73">O270+R270+S270</f>
        <v>39069.800000000003</v>
      </c>
    </row>
    <row r="271" spans="1:21" ht="17.100000000000001" customHeight="1" x14ac:dyDescent="0.25">
      <c r="A271" s="20">
        <f>IF(C271="","",COUNTA($C$4:C271))</f>
        <v>268</v>
      </c>
      <c r="B271" s="20" t="str">
        <f t="shared" si="63"/>
        <v>August</v>
      </c>
      <c r="C271" s="45">
        <v>45887</v>
      </c>
      <c r="D271" s="31" t="s">
        <v>1351</v>
      </c>
      <c r="E271" s="105" t="s">
        <v>1352</v>
      </c>
      <c r="F271" s="26" t="s">
        <v>903</v>
      </c>
      <c r="G271" s="157" t="s">
        <v>260</v>
      </c>
      <c r="H271" s="106" t="s">
        <v>1353</v>
      </c>
      <c r="J271" s="22">
        <v>2885</v>
      </c>
      <c r="K271" s="22">
        <v>13</v>
      </c>
      <c r="L271" s="23">
        <f t="shared" si="66"/>
        <v>37505</v>
      </c>
      <c r="M271" s="23">
        <v>0</v>
      </c>
      <c r="N271" s="23">
        <v>0</v>
      </c>
      <c r="O271" s="112">
        <f t="shared" si="70"/>
        <v>37505</v>
      </c>
      <c r="P271" s="33">
        <v>0.18</v>
      </c>
      <c r="Q271" s="115">
        <v>0</v>
      </c>
      <c r="R271" s="112">
        <f t="shared" si="71"/>
        <v>3375.45</v>
      </c>
      <c r="S271" s="112">
        <f t="shared" si="72"/>
        <v>3375.45</v>
      </c>
      <c r="T271" s="23">
        <v>0</v>
      </c>
      <c r="U271" s="112">
        <f t="shared" si="73"/>
        <v>44255.899999999994</v>
      </c>
    </row>
    <row r="272" spans="1:21" ht="17.100000000000001" customHeight="1" x14ac:dyDescent="0.25">
      <c r="A272" s="20">
        <f>IF(C272="","",COUNTA($C$4:C272))</f>
        <v>269</v>
      </c>
      <c r="B272" s="20" t="str">
        <f t="shared" si="63"/>
        <v>May</v>
      </c>
      <c r="C272" s="45">
        <v>45801</v>
      </c>
      <c r="D272" s="31" t="s">
        <v>599</v>
      </c>
      <c r="E272" s="105" t="s">
        <v>600</v>
      </c>
      <c r="F272" s="26" t="s">
        <v>501</v>
      </c>
      <c r="G272" s="157" t="s">
        <v>502</v>
      </c>
      <c r="H272" s="106" t="s">
        <v>602</v>
      </c>
      <c r="I272" s="159" t="s">
        <v>153</v>
      </c>
      <c r="J272" s="22">
        <v>12200</v>
      </c>
      <c r="K272" s="64">
        <v>74</v>
      </c>
      <c r="L272" s="23">
        <f t="shared" si="66"/>
        <v>902800</v>
      </c>
      <c r="M272" s="23">
        <v>0</v>
      </c>
      <c r="N272" s="23">
        <v>0</v>
      </c>
      <c r="O272" s="112">
        <f t="shared" si="70"/>
        <v>902800</v>
      </c>
      <c r="P272" s="33">
        <v>0.18</v>
      </c>
      <c r="Q272" s="118">
        <v>0</v>
      </c>
      <c r="R272" s="112">
        <f t="shared" si="71"/>
        <v>81252</v>
      </c>
      <c r="S272" s="112">
        <f t="shared" si="72"/>
        <v>81252</v>
      </c>
      <c r="T272" s="23">
        <v>0</v>
      </c>
      <c r="U272" s="112">
        <f t="shared" si="73"/>
        <v>1065304</v>
      </c>
    </row>
    <row r="273" spans="1:21" ht="17.100000000000001" customHeight="1" x14ac:dyDescent="0.25">
      <c r="A273" s="20">
        <f>IF(C273="","",COUNTA($C$4:C273))</f>
        <v>270</v>
      </c>
      <c r="B273" s="20" t="str">
        <f t="shared" si="63"/>
        <v>May</v>
      </c>
      <c r="C273" s="45">
        <v>45801</v>
      </c>
      <c r="D273" s="31" t="s">
        <v>603</v>
      </c>
      <c r="E273" s="105" t="s">
        <v>604</v>
      </c>
      <c r="F273" s="26" t="s">
        <v>501</v>
      </c>
      <c r="G273" s="157" t="s">
        <v>502</v>
      </c>
      <c r="H273" s="106" t="s">
        <v>605</v>
      </c>
      <c r="I273" s="159" t="s">
        <v>276</v>
      </c>
      <c r="J273" s="22">
        <v>5050</v>
      </c>
      <c r="K273" s="64">
        <v>71.25</v>
      </c>
      <c r="L273" s="23">
        <f t="shared" si="66"/>
        <v>359812.5</v>
      </c>
      <c r="M273" s="23">
        <v>2500</v>
      </c>
      <c r="N273" s="23">
        <v>150</v>
      </c>
      <c r="O273" s="112">
        <f t="shared" si="70"/>
        <v>362462.5</v>
      </c>
      <c r="P273" s="33">
        <v>0.18</v>
      </c>
      <c r="Q273" s="118">
        <v>0</v>
      </c>
      <c r="R273" s="112">
        <f t="shared" si="71"/>
        <v>32621.625</v>
      </c>
      <c r="S273" s="112">
        <f t="shared" si="72"/>
        <v>32621.625</v>
      </c>
      <c r="T273" s="23">
        <v>0</v>
      </c>
      <c r="U273" s="112">
        <f t="shared" si="73"/>
        <v>427705.75</v>
      </c>
    </row>
    <row r="274" spans="1:21" ht="17.100000000000001" customHeight="1" x14ac:dyDescent="0.25">
      <c r="A274" s="20">
        <f>IF(C274="","",COUNTA($C$4:C274))</f>
        <v>271</v>
      </c>
      <c r="B274" s="20" t="str">
        <f t="shared" si="63"/>
        <v>July</v>
      </c>
      <c r="C274" s="45">
        <v>45843</v>
      </c>
      <c r="D274" s="31" t="s">
        <v>926</v>
      </c>
      <c r="E274" s="105" t="s">
        <v>927</v>
      </c>
      <c r="F274" s="26" t="s">
        <v>928</v>
      </c>
      <c r="G274" s="157" t="s">
        <v>502</v>
      </c>
      <c r="H274" s="106" t="s">
        <v>929</v>
      </c>
      <c r="I274" s="159" t="s">
        <v>266</v>
      </c>
      <c r="J274" s="22">
        <v>9845</v>
      </c>
      <c r="K274" s="64">
        <v>71</v>
      </c>
      <c r="L274" s="23">
        <f t="shared" si="66"/>
        <v>698995</v>
      </c>
      <c r="M274" s="23">
        <v>0</v>
      </c>
      <c r="N274" s="23">
        <v>0</v>
      </c>
      <c r="O274" s="112">
        <f t="shared" si="70"/>
        <v>698995</v>
      </c>
      <c r="P274" s="33">
        <v>0.18</v>
      </c>
      <c r="Q274" s="118">
        <v>0</v>
      </c>
      <c r="R274" s="112">
        <f t="shared" si="71"/>
        <v>62909.55</v>
      </c>
      <c r="S274" s="112">
        <f t="shared" si="72"/>
        <v>62909.55</v>
      </c>
      <c r="T274" s="23">
        <v>0</v>
      </c>
      <c r="U274" s="112">
        <f t="shared" si="73"/>
        <v>824814.10000000009</v>
      </c>
    </row>
    <row r="275" spans="1:21" ht="17.100000000000001" customHeight="1" x14ac:dyDescent="0.25">
      <c r="A275" s="20">
        <f>IF(C275="","",COUNTA($C$4:C275))</f>
        <v>272</v>
      </c>
      <c r="B275" s="20" t="str">
        <f t="shared" si="63"/>
        <v>July</v>
      </c>
      <c r="C275" s="45">
        <v>45843</v>
      </c>
      <c r="D275" s="31" t="s">
        <v>926</v>
      </c>
      <c r="E275" s="105" t="s">
        <v>927</v>
      </c>
      <c r="F275" s="26" t="s">
        <v>928</v>
      </c>
      <c r="G275" s="157" t="s">
        <v>502</v>
      </c>
      <c r="H275" s="106" t="s">
        <v>929</v>
      </c>
      <c r="I275" s="159" t="s">
        <v>266</v>
      </c>
      <c r="J275" s="22">
        <v>11175</v>
      </c>
      <c r="K275" s="64">
        <v>71</v>
      </c>
      <c r="L275" s="23">
        <f t="shared" ref="L275:L295" si="74">J275*K275</f>
        <v>793425</v>
      </c>
      <c r="M275" s="23">
        <v>0</v>
      </c>
      <c r="N275" s="23">
        <v>0</v>
      </c>
      <c r="O275" s="112">
        <f t="shared" si="70"/>
        <v>793425</v>
      </c>
      <c r="P275" s="33">
        <v>0.18</v>
      </c>
      <c r="Q275" s="118">
        <v>0</v>
      </c>
      <c r="R275" s="112">
        <f t="shared" si="71"/>
        <v>71408.25</v>
      </c>
      <c r="S275" s="112">
        <f t="shared" si="72"/>
        <v>71408.25</v>
      </c>
      <c r="T275" s="23">
        <v>0</v>
      </c>
      <c r="U275" s="112">
        <f t="shared" si="73"/>
        <v>936241.5</v>
      </c>
    </row>
    <row r="276" spans="1:21" ht="17.100000000000001" customHeight="1" x14ac:dyDescent="0.25">
      <c r="A276" s="20">
        <f>IF(C276="","",COUNTA($C$4:C276))</f>
        <v>273</v>
      </c>
      <c r="B276" s="20" t="str">
        <f t="shared" si="63"/>
        <v>July</v>
      </c>
      <c r="C276" s="45">
        <v>45843</v>
      </c>
      <c r="D276" s="31" t="s">
        <v>930</v>
      </c>
      <c r="E276" s="105" t="s">
        <v>931</v>
      </c>
      <c r="F276" s="26" t="s">
        <v>928</v>
      </c>
      <c r="G276" s="157" t="s">
        <v>502</v>
      </c>
      <c r="H276" s="106" t="s">
        <v>932</v>
      </c>
      <c r="I276" s="159" t="s">
        <v>160</v>
      </c>
      <c r="J276" s="22">
        <v>5380</v>
      </c>
      <c r="K276" s="64">
        <v>69</v>
      </c>
      <c r="L276" s="23">
        <f t="shared" si="74"/>
        <v>371220</v>
      </c>
      <c r="M276" s="23">
        <v>13250</v>
      </c>
      <c r="N276" s="23">
        <v>150</v>
      </c>
      <c r="O276" s="112">
        <f t="shared" si="70"/>
        <v>384620</v>
      </c>
      <c r="P276" s="33">
        <v>0.18</v>
      </c>
      <c r="Q276" s="118">
        <v>0</v>
      </c>
      <c r="R276" s="112">
        <f t="shared" si="71"/>
        <v>34615.800000000003</v>
      </c>
      <c r="S276" s="112">
        <f t="shared" si="72"/>
        <v>34615.800000000003</v>
      </c>
      <c r="T276" s="23">
        <v>0</v>
      </c>
      <c r="U276" s="112">
        <f t="shared" si="73"/>
        <v>453851.6</v>
      </c>
    </row>
    <row r="277" spans="1:21" ht="17.100000000000001" customHeight="1" x14ac:dyDescent="0.25">
      <c r="A277" s="20">
        <f>IF(C277="","",COUNTA($C$4:C277))</f>
        <v>274</v>
      </c>
      <c r="B277" s="20" t="str">
        <f t="shared" si="63"/>
        <v>July</v>
      </c>
      <c r="C277" s="45">
        <v>45849</v>
      </c>
      <c r="D277" s="31" t="s">
        <v>991</v>
      </c>
      <c r="E277" s="105" t="s">
        <v>992</v>
      </c>
      <c r="F277" s="26" t="s">
        <v>928</v>
      </c>
      <c r="G277" s="157" t="s">
        <v>502</v>
      </c>
      <c r="H277" s="106" t="s">
        <v>993</v>
      </c>
      <c r="I277" s="159" t="s">
        <v>266</v>
      </c>
      <c r="J277" s="22">
        <v>5320</v>
      </c>
      <c r="K277" s="64">
        <v>71</v>
      </c>
      <c r="L277" s="23">
        <f t="shared" si="74"/>
        <v>377720</v>
      </c>
      <c r="M277" s="23">
        <v>12850</v>
      </c>
      <c r="N277" s="23">
        <v>150</v>
      </c>
      <c r="O277" s="112">
        <f t="shared" si="70"/>
        <v>390720</v>
      </c>
      <c r="P277" s="33">
        <v>0.18</v>
      </c>
      <c r="Q277" s="119">
        <v>0</v>
      </c>
      <c r="R277" s="112">
        <f t="shared" si="71"/>
        <v>35164.800000000003</v>
      </c>
      <c r="S277" s="112">
        <f t="shared" si="72"/>
        <v>35164.800000000003</v>
      </c>
      <c r="T277" s="23">
        <v>0</v>
      </c>
      <c r="U277" s="112">
        <f t="shared" si="73"/>
        <v>461049.59999999998</v>
      </c>
    </row>
    <row r="278" spans="1:21" ht="17.100000000000001" customHeight="1" x14ac:dyDescent="0.25">
      <c r="A278" s="20">
        <f>IF(C278="","",COUNTA($C$4:C278))</f>
        <v>275</v>
      </c>
      <c r="B278" s="20" t="str">
        <f t="shared" si="63"/>
        <v>July</v>
      </c>
      <c r="C278" s="45">
        <v>45849</v>
      </c>
      <c r="D278" s="31" t="s">
        <v>991</v>
      </c>
      <c r="E278" s="105" t="s">
        <v>992</v>
      </c>
      <c r="F278" s="26" t="s">
        <v>928</v>
      </c>
      <c r="G278" s="157" t="s">
        <v>502</v>
      </c>
      <c r="H278" s="106" t="s">
        <v>993</v>
      </c>
      <c r="I278" s="159" t="s">
        <v>266</v>
      </c>
      <c r="J278" s="22">
        <v>4935</v>
      </c>
      <c r="K278" s="64">
        <v>71</v>
      </c>
      <c r="L278" s="23">
        <f t="shared" si="74"/>
        <v>350385</v>
      </c>
      <c r="M278" s="23">
        <v>0</v>
      </c>
      <c r="N278" s="23">
        <v>0</v>
      </c>
      <c r="O278" s="112">
        <f t="shared" si="70"/>
        <v>350385</v>
      </c>
      <c r="P278" s="33">
        <v>0.18</v>
      </c>
      <c r="Q278" s="119">
        <v>0</v>
      </c>
      <c r="R278" s="112">
        <f t="shared" si="71"/>
        <v>31534.65</v>
      </c>
      <c r="S278" s="112">
        <f t="shared" si="72"/>
        <v>31534.65</v>
      </c>
      <c r="T278" s="23">
        <v>0</v>
      </c>
      <c r="U278" s="112">
        <f t="shared" si="73"/>
        <v>413454.30000000005</v>
      </c>
    </row>
    <row r="279" spans="1:21" ht="17.100000000000001" customHeight="1" x14ac:dyDescent="0.25">
      <c r="A279" s="20">
        <f>IF(C279="","",COUNTA($C$4:C279))</f>
        <v>276</v>
      </c>
      <c r="B279" s="20" t="str">
        <f t="shared" si="63"/>
        <v>July</v>
      </c>
      <c r="C279" s="45">
        <v>45849</v>
      </c>
      <c r="D279" s="31" t="s">
        <v>991</v>
      </c>
      <c r="E279" s="105" t="s">
        <v>992</v>
      </c>
      <c r="F279" s="26" t="s">
        <v>928</v>
      </c>
      <c r="G279" s="157" t="s">
        <v>502</v>
      </c>
      <c r="H279" s="106" t="s">
        <v>994</v>
      </c>
      <c r="I279" s="159" t="s">
        <v>160</v>
      </c>
      <c r="J279" s="22">
        <v>5280</v>
      </c>
      <c r="K279" s="64">
        <v>69</v>
      </c>
      <c r="L279" s="23">
        <f t="shared" si="74"/>
        <v>364320</v>
      </c>
      <c r="M279" s="23">
        <v>0</v>
      </c>
      <c r="N279" s="23">
        <v>0</v>
      </c>
      <c r="O279" s="112">
        <f t="shared" si="70"/>
        <v>364320</v>
      </c>
      <c r="P279" s="33">
        <v>0.18</v>
      </c>
      <c r="Q279" s="119">
        <v>0</v>
      </c>
      <c r="R279" s="112">
        <f t="shared" si="71"/>
        <v>32788.800000000003</v>
      </c>
      <c r="S279" s="112">
        <f t="shared" si="72"/>
        <v>32788.800000000003</v>
      </c>
      <c r="T279" s="23">
        <v>0</v>
      </c>
      <c r="U279" s="112">
        <f t="shared" si="73"/>
        <v>429897.6</v>
      </c>
    </row>
    <row r="280" spans="1:21" ht="17.100000000000001" customHeight="1" x14ac:dyDescent="0.25">
      <c r="A280" s="20">
        <f>IF(C280="","",COUNTA($C$4:C280))</f>
        <v>277</v>
      </c>
      <c r="B280" s="20" t="str">
        <f t="shared" si="63"/>
        <v>July</v>
      </c>
      <c r="C280" s="45">
        <v>45849</v>
      </c>
      <c r="D280" s="31" t="s">
        <v>991</v>
      </c>
      <c r="E280" s="105" t="s">
        <v>992</v>
      </c>
      <c r="F280" s="26" t="s">
        <v>928</v>
      </c>
      <c r="G280" s="157" t="s">
        <v>502</v>
      </c>
      <c r="H280" s="106" t="s">
        <v>994</v>
      </c>
      <c r="I280" s="159" t="s">
        <v>160</v>
      </c>
      <c r="J280" s="22">
        <v>3080</v>
      </c>
      <c r="K280" s="64">
        <v>69</v>
      </c>
      <c r="L280" s="23">
        <f t="shared" si="74"/>
        <v>212520</v>
      </c>
      <c r="M280" s="23">
        <v>0</v>
      </c>
      <c r="N280" s="23">
        <v>0</v>
      </c>
      <c r="O280" s="112">
        <f t="shared" si="70"/>
        <v>212520</v>
      </c>
      <c r="P280" s="33">
        <v>0.18</v>
      </c>
      <c r="Q280" s="119">
        <v>0</v>
      </c>
      <c r="R280" s="112">
        <f t="shared" si="71"/>
        <v>19126.8</v>
      </c>
      <c r="S280" s="112">
        <f t="shared" si="72"/>
        <v>19126.8</v>
      </c>
      <c r="T280" s="23">
        <v>0</v>
      </c>
      <c r="U280" s="112">
        <f t="shared" si="73"/>
        <v>250773.59999999998</v>
      </c>
    </row>
    <row r="281" spans="1:21" ht="17.100000000000001" customHeight="1" x14ac:dyDescent="0.25">
      <c r="A281" s="20">
        <f>IF(C281="","",COUNTA($C$4:C281))</f>
        <v>278</v>
      </c>
      <c r="B281" s="20" t="str">
        <f t="shared" si="63"/>
        <v>July</v>
      </c>
      <c r="C281" s="45">
        <v>45849</v>
      </c>
      <c r="D281" s="31" t="s">
        <v>991</v>
      </c>
      <c r="E281" s="105" t="s">
        <v>992</v>
      </c>
      <c r="F281" s="26" t="s">
        <v>928</v>
      </c>
      <c r="G281" s="157" t="s">
        <v>502</v>
      </c>
      <c r="H281" s="106" t="s">
        <v>994</v>
      </c>
      <c r="I281" s="159" t="s">
        <v>160</v>
      </c>
      <c r="J281" s="22">
        <v>3105</v>
      </c>
      <c r="K281" s="64">
        <v>69</v>
      </c>
      <c r="L281" s="23">
        <f t="shared" si="74"/>
        <v>214245</v>
      </c>
      <c r="M281" s="23">
        <v>0</v>
      </c>
      <c r="N281" s="23">
        <v>0</v>
      </c>
      <c r="O281" s="112">
        <f t="shared" si="70"/>
        <v>214245</v>
      </c>
      <c r="P281" s="33">
        <v>0.18</v>
      </c>
      <c r="Q281" s="119">
        <v>0</v>
      </c>
      <c r="R281" s="112">
        <f t="shared" si="71"/>
        <v>19282.05</v>
      </c>
      <c r="S281" s="112">
        <f t="shared" si="72"/>
        <v>19282.05</v>
      </c>
      <c r="T281" s="23">
        <v>0</v>
      </c>
      <c r="U281" s="112">
        <f t="shared" si="73"/>
        <v>252809.09999999998</v>
      </c>
    </row>
    <row r="282" spans="1:21" ht="17.100000000000001" customHeight="1" x14ac:dyDescent="0.25">
      <c r="A282" s="20">
        <f>IF(C282="","",COUNTA($C$4:C282))</f>
        <v>279</v>
      </c>
      <c r="B282" s="20" t="str">
        <f t="shared" si="63"/>
        <v>July</v>
      </c>
      <c r="C282" s="45">
        <v>45849</v>
      </c>
      <c r="D282" s="31" t="s">
        <v>991</v>
      </c>
      <c r="E282" s="105" t="s">
        <v>992</v>
      </c>
      <c r="F282" s="26" t="s">
        <v>928</v>
      </c>
      <c r="G282" s="157" t="s">
        <v>502</v>
      </c>
      <c r="H282" s="106" t="s">
        <v>994</v>
      </c>
      <c r="I282" s="159" t="s">
        <v>160</v>
      </c>
      <c r="J282" s="22">
        <v>3975</v>
      </c>
      <c r="K282" s="64">
        <v>69</v>
      </c>
      <c r="L282" s="23">
        <f t="shared" si="74"/>
        <v>274275</v>
      </c>
      <c r="M282" s="23">
        <v>0</v>
      </c>
      <c r="N282" s="23">
        <v>0</v>
      </c>
      <c r="O282" s="112">
        <f t="shared" si="70"/>
        <v>274275</v>
      </c>
      <c r="P282" s="33">
        <v>0.18</v>
      </c>
      <c r="Q282" s="119">
        <v>0</v>
      </c>
      <c r="R282" s="112">
        <f t="shared" si="71"/>
        <v>24684.75</v>
      </c>
      <c r="S282" s="112">
        <f t="shared" si="72"/>
        <v>24684.75</v>
      </c>
      <c r="T282" s="23">
        <v>0</v>
      </c>
      <c r="U282" s="112">
        <f t="shared" si="73"/>
        <v>323644.5</v>
      </c>
    </row>
    <row r="283" spans="1:21" ht="17.100000000000001" customHeight="1" x14ac:dyDescent="0.25">
      <c r="A283" s="20">
        <f>IF(C283="","",COUNTA($C$4:C283))</f>
        <v>280</v>
      </c>
      <c r="B283" s="20" t="str">
        <f t="shared" si="63"/>
        <v>July</v>
      </c>
      <c r="C283" s="45">
        <v>45854</v>
      </c>
      <c r="D283" s="31" t="s">
        <v>1007</v>
      </c>
      <c r="E283" s="105" t="s">
        <v>1008</v>
      </c>
      <c r="F283" s="26" t="s">
        <v>928</v>
      </c>
      <c r="G283" s="157" t="s">
        <v>502</v>
      </c>
      <c r="H283" s="106" t="s">
        <v>993</v>
      </c>
      <c r="I283" s="159" t="s">
        <v>266</v>
      </c>
      <c r="J283" s="22">
        <v>5370</v>
      </c>
      <c r="K283" s="64">
        <v>71</v>
      </c>
      <c r="L283" s="23">
        <f t="shared" si="74"/>
        <v>381270</v>
      </c>
      <c r="M283" s="23">
        <v>10000</v>
      </c>
      <c r="N283" s="23">
        <v>150</v>
      </c>
      <c r="O283" s="112">
        <f t="shared" si="70"/>
        <v>391420</v>
      </c>
      <c r="P283" s="33">
        <v>0.18</v>
      </c>
      <c r="Q283" s="118">
        <v>0</v>
      </c>
      <c r="R283" s="112">
        <f t="shared" si="71"/>
        <v>35227.800000000003</v>
      </c>
      <c r="S283" s="112">
        <f t="shared" si="72"/>
        <v>35227.800000000003</v>
      </c>
      <c r="T283" s="23">
        <v>0</v>
      </c>
      <c r="U283" s="112">
        <f t="shared" si="73"/>
        <v>461875.6</v>
      </c>
    </row>
    <row r="284" spans="1:21" ht="17.100000000000001" customHeight="1" x14ac:dyDescent="0.25">
      <c r="A284" s="20">
        <f>IF(C284="","",COUNTA($C$4:C284))</f>
        <v>281</v>
      </c>
      <c r="B284" s="20" t="str">
        <f t="shared" si="63"/>
        <v>July</v>
      </c>
      <c r="C284" s="45">
        <v>45854</v>
      </c>
      <c r="D284" s="31" t="s">
        <v>1007</v>
      </c>
      <c r="E284" s="105" t="s">
        <v>1008</v>
      </c>
      <c r="F284" s="26" t="s">
        <v>928</v>
      </c>
      <c r="G284" s="157" t="s">
        <v>502</v>
      </c>
      <c r="H284" s="106" t="s">
        <v>993</v>
      </c>
      <c r="I284" s="159" t="s">
        <v>266</v>
      </c>
      <c r="J284" s="22">
        <v>5145</v>
      </c>
      <c r="K284" s="64">
        <v>71</v>
      </c>
      <c r="L284" s="23">
        <f t="shared" si="74"/>
        <v>365295</v>
      </c>
      <c r="M284" s="23">
        <v>0</v>
      </c>
      <c r="N284" s="23">
        <v>0</v>
      </c>
      <c r="O284" s="112">
        <f t="shared" si="70"/>
        <v>365295</v>
      </c>
      <c r="P284" s="33">
        <v>0.18</v>
      </c>
      <c r="Q284" s="118">
        <v>0</v>
      </c>
      <c r="R284" s="112">
        <f t="shared" si="71"/>
        <v>32876.550000000003</v>
      </c>
      <c r="S284" s="112">
        <f t="shared" si="72"/>
        <v>32876.550000000003</v>
      </c>
      <c r="T284" s="23">
        <v>0</v>
      </c>
      <c r="U284" s="112">
        <f t="shared" si="73"/>
        <v>431048.1</v>
      </c>
    </row>
    <row r="285" spans="1:21" ht="17.100000000000001" customHeight="1" x14ac:dyDescent="0.25">
      <c r="A285" s="20">
        <f>IF(C285="","",COUNTA($C$4:C285))</f>
        <v>282</v>
      </c>
      <c r="B285" s="20" t="str">
        <f t="shared" si="63"/>
        <v>June</v>
      </c>
      <c r="C285" s="45">
        <v>45834</v>
      </c>
      <c r="D285" s="31" t="s">
        <v>837</v>
      </c>
      <c r="E285" s="105" t="s">
        <v>838</v>
      </c>
      <c r="F285" s="26" t="s">
        <v>839</v>
      </c>
      <c r="G285" s="157" t="s">
        <v>746</v>
      </c>
      <c r="H285" s="106" t="s">
        <v>841</v>
      </c>
      <c r="J285" s="22">
        <v>100</v>
      </c>
      <c r="K285" s="64">
        <v>430</v>
      </c>
      <c r="L285" s="23">
        <f t="shared" si="74"/>
        <v>43000</v>
      </c>
      <c r="M285" s="23">
        <v>0</v>
      </c>
      <c r="N285" s="23">
        <v>0</v>
      </c>
      <c r="O285" s="112">
        <f t="shared" si="70"/>
        <v>43000</v>
      </c>
      <c r="P285" s="33">
        <v>0.18</v>
      </c>
      <c r="Q285" s="118">
        <v>0</v>
      </c>
      <c r="R285" s="112">
        <f t="shared" si="71"/>
        <v>3870</v>
      </c>
      <c r="S285" s="112">
        <f t="shared" si="72"/>
        <v>3870</v>
      </c>
      <c r="T285" s="23">
        <v>0</v>
      </c>
      <c r="U285" s="112">
        <f t="shared" si="73"/>
        <v>50740</v>
      </c>
    </row>
    <row r="286" spans="1:21" ht="17.100000000000001" customHeight="1" x14ac:dyDescent="0.25">
      <c r="A286" s="20">
        <f>IF(C286="","",COUNTA($C$4:C286))</f>
        <v>283</v>
      </c>
      <c r="B286" s="20" t="str">
        <f t="shared" si="63"/>
        <v>July</v>
      </c>
      <c r="C286" s="45">
        <v>45868</v>
      </c>
      <c r="D286" s="31" t="s">
        <v>1165</v>
      </c>
      <c r="E286" s="105" t="s">
        <v>1166</v>
      </c>
      <c r="F286" s="26" t="s">
        <v>1167</v>
      </c>
      <c r="G286" s="157" t="s">
        <v>746</v>
      </c>
      <c r="H286" s="106" t="s">
        <v>1168</v>
      </c>
      <c r="J286" s="22">
        <v>2640</v>
      </c>
      <c r="K286" s="22">
        <v>101.5</v>
      </c>
      <c r="L286" s="23">
        <f t="shared" si="74"/>
        <v>267960</v>
      </c>
      <c r="M286" s="23">
        <v>56000</v>
      </c>
      <c r="N286" s="23">
        <v>0</v>
      </c>
      <c r="O286" s="112">
        <f t="shared" si="70"/>
        <v>323960</v>
      </c>
      <c r="P286" s="33">
        <v>0.18</v>
      </c>
      <c r="Q286" s="115">
        <v>0</v>
      </c>
      <c r="R286" s="112">
        <f t="shared" si="71"/>
        <v>29156.400000000001</v>
      </c>
      <c r="S286" s="112">
        <f t="shared" si="72"/>
        <v>29156.400000000001</v>
      </c>
      <c r="T286" s="23">
        <v>0</v>
      </c>
      <c r="U286" s="112">
        <f t="shared" si="73"/>
        <v>382272.80000000005</v>
      </c>
    </row>
    <row r="287" spans="1:21" ht="17.100000000000001" customHeight="1" x14ac:dyDescent="0.25">
      <c r="A287" s="20">
        <f>IF(C287="","",COUNTA($C$4:C287))</f>
        <v>284</v>
      </c>
      <c r="B287" s="20" t="str">
        <f t="shared" si="63"/>
        <v>July</v>
      </c>
      <c r="C287" s="45">
        <v>45854</v>
      </c>
      <c r="D287" s="31" t="s">
        <v>1007</v>
      </c>
      <c r="E287" s="105" t="s">
        <v>1008</v>
      </c>
      <c r="F287" s="26" t="s">
        <v>928</v>
      </c>
      <c r="G287" s="157" t="s">
        <v>502</v>
      </c>
      <c r="H287" s="106" t="s">
        <v>993</v>
      </c>
      <c r="I287" s="159" t="s">
        <v>266</v>
      </c>
      <c r="J287" s="22">
        <v>5200</v>
      </c>
      <c r="K287" s="64">
        <v>71</v>
      </c>
      <c r="L287" s="23">
        <f t="shared" si="74"/>
        <v>369200</v>
      </c>
      <c r="M287" s="23">
        <v>0</v>
      </c>
      <c r="N287" s="23">
        <v>0</v>
      </c>
      <c r="O287" s="112">
        <f t="shared" si="70"/>
        <v>369200</v>
      </c>
      <c r="P287" s="33">
        <v>0.18</v>
      </c>
      <c r="Q287" s="118">
        <v>0</v>
      </c>
      <c r="R287" s="112">
        <f t="shared" si="71"/>
        <v>33228</v>
      </c>
      <c r="S287" s="112">
        <f t="shared" si="72"/>
        <v>33228</v>
      </c>
      <c r="T287" s="23">
        <v>0</v>
      </c>
      <c r="U287" s="112">
        <f t="shared" si="73"/>
        <v>435656</v>
      </c>
    </row>
    <row r="288" spans="1:21" ht="17.100000000000001" customHeight="1" x14ac:dyDescent="0.25">
      <c r="A288" s="20">
        <f>IF(C288="","",COUNTA($C$4:C288))</f>
        <v>285</v>
      </c>
      <c r="B288" s="20" t="str">
        <f t="shared" si="63"/>
        <v>July</v>
      </c>
      <c r="C288" s="45">
        <v>45854</v>
      </c>
      <c r="D288" s="31" t="s">
        <v>1007</v>
      </c>
      <c r="E288" s="105" t="s">
        <v>1008</v>
      </c>
      <c r="F288" s="26" t="s">
        <v>928</v>
      </c>
      <c r="G288" s="157" t="s">
        <v>502</v>
      </c>
      <c r="H288" s="106" t="s">
        <v>993</v>
      </c>
      <c r="I288" s="159" t="s">
        <v>266</v>
      </c>
      <c r="J288" s="22">
        <v>4460</v>
      </c>
      <c r="K288" s="64">
        <v>71</v>
      </c>
      <c r="L288" s="23">
        <f t="shared" si="74"/>
        <v>316660</v>
      </c>
      <c r="M288" s="23">
        <v>0</v>
      </c>
      <c r="N288" s="23">
        <v>0</v>
      </c>
      <c r="O288" s="112">
        <f t="shared" si="70"/>
        <v>316660</v>
      </c>
      <c r="P288" s="33">
        <v>0.18</v>
      </c>
      <c r="Q288" s="118">
        <v>0</v>
      </c>
      <c r="R288" s="112">
        <f t="shared" si="71"/>
        <v>28499.4</v>
      </c>
      <c r="S288" s="112">
        <f t="shared" si="72"/>
        <v>28499.4</v>
      </c>
      <c r="T288" s="23">
        <v>0</v>
      </c>
      <c r="U288" s="112">
        <f t="shared" si="73"/>
        <v>373658.80000000005</v>
      </c>
    </row>
    <row r="289" spans="1:21" ht="17.100000000000001" customHeight="1" x14ac:dyDescent="0.25">
      <c r="A289" s="20">
        <f>IF(C289="","",COUNTA($C$4:C289))</f>
        <v>286</v>
      </c>
      <c r="B289" s="20" t="str">
        <f t="shared" si="63"/>
        <v>July</v>
      </c>
      <c r="C289" s="45">
        <v>45864</v>
      </c>
      <c r="D289" s="31" t="s">
        <v>1103</v>
      </c>
      <c r="E289" s="105" t="s">
        <v>1104</v>
      </c>
      <c r="F289" s="26" t="s">
        <v>928</v>
      </c>
      <c r="G289" s="157" t="s">
        <v>502</v>
      </c>
      <c r="H289" s="106" t="s">
        <v>1105</v>
      </c>
      <c r="I289" s="159" t="s">
        <v>153</v>
      </c>
      <c r="J289" s="22">
        <v>9532</v>
      </c>
      <c r="K289" s="22">
        <v>72</v>
      </c>
      <c r="L289" s="23">
        <f t="shared" si="74"/>
        <v>686304</v>
      </c>
      <c r="M289" s="23">
        <v>7800</v>
      </c>
      <c r="N289" s="23">
        <v>150</v>
      </c>
      <c r="O289" s="112">
        <f t="shared" si="70"/>
        <v>694254</v>
      </c>
      <c r="P289" s="33">
        <v>0.18</v>
      </c>
      <c r="Q289" s="115">
        <v>0</v>
      </c>
      <c r="R289" s="112">
        <f t="shared" si="71"/>
        <v>62482.86</v>
      </c>
      <c r="S289" s="112">
        <f t="shared" si="72"/>
        <v>62482.86</v>
      </c>
      <c r="T289" s="23">
        <v>0</v>
      </c>
      <c r="U289" s="112">
        <f t="shared" si="73"/>
        <v>819219.72</v>
      </c>
    </row>
    <row r="290" spans="1:21" ht="17.100000000000001" customHeight="1" x14ac:dyDescent="0.25">
      <c r="A290" s="20">
        <f>IF(C290="","",COUNTA($C$4:C290))</f>
        <v>287</v>
      </c>
      <c r="B290" s="20" t="str">
        <f t="shared" si="63"/>
        <v>July</v>
      </c>
      <c r="C290" s="45">
        <v>45864</v>
      </c>
      <c r="D290" s="31" t="s">
        <v>1103</v>
      </c>
      <c r="E290" s="105" t="s">
        <v>1104</v>
      </c>
      <c r="F290" s="26" t="s">
        <v>928</v>
      </c>
      <c r="G290" s="157" t="s">
        <v>502</v>
      </c>
      <c r="H290" s="106" t="s">
        <v>1106</v>
      </c>
      <c r="I290" s="159" t="s">
        <v>160</v>
      </c>
      <c r="J290" s="22">
        <v>6146</v>
      </c>
      <c r="K290" s="22">
        <v>69</v>
      </c>
      <c r="L290" s="23">
        <f t="shared" si="74"/>
        <v>424074</v>
      </c>
      <c r="M290" s="23">
        <v>0</v>
      </c>
      <c r="N290" s="23">
        <v>0</v>
      </c>
      <c r="O290" s="112">
        <f t="shared" si="70"/>
        <v>424074</v>
      </c>
      <c r="P290" s="33">
        <v>0.18</v>
      </c>
      <c r="Q290" s="115">
        <v>0</v>
      </c>
      <c r="R290" s="112">
        <f t="shared" si="71"/>
        <v>38166.660000000003</v>
      </c>
      <c r="S290" s="112">
        <f t="shared" si="72"/>
        <v>38166.660000000003</v>
      </c>
      <c r="T290" s="23">
        <v>0</v>
      </c>
      <c r="U290" s="112">
        <f t="shared" si="73"/>
        <v>500407.32000000007</v>
      </c>
    </row>
    <row r="291" spans="1:21" ht="17.100000000000001" customHeight="1" x14ac:dyDescent="0.25">
      <c r="A291" s="20">
        <f>IF(C291="","",COUNTA($C$4:C291))</f>
        <v>288</v>
      </c>
      <c r="B291" s="20" t="str">
        <f t="shared" ref="B291:B354" si="75">IF(C291="","",TEXT(C291,"mmmm"))</f>
        <v>August</v>
      </c>
      <c r="C291" s="45">
        <v>45877</v>
      </c>
      <c r="D291" s="31" t="s">
        <v>1217</v>
      </c>
      <c r="E291" s="105" t="s">
        <v>1218</v>
      </c>
      <c r="F291" s="26" t="s">
        <v>1219</v>
      </c>
      <c r="G291" s="157" t="s">
        <v>502</v>
      </c>
      <c r="H291" s="106" t="s">
        <v>1220</v>
      </c>
      <c r="I291" s="159" t="s">
        <v>1145</v>
      </c>
      <c r="J291" s="22">
        <v>5900</v>
      </c>
      <c r="K291" s="22">
        <v>69</v>
      </c>
      <c r="L291" s="23">
        <f t="shared" si="74"/>
        <v>407100</v>
      </c>
      <c r="M291" s="23">
        <v>11200</v>
      </c>
      <c r="N291" s="23">
        <v>150</v>
      </c>
      <c r="O291" s="112">
        <f t="shared" si="70"/>
        <v>418450</v>
      </c>
      <c r="P291" s="33">
        <v>0.18</v>
      </c>
      <c r="Q291" s="115">
        <v>0</v>
      </c>
      <c r="R291" s="112">
        <f t="shared" si="71"/>
        <v>37660.5</v>
      </c>
      <c r="S291" s="112">
        <f t="shared" si="72"/>
        <v>37660.5</v>
      </c>
      <c r="T291" s="23">
        <v>0</v>
      </c>
      <c r="U291" s="112">
        <f t="shared" si="73"/>
        <v>493771</v>
      </c>
    </row>
    <row r="292" spans="1:21" ht="17.100000000000001" customHeight="1" x14ac:dyDescent="0.25">
      <c r="A292" s="20">
        <f>IF(C292="","",COUNTA($C$4:C292))</f>
        <v>289</v>
      </c>
      <c r="B292" s="20" t="str">
        <f t="shared" si="75"/>
        <v>August</v>
      </c>
      <c r="C292" s="45">
        <v>45877</v>
      </c>
      <c r="D292" s="31" t="s">
        <v>1217</v>
      </c>
      <c r="E292" s="105" t="s">
        <v>1218</v>
      </c>
      <c r="F292" s="26" t="s">
        <v>1219</v>
      </c>
      <c r="G292" s="157" t="s">
        <v>502</v>
      </c>
      <c r="H292" s="106" t="s">
        <v>1221</v>
      </c>
      <c r="I292" s="159" t="s">
        <v>276</v>
      </c>
      <c r="J292" s="22">
        <v>5210</v>
      </c>
      <c r="K292" s="22">
        <v>69</v>
      </c>
      <c r="L292" s="23">
        <f t="shared" si="74"/>
        <v>359490</v>
      </c>
      <c r="M292" s="23">
        <v>0</v>
      </c>
      <c r="N292" s="23">
        <v>0</v>
      </c>
      <c r="O292" s="112">
        <f t="shared" si="70"/>
        <v>359490</v>
      </c>
      <c r="P292" s="33">
        <v>0.18</v>
      </c>
      <c r="Q292" s="115">
        <v>0</v>
      </c>
      <c r="R292" s="112">
        <f t="shared" si="71"/>
        <v>32354.1</v>
      </c>
      <c r="S292" s="112">
        <f t="shared" si="72"/>
        <v>32354.1</v>
      </c>
      <c r="T292" s="23">
        <v>0</v>
      </c>
      <c r="U292" s="112">
        <f t="shared" si="73"/>
        <v>424198.19999999995</v>
      </c>
    </row>
    <row r="293" spans="1:21" ht="17.100000000000001" customHeight="1" x14ac:dyDescent="0.25">
      <c r="A293" s="20">
        <f>IF(C293="","",COUNTA($C$4:C293))</f>
        <v>290</v>
      </c>
      <c r="B293" s="20" t="str">
        <f t="shared" si="75"/>
        <v>August</v>
      </c>
      <c r="C293" s="45">
        <v>45877</v>
      </c>
      <c r="D293" s="31" t="s">
        <v>1217</v>
      </c>
      <c r="E293" s="105" t="s">
        <v>1218</v>
      </c>
      <c r="F293" s="26" t="s">
        <v>1219</v>
      </c>
      <c r="G293" s="157" t="s">
        <v>502</v>
      </c>
      <c r="H293" s="106" t="s">
        <v>1221</v>
      </c>
      <c r="I293" s="159" t="s">
        <v>276</v>
      </c>
      <c r="J293" s="22">
        <v>3865</v>
      </c>
      <c r="K293" s="22">
        <v>69</v>
      </c>
      <c r="L293" s="23">
        <f t="shared" si="74"/>
        <v>266685</v>
      </c>
      <c r="M293" s="23">
        <v>0</v>
      </c>
      <c r="N293" s="23">
        <v>0</v>
      </c>
      <c r="O293" s="112">
        <f t="shared" si="70"/>
        <v>266685</v>
      </c>
      <c r="P293" s="33">
        <v>0.18</v>
      </c>
      <c r="Q293" s="115">
        <v>0</v>
      </c>
      <c r="R293" s="112">
        <f t="shared" si="71"/>
        <v>24001.65</v>
      </c>
      <c r="S293" s="112">
        <f t="shared" si="72"/>
        <v>24001.65</v>
      </c>
      <c r="T293" s="23">
        <v>0</v>
      </c>
      <c r="U293" s="112">
        <f t="shared" si="73"/>
        <v>314688.30000000005</v>
      </c>
    </row>
    <row r="294" spans="1:21" ht="17.100000000000001" customHeight="1" x14ac:dyDescent="0.25">
      <c r="A294" s="20">
        <f>IF(C294="","",COUNTA($C$4:C294))</f>
        <v>291</v>
      </c>
      <c r="B294" s="20" t="str">
        <f t="shared" si="75"/>
        <v>August</v>
      </c>
      <c r="C294" s="45">
        <v>45877</v>
      </c>
      <c r="D294" s="31" t="s">
        <v>1217</v>
      </c>
      <c r="E294" s="105" t="s">
        <v>1218</v>
      </c>
      <c r="F294" s="26" t="s">
        <v>1219</v>
      </c>
      <c r="G294" s="157" t="s">
        <v>502</v>
      </c>
      <c r="H294" s="106" t="s">
        <v>1221</v>
      </c>
      <c r="I294" s="159" t="s">
        <v>276</v>
      </c>
      <c r="J294" s="22">
        <v>3700</v>
      </c>
      <c r="K294" s="22">
        <v>69</v>
      </c>
      <c r="L294" s="23">
        <f t="shared" si="74"/>
        <v>255300</v>
      </c>
      <c r="M294" s="23">
        <v>0</v>
      </c>
      <c r="N294" s="23">
        <v>0</v>
      </c>
      <c r="O294" s="112">
        <f t="shared" si="70"/>
        <v>255300</v>
      </c>
      <c r="P294" s="33">
        <v>0.18</v>
      </c>
      <c r="Q294" s="115">
        <v>0</v>
      </c>
      <c r="R294" s="112">
        <f t="shared" si="71"/>
        <v>22977</v>
      </c>
      <c r="S294" s="112">
        <f t="shared" si="72"/>
        <v>22977</v>
      </c>
      <c r="T294" s="23">
        <v>0</v>
      </c>
      <c r="U294" s="112">
        <f t="shared" si="73"/>
        <v>301254</v>
      </c>
    </row>
    <row r="295" spans="1:21" ht="17.100000000000001" customHeight="1" x14ac:dyDescent="0.25">
      <c r="A295" s="20">
        <f>IF(C295="","",COUNTA($C$4:C295))</f>
        <v>292</v>
      </c>
      <c r="B295" s="20" t="str">
        <f t="shared" si="75"/>
        <v>August</v>
      </c>
      <c r="C295" s="45">
        <v>45877</v>
      </c>
      <c r="D295" s="31" t="s">
        <v>1217</v>
      </c>
      <c r="E295" s="105" t="s">
        <v>1218</v>
      </c>
      <c r="F295" s="26" t="s">
        <v>1219</v>
      </c>
      <c r="G295" s="157" t="s">
        <v>502</v>
      </c>
      <c r="H295" s="106" t="s">
        <v>1222</v>
      </c>
      <c r="I295" s="159" t="s">
        <v>160</v>
      </c>
      <c r="J295" s="22">
        <v>3845</v>
      </c>
      <c r="K295" s="22">
        <v>69</v>
      </c>
      <c r="L295" s="23">
        <f t="shared" si="74"/>
        <v>265305</v>
      </c>
      <c r="M295" s="23">
        <v>0</v>
      </c>
      <c r="N295" s="23">
        <v>0</v>
      </c>
      <c r="O295" s="112">
        <f t="shared" si="70"/>
        <v>265305</v>
      </c>
      <c r="P295" s="33">
        <v>0.18</v>
      </c>
      <c r="Q295" s="115">
        <v>0</v>
      </c>
      <c r="R295" s="112">
        <f t="shared" si="71"/>
        <v>23877.45</v>
      </c>
      <c r="S295" s="112">
        <f t="shared" si="72"/>
        <v>23877.45</v>
      </c>
      <c r="T295" s="23">
        <v>0</v>
      </c>
      <c r="U295" s="112">
        <f t="shared" si="73"/>
        <v>313059.90000000002</v>
      </c>
    </row>
    <row r="296" spans="1:21" ht="17.100000000000001" customHeight="1" x14ac:dyDescent="0.25">
      <c r="A296" s="20">
        <f>IF(C296="","",COUNTA($C$4:C296))</f>
        <v>293</v>
      </c>
      <c r="B296" s="20" t="str">
        <f t="shared" si="75"/>
        <v>August</v>
      </c>
      <c r="C296" s="45">
        <v>45899</v>
      </c>
      <c r="D296" s="31" t="s">
        <v>1436</v>
      </c>
      <c r="E296" s="105" t="s">
        <v>1437</v>
      </c>
      <c r="F296" s="26"/>
      <c r="G296" s="157" t="s">
        <v>342</v>
      </c>
      <c r="H296" s="106" t="s">
        <v>207</v>
      </c>
      <c r="L296" s="23">
        <v>6024</v>
      </c>
      <c r="M296" s="23">
        <v>0</v>
      </c>
      <c r="N296" s="23">
        <v>0</v>
      </c>
      <c r="O296" s="112">
        <f t="shared" si="70"/>
        <v>6024</v>
      </c>
      <c r="P296" s="33">
        <v>0.18</v>
      </c>
      <c r="Q296" s="118">
        <v>0</v>
      </c>
      <c r="R296" s="112">
        <f t="shared" si="71"/>
        <v>542.16</v>
      </c>
      <c r="S296" s="112">
        <f t="shared" si="72"/>
        <v>542.16</v>
      </c>
      <c r="T296" s="23">
        <v>0</v>
      </c>
      <c r="U296" s="112">
        <f t="shared" si="73"/>
        <v>7108.32</v>
      </c>
    </row>
    <row r="297" spans="1:21" ht="17.100000000000001" customHeight="1" x14ac:dyDescent="0.25">
      <c r="A297" s="20">
        <f>IF(C297="","",COUNTA($C$4:C297))</f>
        <v>294</v>
      </c>
      <c r="B297" s="20" t="str">
        <f t="shared" si="75"/>
        <v>August</v>
      </c>
      <c r="C297" s="45">
        <v>45899</v>
      </c>
      <c r="D297" s="31" t="s">
        <v>1438</v>
      </c>
      <c r="E297" s="105" t="s">
        <v>1439</v>
      </c>
      <c r="F297" s="26"/>
      <c r="G297" s="157" t="s">
        <v>342</v>
      </c>
      <c r="H297" s="106" t="s">
        <v>207</v>
      </c>
      <c r="L297" s="23">
        <v>4520</v>
      </c>
      <c r="M297" s="23">
        <v>0</v>
      </c>
      <c r="N297" s="23">
        <v>0</v>
      </c>
      <c r="O297" s="112">
        <f t="shared" si="70"/>
        <v>4520</v>
      </c>
      <c r="P297" s="33">
        <v>0.18</v>
      </c>
      <c r="Q297" s="119">
        <v>0</v>
      </c>
      <c r="R297" s="112">
        <f t="shared" si="71"/>
        <v>406.8</v>
      </c>
      <c r="S297" s="112">
        <f t="shared" si="72"/>
        <v>406.8</v>
      </c>
      <c r="T297" s="23">
        <v>0</v>
      </c>
      <c r="U297" s="112">
        <f t="shared" si="73"/>
        <v>5333.6</v>
      </c>
    </row>
    <row r="298" spans="1:21" ht="17.100000000000001" customHeight="1" x14ac:dyDescent="0.25">
      <c r="A298" s="20">
        <f>IF(C298="","",COUNTA($C$4:C298))</f>
        <v>295</v>
      </c>
      <c r="B298" s="20" t="str">
        <f t="shared" si="75"/>
        <v>August</v>
      </c>
      <c r="C298" s="45">
        <v>45899</v>
      </c>
      <c r="D298" s="31" t="s">
        <v>1440</v>
      </c>
      <c r="E298" s="105" t="s">
        <v>1441</v>
      </c>
      <c r="F298" s="26" t="s">
        <v>1442</v>
      </c>
      <c r="G298" s="157" t="s">
        <v>254</v>
      </c>
      <c r="H298" s="106" t="s">
        <v>256</v>
      </c>
      <c r="J298" s="22">
        <v>16200</v>
      </c>
      <c r="K298" s="22">
        <v>6.5</v>
      </c>
      <c r="L298" s="23">
        <f t="shared" ref="L298:L333" si="76">J298*K298</f>
        <v>105300</v>
      </c>
      <c r="M298" s="23">
        <v>0</v>
      </c>
      <c r="N298" s="23">
        <v>0</v>
      </c>
      <c r="O298" s="112">
        <f t="shared" si="70"/>
        <v>105300</v>
      </c>
      <c r="P298" s="33">
        <v>0.18</v>
      </c>
      <c r="Q298" s="119">
        <v>0</v>
      </c>
      <c r="R298" s="112">
        <f t="shared" si="71"/>
        <v>9477</v>
      </c>
      <c r="S298" s="112">
        <f t="shared" si="72"/>
        <v>9477</v>
      </c>
      <c r="T298" s="23">
        <v>0</v>
      </c>
      <c r="U298" s="112">
        <f t="shared" si="73"/>
        <v>124254</v>
      </c>
    </row>
    <row r="299" spans="1:21" ht="17.100000000000001" customHeight="1" x14ac:dyDescent="0.25">
      <c r="A299" s="20">
        <f>IF(C299="","",COUNTA($C$4:C299))</f>
        <v>296</v>
      </c>
      <c r="B299" s="20" t="str">
        <f t="shared" si="75"/>
        <v>August</v>
      </c>
      <c r="C299" s="45">
        <v>45899</v>
      </c>
      <c r="D299" s="31" t="s">
        <v>1443</v>
      </c>
      <c r="E299" s="105" t="s">
        <v>1444</v>
      </c>
      <c r="F299" s="26"/>
      <c r="G299" s="157" t="s">
        <v>877</v>
      </c>
      <c r="H299" s="106" t="s">
        <v>1445</v>
      </c>
      <c r="J299" s="22">
        <v>2</v>
      </c>
      <c r="K299" s="22">
        <v>2400</v>
      </c>
      <c r="L299" s="23">
        <f t="shared" si="76"/>
        <v>4800</v>
      </c>
      <c r="M299" s="23">
        <v>0</v>
      </c>
      <c r="N299" s="23">
        <v>0</v>
      </c>
      <c r="O299" s="112">
        <f t="shared" si="70"/>
        <v>4800</v>
      </c>
      <c r="P299" s="33">
        <v>0.18</v>
      </c>
      <c r="Q299" s="119">
        <v>0</v>
      </c>
      <c r="R299" s="112">
        <f t="shared" si="71"/>
        <v>432</v>
      </c>
      <c r="S299" s="112">
        <f t="shared" si="72"/>
        <v>432</v>
      </c>
      <c r="T299" s="23">
        <v>0</v>
      </c>
      <c r="U299" s="112">
        <f t="shared" si="73"/>
        <v>5664</v>
      </c>
    </row>
    <row r="300" spans="1:21" ht="17.100000000000001" customHeight="1" x14ac:dyDescent="0.25">
      <c r="A300" s="20">
        <f>IF(C300="","",COUNTA($C$4:C300))</f>
        <v>297</v>
      </c>
      <c r="B300" s="20" t="str">
        <f t="shared" si="75"/>
        <v>August</v>
      </c>
      <c r="C300" s="45">
        <v>45899</v>
      </c>
      <c r="D300" s="31" t="s">
        <v>1443</v>
      </c>
      <c r="E300" s="105" t="s">
        <v>1444</v>
      </c>
      <c r="F300" s="26"/>
      <c r="G300" s="157" t="s">
        <v>877</v>
      </c>
      <c r="H300" s="106" t="s">
        <v>1446</v>
      </c>
      <c r="J300" s="22">
        <v>36</v>
      </c>
      <c r="K300" s="22">
        <v>120</v>
      </c>
      <c r="L300" s="23">
        <f t="shared" si="76"/>
        <v>4320</v>
      </c>
      <c r="M300" s="23">
        <v>0</v>
      </c>
      <c r="N300" s="23">
        <v>0</v>
      </c>
      <c r="O300" s="112">
        <f t="shared" si="70"/>
        <v>4320</v>
      </c>
      <c r="P300" s="33">
        <v>0.18</v>
      </c>
      <c r="Q300" s="119">
        <v>0</v>
      </c>
      <c r="R300" s="112">
        <f t="shared" si="71"/>
        <v>388.8</v>
      </c>
      <c r="S300" s="112">
        <f t="shared" si="72"/>
        <v>388.8</v>
      </c>
      <c r="T300" s="23">
        <v>0</v>
      </c>
      <c r="U300" s="112">
        <f t="shared" si="73"/>
        <v>5097.6000000000004</v>
      </c>
    </row>
    <row r="301" spans="1:21" ht="17.100000000000001" customHeight="1" x14ac:dyDescent="0.25">
      <c r="A301" s="20">
        <f>IF(C301="","",COUNTA($C$4:C301))</f>
        <v>298</v>
      </c>
      <c r="B301" s="20" t="str">
        <f t="shared" si="75"/>
        <v>August</v>
      </c>
      <c r="C301" s="45">
        <v>45899</v>
      </c>
      <c r="D301" s="31" t="s">
        <v>1443</v>
      </c>
      <c r="E301" s="105" t="s">
        <v>1444</v>
      </c>
      <c r="F301" s="26"/>
      <c r="G301" s="157" t="s">
        <v>877</v>
      </c>
      <c r="H301" s="106" t="s">
        <v>1447</v>
      </c>
      <c r="J301" s="22">
        <v>21.5</v>
      </c>
      <c r="K301" s="22">
        <v>100</v>
      </c>
      <c r="L301" s="23">
        <f t="shared" si="76"/>
        <v>2150</v>
      </c>
      <c r="M301" s="23">
        <v>0</v>
      </c>
      <c r="N301" s="23">
        <v>0</v>
      </c>
      <c r="O301" s="112">
        <f t="shared" si="70"/>
        <v>2150</v>
      </c>
      <c r="P301" s="33">
        <v>0.18</v>
      </c>
      <c r="Q301" s="119">
        <v>0</v>
      </c>
      <c r="R301" s="112">
        <f t="shared" si="71"/>
        <v>193.5</v>
      </c>
      <c r="S301" s="112">
        <f t="shared" si="72"/>
        <v>193.5</v>
      </c>
      <c r="T301" s="23">
        <v>0</v>
      </c>
      <c r="U301" s="112">
        <f t="shared" si="73"/>
        <v>2537</v>
      </c>
    </row>
    <row r="302" spans="1:21" ht="17.100000000000001" customHeight="1" x14ac:dyDescent="0.25">
      <c r="A302" s="20">
        <f>IF(C302="","",COUNTA($C$4:C302))</f>
        <v>299</v>
      </c>
      <c r="B302" s="20" t="str">
        <f t="shared" si="75"/>
        <v>August</v>
      </c>
      <c r="C302" s="45">
        <v>45899</v>
      </c>
      <c r="D302" s="31" t="s">
        <v>1443</v>
      </c>
      <c r="E302" s="105" t="s">
        <v>1444</v>
      </c>
      <c r="F302" s="26"/>
      <c r="G302" s="157" t="s">
        <v>877</v>
      </c>
      <c r="H302" s="106" t="s">
        <v>1448</v>
      </c>
      <c r="J302" s="22">
        <v>2</v>
      </c>
      <c r="K302" s="22">
        <v>1900</v>
      </c>
      <c r="L302" s="23">
        <f t="shared" si="76"/>
        <v>3800</v>
      </c>
      <c r="M302" s="23">
        <v>0</v>
      </c>
      <c r="N302" s="23">
        <v>0</v>
      </c>
      <c r="O302" s="112">
        <f t="shared" si="70"/>
        <v>3800</v>
      </c>
      <c r="P302" s="33">
        <v>0.18</v>
      </c>
      <c r="Q302" s="119">
        <v>0</v>
      </c>
      <c r="R302" s="112">
        <f t="shared" ref="R302:R319" si="77">O302*9/100</f>
        <v>342</v>
      </c>
      <c r="S302" s="112">
        <f t="shared" ref="S302:S319" si="78">O302*9/100</f>
        <v>342</v>
      </c>
      <c r="T302" s="23">
        <v>0</v>
      </c>
      <c r="U302" s="112">
        <f t="shared" ref="U302:U338" si="79">O302+R302+S302</f>
        <v>4484</v>
      </c>
    </row>
    <row r="303" spans="1:21" ht="17.100000000000001" customHeight="1" x14ac:dyDescent="0.25">
      <c r="A303" s="20">
        <f>IF(C303="","",COUNTA($C$4:C303))</f>
        <v>300</v>
      </c>
      <c r="B303" s="20" t="str">
        <f t="shared" si="75"/>
        <v>August</v>
      </c>
      <c r="C303" s="45">
        <v>45899</v>
      </c>
      <c r="D303" s="31" t="s">
        <v>1449</v>
      </c>
      <c r="E303" s="105" t="s">
        <v>1450</v>
      </c>
      <c r="F303" s="26"/>
      <c r="G303" s="157" t="s">
        <v>877</v>
      </c>
      <c r="H303" s="106" t="s">
        <v>1451</v>
      </c>
      <c r="J303" s="22">
        <v>4</v>
      </c>
      <c r="K303" s="22">
        <v>1200</v>
      </c>
      <c r="L303" s="23">
        <f t="shared" si="76"/>
        <v>4800</v>
      </c>
      <c r="M303" s="23">
        <v>0</v>
      </c>
      <c r="N303" s="23"/>
      <c r="O303" s="112">
        <f t="shared" si="70"/>
        <v>4800</v>
      </c>
      <c r="P303" s="33">
        <v>0.18</v>
      </c>
      <c r="Q303" s="119">
        <v>0</v>
      </c>
      <c r="R303" s="112">
        <f t="shared" si="77"/>
        <v>432</v>
      </c>
      <c r="S303" s="112">
        <f t="shared" si="78"/>
        <v>432</v>
      </c>
      <c r="T303" s="23">
        <v>0</v>
      </c>
      <c r="U303" s="112">
        <f t="shared" si="79"/>
        <v>5664</v>
      </c>
    </row>
    <row r="304" spans="1:21" ht="17.100000000000001" customHeight="1" x14ac:dyDescent="0.25">
      <c r="A304" s="20">
        <f>IF(C304="","",COUNTA($C$4:C304))</f>
        <v>301</v>
      </c>
      <c r="B304" s="20" t="str">
        <f t="shared" si="75"/>
        <v>August</v>
      </c>
      <c r="C304" s="45">
        <v>45899</v>
      </c>
      <c r="D304" s="31" t="s">
        <v>1449</v>
      </c>
      <c r="E304" s="105" t="s">
        <v>1450</v>
      </c>
      <c r="F304" s="26"/>
      <c r="G304" s="157" t="s">
        <v>877</v>
      </c>
      <c r="H304" s="106" t="s">
        <v>1452</v>
      </c>
      <c r="J304" s="22">
        <v>1</v>
      </c>
      <c r="K304" s="22">
        <v>950</v>
      </c>
      <c r="L304" s="23">
        <f t="shared" si="76"/>
        <v>950</v>
      </c>
      <c r="M304" s="23">
        <v>0</v>
      </c>
      <c r="N304" s="23">
        <v>0</v>
      </c>
      <c r="O304" s="112">
        <f t="shared" si="70"/>
        <v>950</v>
      </c>
      <c r="P304" s="33">
        <v>0.18</v>
      </c>
      <c r="Q304" s="119">
        <v>0</v>
      </c>
      <c r="R304" s="112">
        <f t="shared" si="77"/>
        <v>85.5</v>
      </c>
      <c r="S304" s="112">
        <f t="shared" si="78"/>
        <v>85.5</v>
      </c>
      <c r="T304" s="23">
        <v>0</v>
      </c>
      <c r="U304" s="112">
        <f t="shared" si="79"/>
        <v>1121</v>
      </c>
    </row>
    <row r="305" spans="1:21" ht="17.100000000000001" customHeight="1" x14ac:dyDescent="0.25">
      <c r="A305" s="20">
        <f>IF(C305="","",COUNTA($C$4:C305))</f>
        <v>302</v>
      </c>
      <c r="B305" s="20" t="str">
        <f t="shared" si="75"/>
        <v>August</v>
      </c>
      <c r="C305" s="45">
        <v>45899</v>
      </c>
      <c r="D305" s="31" t="s">
        <v>1449</v>
      </c>
      <c r="E305" s="105" t="s">
        <v>1450</v>
      </c>
      <c r="F305" s="26"/>
      <c r="G305" s="157" t="s">
        <v>877</v>
      </c>
      <c r="H305" s="106" t="s">
        <v>1453</v>
      </c>
      <c r="J305" s="22">
        <v>2</v>
      </c>
      <c r="K305" s="22">
        <v>4200</v>
      </c>
      <c r="L305" s="23">
        <f t="shared" si="76"/>
        <v>8400</v>
      </c>
      <c r="M305" s="23">
        <v>0</v>
      </c>
      <c r="N305" s="23">
        <v>0</v>
      </c>
      <c r="O305" s="112">
        <f t="shared" si="70"/>
        <v>8400</v>
      </c>
      <c r="P305" s="33">
        <v>0.18</v>
      </c>
      <c r="Q305" s="119">
        <v>0</v>
      </c>
      <c r="R305" s="112">
        <f t="shared" si="77"/>
        <v>756</v>
      </c>
      <c r="S305" s="112">
        <f t="shared" si="78"/>
        <v>756</v>
      </c>
      <c r="T305" s="23">
        <v>0</v>
      </c>
      <c r="U305" s="112">
        <f t="shared" si="79"/>
        <v>9912</v>
      </c>
    </row>
    <row r="306" spans="1:21" ht="17.100000000000001" customHeight="1" x14ac:dyDescent="0.25">
      <c r="A306" s="20">
        <f>IF(C306="","",COUNTA($C$4:C306))</f>
        <v>303</v>
      </c>
      <c r="B306" s="20" t="str">
        <f t="shared" si="75"/>
        <v>August</v>
      </c>
      <c r="C306" s="45">
        <v>45899</v>
      </c>
      <c r="D306" s="31" t="s">
        <v>1449</v>
      </c>
      <c r="E306" s="105" t="s">
        <v>1450</v>
      </c>
      <c r="F306" s="26"/>
      <c r="G306" s="157" t="s">
        <v>877</v>
      </c>
      <c r="H306" s="106" t="s">
        <v>1454</v>
      </c>
      <c r="J306" s="22">
        <v>1</v>
      </c>
      <c r="K306" s="22">
        <v>500</v>
      </c>
      <c r="L306" s="23">
        <f t="shared" si="76"/>
        <v>500</v>
      </c>
      <c r="M306" s="23">
        <v>0</v>
      </c>
      <c r="N306" s="23">
        <v>0</v>
      </c>
      <c r="O306" s="112">
        <f t="shared" si="70"/>
        <v>500</v>
      </c>
      <c r="P306" s="33">
        <v>0.18</v>
      </c>
      <c r="Q306" s="119">
        <v>0</v>
      </c>
      <c r="R306" s="112">
        <f t="shared" si="77"/>
        <v>45</v>
      </c>
      <c r="S306" s="112">
        <f t="shared" si="78"/>
        <v>45</v>
      </c>
      <c r="T306" s="23">
        <v>0</v>
      </c>
      <c r="U306" s="112">
        <f t="shared" si="79"/>
        <v>590</v>
      </c>
    </row>
    <row r="307" spans="1:21" ht="17.100000000000001" customHeight="1" x14ac:dyDescent="0.25">
      <c r="A307" s="20">
        <f>IF(C307="","",COUNTA($C$4:C307))</f>
        <v>304</v>
      </c>
      <c r="B307" s="20" t="str">
        <f t="shared" si="75"/>
        <v>September</v>
      </c>
      <c r="C307" s="45">
        <v>45902</v>
      </c>
      <c r="D307" s="31" t="s">
        <v>1455</v>
      </c>
      <c r="E307" s="105" t="s">
        <v>1456</v>
      </c>
      <c r="F307" s="26" t="s">
        <v>903</v>
      </c>
      <c r="G307" s="157" t="s">
        <v>260</v>
      </c>
      <c r="H307" s="106" t="s">
        <v>665</v>
      </c>
      <c r="J307" s="22">
        <v>198</v>
      </c>
      <c r="K307" s="22">
        <v>14.5</v>
      </c>
      <c r="L307" s="23">
        <f t="shared" si="76"/>
        <v>2871</v>
      </c>
      <c r="M307" s="23">
        <v>0</v>
      </c>
      <c r="N307" s="23">
        <v>0</v>
      </c>
      <c r="O307" s="112">
        <f t="shared" si="70"/>
        <v>2871</v>
      </c>
      <c r="P307" s="33">
        <v>0.18</v>
      </c>
      <c r="Q307" s="119">
        <v>0</v>
      </c>
      <c r="R307" s="112">
        <f t="shared" si="77"/>
        <v>258.39</v>
      </c>
      <c r="S307" s="112">
        <f t="shared" si="78"/>
        <v>258.39</v>
      </c>
      <c r="T307" s="23">
        <v>0</v>
      </c>
      <c r="U307" s="112">
        <f t="shared" si="79"/>
        <v>3387.7799999999997</v>
      </c>
    </row>
    <row r="308" spans="1:21" ht="17.100000000000001" customHeight="1" x14ac:dyDescent="0.25">
      <c r="A308" s="20">
        <f>IF(C308="","",COUNTA($C$4:C308))</f>
        <v>305</v>
      </c>
      <c r="B308" s="20" t="str">
        <f t="shared" si="75"/>
        <v>September</v>
      </c>
      <c r="C308" s="45">
        <v>45902</v>
      </c>
      <c r="D308" s="31" t="s">
        <v>1455</v>
      </c>
      <c r="E308" s="105" t="s">
        <v>1456</v>
      </c>
      <c r="F308" s="26" t="s">
        <v>903</v>
      </c>
      <c r="G308" s="157" t="s">
        <v>260</v>
      </c>
      <c r="H308" s="106" t="s">
        <v>1457</v>
      </c>
      <c r="J308" s="22">
        <v>746</v>
      </c>
      <c r="K308" s="22">
        <v>11</v>
      </c>
      <c r="L308" s="23">
        <f t="shared" si="76"/>
        <v>8206</v>
      </c>
      <c r="M308" s="23">
        <v>0</v>
      </c>
      <c r="N308" s="23">
        <v>0</v>
      </c>
      <c r="O308" s="112">
        <f t="shared" si="70"/>
        <v>8206</v>
      </c>
      <c r="P308" s="33">
        <v>0.18</v>
      </c>
      <c r="Q308" s="119">
        <v>0</v>
      </c>
      <c r="R308" s="112">
        <f t="shared" si="77"/>
        <v>738.54</v>
      </c>
      <c r="S308" s="112">
        <f t="shared" si="78"/>
        <v>738.54</v>
      </c>
      <c r="T308" s="23">
        <v>0</v>
      </c>
      <c r="U308" s="112">
        <f t="shared" si="79"/>
        <v>9683.0800000000017</v>
      </c>
    </row>
    <row r="309" spans="1:21" ht="17.100000000000001" customHeight="1" x14ac:dyDescent="0.25">
      <c r="A309" s="20">
        <f>IF(C309="","",COUNTA($C$4:C309))</f>
        <v>306</v>
      </c>
      <c r="B309" s="20" t="str">
        <f t="shared" si="75"/>
        <v>September</v>
      </c>
      <c r="C309" s="45">
        <v>45902</v>
      </c>
      <c r="D309" s="31" t="s">
        <v>1455</v>
      </c>
      <c r="E309" s="105" t="s">
        <v>1456</v>
      </c>
      <c r="F309" s="26" t="s">
        <v>903</v>
      </c>
      <c r="G309" s="157" t="s">
        <v>260</v>
      </c>
      <c r="H309" s="106" t="s">
        <v>1457</v>
      </c>
      <c r="J309" s="22">
        <v>247</v>
      </c>
      <c r="K309" s="22">
        <v>13</v>
      </c>
      <c r="L309" s="23">
        <f t="shared" si="76"/>
        <v>3211</v>
      </c>
      <c r="M309" s="23">
        <v>0</v>
      </c>
      <c r="N309" s="23">
        <v>0</v>
      </c>
      <c r="O309" s="112">
        <f t="shared" si="70"/>
        <v>3211</v>
      </c>
      <c r="P309" s="33">
        <v>0.18</v>
      </c>
      <c r="Q309" s="119">
        <v>0</v>
      </c>
      <c r="R309" s="112">
        <f t="shared" si="77"/>
        <v>288.99</v>
      </c>
      <c r="S309" s="112">
        <f t="shared" si="78"/>
        <v>288.99</v>
      </c>
      <c r="T309" s="23">
        <v>0</v>
      </c>
      <c r="U309" s="112">
        <f t="shared" si="79"/>
        <v>3788.9799999999996</v>
      </c>
    </row>
    <row r="310" spans="1:21" ht="17.100000000000001" customHeight="1" x14ac:dyDescent="0.25">
      <c r="A310" s="20">
        <f>IF(C310="","",COUNTA($C$4:C310))</f>
        <v>307</v>
      </c>
      <c r="B310" s="20" t="str">
        <f t="shared" si="75"/>
        <v>November</v>
      </c>
      <c r="C310" s="45">
        <v>45988</v>
      </c>
      <c r="D310" s="31" t="s">
        <v>2232</v>
      </c>
      <c r="E310" s="105" t="s">
        <v>2233</v>
      </c>
      <c r="F310" s="26" t="s">
        <v>2234</v>
      </c>
      <c r="G310" s="157" t="s">
        <v>746</v>
      </c>
      <c r="H310" s="106" t="s">
        <v>2235</v>
      </c>
      <c r="J310" s="22">
        <v>200</v>
      </c>
      <c r="K310" s="22">
        <v>430</v>
      </c>
      <c r="L310" s="23">
        <f t="shared" si="76"/>
        <v>86000</v>
      </c>
      <c r="M310" s="23">
        <v>3000</v>
      </c>
      <c r="N310" s="23">
        <v>0</v>
      </c>
      <c r="O310" s="112">
        <f t="shared" si="70"/>
        <v>89000</v>
      </c>
      <c r="P310" s="33">
        <v>0.18</v>
      </c>
      <c r="Q310" s="115">
        <v>0</v>
      </c>
      <c r="R310" s="112">
        <f t="shared" si="77"/>
        <v>8010</v>
      </c>
      <c r="S310" s="112">
        <f t="shared" si="78"/>
        <v>8010</v>
      </c>
      <c r="T310" s="23">
        <v>0</v>
      </c>
      <c r="U310" s="112">
        <f t="shared" si="79"/>
        <v>105020</v>
      </c>
    </row>
    <row r="311" spans="1:21" ht="17.100000000000001" customHeight="1" x14ac:dyDescent="0.25">
      <c r="A311" s="20">
        <f>IF(C311="","",COUNTA($C$4:C311))</f>
        <v>308</v>
      </c>
      <c r="B311" s="20" t="str">
        <f t="shared" si="75"/>
        <v>January</v>
      </c>
      <c r="C311" s="45">
        <v>46039</v>
      </c>
      <c r="D311" s="31" t="s">
        <v>2603</v>
      </c>
      <c r="E311" s="105" t="s">
        <v>2604</v>
      </c>
      <c r="F311" s="26" t="s">
        <v>2605</v>
      </c>
      <c r="G311" s="157" t="s">
        <v>746</v>
      </c>
      <c r="H311" s="106" t="s">
        <v>2606</v>
      </c>
      <c r="J311" s="22">
        <v>200</v>
      </c>
      <c r="K311" s="22">
        <v>430</v>
      </c>
      <c r="L311" s="23">
        <f t="shared" si="76"/>
        <v>86000</v>
      </c>
      <c r="M311" s="23">
        <v>3000</v>
      </c>
      <c r="N311" s="23">
        <v>0</v>
      </c>
      <c r="O311" s="112">
        <f t="shared" si="70"/>
        <v>89000</v>
      </c>
      <c r="P311" s="33">
        <v>0.18</v>
      </c>
      <c r="Q311" s="119">
        <v>0</v>
      </c>
      <c r="R311" s="112">
        <f t="shared" si="77"/>
        <v>8010</v>
      </c>
      <c r="S311" s="112">
        <f t="shared" si="78"/>
        <v>8010</v>
      </c>
      <c r="T311" s="23">
        <v>0</v>
      </c>
      <c r="U311" s="112">
        <f t="shared" si="79"/>
        <v>105020</v>
      </c>
    </row>
    <row r="312" spans="1:21" ht="17.100000000000001" customHeight="1" x14ac:dyDescent="0.25">
      <c r="A312" s="20">
        <f>IF(C312="","",COUNTA($C$4:C312))</f>
        <v>309</v>
      </c>
      <c r="B312" s="20" t="str">
        <f t="shared" si="75"/>
        <v>August</v>
      </c>
      <c r="C312" s="45">
        <v>45890</v>
      </c>
      <c r="D312" s="31" t="s">
        <v>1354</v>
      </c>
      <c r="E312" s="105" t="s">
        <v>1355</v>
      </c>
      <c r="F312" s="26" t="s">
        <v>1356</v>
      </c>
      <c r="G312" s="157" t="s">
        <v>502</v>
      </c>
      <c r="H312" s="106" t="s">
        <v>1357</v>
      </c>
      <c r="I312" s="159" t="s">
        <v>266</v>
      </c>
      <c r="J312" s="22">
        <v>5270</v>
      </c>
      <c r="K312" s="22">
        <v>70</v>
      </c>
      <c r="L312" s="23">
        <f t="shared" si="76"/>
        <v>368900</v>
      </c>
      <c r="M312" s="23">
        <v>13000</v>
      </c>
      <c r="N312" s="23">
        <v>0</v>
      </c>
      <c r="O312" s="112">
        <f t="shared" si="70"/>
        <v>381900</v>
      </c>
      <c r="P312" s="33">
        <v>0.18</v>
      </c>
      <c r="Q312" s="118">
        <v>0</v>
      </c>
      <c r="R312" s="112">
        <f t="shared" si="77"/>
        <v>34371</v>
      </c>
      <c r="S312" s="112">
        <f t="shared" si="78"/>
        <v>34371</v>
      </c>
      <c r="T312" s="23">
        <v>0</v>
      </c>
      <c r="U312" s="112">
        <f t="shared" si="79"/>
        <v>450642</v>
      </c>
    </row>
    <row r="313" spans="1:21" ht="17.100000000000001" customHeight="1" x14ac:dyDescent="0.25">
      <c r="A313" s="20">
        <f>IF(C313="","",COUNTA($C$4:C313))</f>
        <v>310</v>
      </c>
      <c r="B313" s="20" t="str">
        <f t="shared" si="75"/>
        <v>August</v>
      </c>
      <c r="C313" s="45">
        <v>45890</v>
      </c>
      <c r="D313" s="31" t="s">
        <v>1354</v>
      </c>
      <c r="E313" s="105" t="s">
        <v>1355</v>
      </c>
      <c r="F313" s="26" t="s">
        <v>1356</v>
      </c>
      <c r="G313" s="157" t="s">
        <v>502</v>
      </c>
      <c r="H313" s="106" t="s">
        <v>1357</v>
      </c>
      <c r="I313" s="159" t="s">
        <v>266</v>
      </c>
      <c r="J313" s="22">
        <v>5270</v>
      </c>
      <c r="K313" s="22">
        <v>70</v>
      </c>
      <c r="L313" s="23">
        <f t="shared" si="76"/>
        <v>368900</v>
      </c>
      <c r="M313" s="23">
        <v>0</v>
      </c>
      <c r="N313" s="23">
        <v>0</v>
      </c>
      <c r="O313" s="112">
        <f t="shared" si="70"/>
        <v>368900</v>
      </c>
      <c r="P313" s="33">
        <v>0.18</v>
      </c>
      <c r="Q313" s="118">
        <v>0</v>
      </c>
      <c r="R313" s="112">
        <f t="shared" si="77"/>
        <v>33201</v>
      </c>
      <c r="S313" s="112">
        <f t="shared" si="78"/>
        <v>33201</v>
      </c>
      <c r="T313" s="23">
        <v>0</v>
      </c>
      <c r="U313" s="112">
        <f t="shared" si="79"/>
        <v>435302</v>
      </c>
    </row>
    <row r="314" spans="1:21" ht="17.100000000000001" customHeight="1" x14ac:dyDescent="0.25">
      <c r="A314" s="20">
        <f>IF(C314="","",COUNTA($C$4:C314))</f>
        <v>311</v>
      </c>
      <c r="B314" s="20" t="str">
        <f t="shared" si="75"/>
        <v>August</v>
      </c>
      <c r="C314" s="45">
        <v>45890</v>
      </c>
      <c r="D314" s="31" t="s">
        <v>1354</v>
      </c>
      <c r="E314" s="105" t="s">
        <v>1355</v>
      </c>
      <c r="F314" s="26" t="s">
        <v>1356</v>
      </c>
      <c r="G314" s="157" t="s">
        <v>502</v>
      </c>
      <c r="H314" s="106" t="s">
        <v>1357</v>
      </c>
      <c r="I314" s="159" t="s">
        <v>266</v>
      </c>
      <c r="J314" s="22">
        <v>4990</v>
      </c>
      <c r="K314" s="22">
        <v>70</v>
      </c>
      <c r="L314" s="23">
        <f t="shared" si="76"/>
        <v>349300</v>
      </c>
      <c r="M314" s="23">
        <v>0</v>
      </c>
      <c r="N314" s="23">
        <v>0</v>
      </c>
      <c r="O314" s="112">
        <f t="shared" si="70"/>
        <v>349300</v>
      </c>
      <c r="P314" s="33">
        <v>0.18</v>
      </c>
      <c r="Q314" s="118">
        <v>0</v>
      </c>
      <c r="R314" s="112">
        <f t="shared" si="77"/>
        <v>31437</v>
      </c>
      <c r="S314" s="112">
        <f t="shared" si="78"/>
        <v>31437</v>
      </c>
      <c r="T314" s="23">
        <v>0</v>
      </c>
      <c r="U314" s="112">
        <f t="shared" si="79"/>
        <v>412174</v>
      </c>
    </row>
    <row r="315" spans="1:21" ht="17.100000000000001" customHeight="1" x14ac:dyDescent="0.25">
      <c r="A315" s="20">
        <f>IF(C315="","",COUNTA($C$4:C315))</f>
        <v>312</v>
      </c>
      <c r="B315" s="20" t="str">
        <f t="shared" si="75"/>
        <v>August</v>
      </c>
      <c r="C315" s="45">
        <v>45890</v>
      </c>
      <c r="D315" s="31" t="s">
        <v>1354</v>
      </c>
      <c r="E315" s="105" t="s">
        <v>1355</v>
      </c>
      <c r="F315" s="26" t="s">
        <v>1356</v>
      </c>
      <c r="G315" s="157" t="s">
        <v>502</v>
      </c>
      <c r="H315" s="106" t="s">
        <v>1357</v>
      </c>
      <c r="I315" s="159" t="s">
        <v>266</v>
      </c>
      <c r="J315" s="22">
        <v>5240</v>
      </c>
      <c r="K315" s="22">
        <v>70</v>
      </c>
      <c r="L315" s="23">
        <f t="shared" si="76"/>
        <v>366800</v>
      </c>
      <c r="M315" s="23">
        <v>0</v>
      </c>
      <c r="N315" s="23">
        <v>0</v>
      </c>
      <c r="O315" s="112">
        <f t="shared" si="70"/>
        <v>366800</v>
      </c>
      <c r="P315" s="33">
        <v>0.18</v>
      </c>
      <c r="Q315" s="118">
        <v>0</v>
      </c>
      <c r="R315" s="112">
        <f t="shared" si="77"/>
        <v>33012</v>
      </c>
      <c r="S315" s="112">
        <f t="shared" si="78"/>
        <v>33012</v>
      </c>
      <c r="T315" s="23">
        <v>0</v>
      </c>
      <c r="U315" s="112">
        <f t="shared" si="79"/>
        <v>432824</v>
      </c>
    </row>
    <row r="316" spans="1:21" ht="17.100000000000001" customHeight="1" x14ac:dyDescent="0.25">
      <c r="A316" s="20">
        <f>IF(C316="","",COUNTA($C$4:C316))</f>
        <v>313</v>
      </c>
      <c r="B316" s="20" t="str">
        <f t="shared" si="75"/>
        <v>January</v>
      </c>
      <c r="C316" s="45">
        <v>46045</v>
      </c>
      <c r="D316" s="31" t="s">
        <v>2640</v>
      </c>
      <c r="E316" s="105" t="s">
        <v>2641</v>
      </c>
      <c r="F316" s="26" t="s">
        <v>2642</v>
      </c>
      <c r="G316" s="157" t="s">
        <v>746</v>
      </c>
      <c r="H316" s="106" t="s">
        <v>2643</v>
      </c>
      <c r="J316" s="22">
        <v>840</v>
      </c>
      <c r="K316" s="22">
        <v>228</v>
      </c>
      <c r="L316" s="23">
        <f t="shared" si="76"/>
        <v>191520</v>
      </c>
      <c r="M316" s="23">
        <v>0</v>
      </c>
      <c r="N316" s="23">
        <v>0</v>
      </c>
      <c r="O316" s="112">
        <f t="shared" si="70"/>
        <v>191520</v>
      </c>
      <c r="P316" s="33">
        <v>0.18</v>
      </c>
      <c r="Q316" s="119">
        <v>0</v>
      </c>
      <c r="R316" s="112">
        <f t="shared" si="77"/>
        <v>17236.8</v>
      </c>
      <c r="S316" s="112">
        <f t="shared" si="78"/>
        <v>17236.8</v>
      </c>
      <c r="T316" s="23">
        <v>0</v>
      </c>
      <c r="U316" s="112">
        <f t="shared" si="79"/>
        <v>225993.59999999998</v>
      </c>
    </row>
    <row r="317" spans="1:21" ht="17.100000000000001" customHeight="1" x14ac:dyDescent="0.25">
      <c r="A317" s="20">
        <f>IF(C317="","",COUNTA($C$4:C317))</f>
        <v>314</v>
      </c>
      <c r="B317" s="20" t="str">
        <f t="shared" si="75"/>
        <v>August</v>
      </c>
      <c r="C317" s="45">
        <v>45890</v>
      </c>
      <c r="D317" s="31" t="s">
        <v>1354</v>
      </c>
      <c r="E317" s="105" t="s">
        <v>1355</v>
      </c>
      <c r="F317" s="26" t="s">
        <v>1356</v>
      </c>
      <c r="G317" s="157" t="s">
        <v>502</v>
      </c>
      <c r="H317" s="106" t="s">
        <v>1358</v>
      </c>
      <c r="I317" s="159" t="s">
        <v>160</v>
      </c>
      <c r="J317" s="22">
        <v>5245</v>
      </c>
      <c r="K317" s="22">
        <v>68.5</v>
      </c>
      <c r="L317" s="23">
        <f t="shared" si="76"/>
        <v>359282.5</v>
      </c>
      <c r="M317" s="23">
        <v>0</v>
      </c>
      <c r="N317" s="23">
        <v>0</v>
      </c>
      <c r="O317" s="112">
        <f t="shared" si="70"/>
        <v>359282.5</v>
      </c>
      <c r="P317" s="33">
        <v>0.18</v>
      </c>
      <c r="Q317" s="118">
        <v>0</v>
      </c>
      <c r="R317" s="112">
        <f t="shared" si="77"/>
        <v>32335.424999999999</v>
      </c>
      <c r="S317" s="112">
        <f t="shared" si="78"/>
        <v>32335.424999999999</v>
      </c>
      <c r="T317" s="23">
        <v>0</v>
      </c>
      <c r="U317" s="112">
        <f t="shared" si="79"/>
        <v>423953.35</v>
      </c>
    </row>
    <row r="318" spans="1:21" ht="17.100000000000001" customHeight="1" x14ac:dyDescent="0.25">
      <c r="A318" s="20">
        <f>IF(C318="","",COUNTA($C$4:C318))</f>
        <v>315</v>
      </c>
      <c r="B318" s="20" t="str">
        <f t="shared" si="75"/>
        <v>August</v>
      </c>
      <c r="C318" s="45">
        <v>45890</v>
      </c>
      <c r="D318" s="31" t="s">
        <v>1359</v>
      </c>
      <c r="E318" s="105" t="s">
        <v>1360</v>
      </c>
      <c r="F318" s="26" t="s">
        <v>1356</v>
      </c>
      <c r="G318" s="157" t="s">
        <v>502</v>
      </c>
      <c r="H318" s="106" t="s">
        <v>1358</v>
      </c>
      <c r="I318" s="159" t="s">
        <v>160</v>
      </c>
      <c r="J318" s="22">
        <v>5430</v>
      </c>
      <c r="K318" s="22">
        <v>68.5</v>
      </c>
      <c r="L318" s="23">
        <f t="shared" si="76"/>
        <v>371955</v>
      </c>
      <c r="M318" s="23">
        <v>2750</v>
      </c>
      <c r="N318" s="23">
        <v>150</v>
      </c>
      <c r="O318" s="112">
        <f t="shared" si="70"/>
        <v>374855</v>
      </c>
      <c r="P318" s="33">
        <v>0.18</v>
      </c>
      <c r="Q318" s="118">
        <v>0</v>
      </c>
      <c r="R318" s="112">
        <f t="shared" si="77"/>
        <v>33736.949999999997</v>
      </c>
      <c r="S318" s="112">
        <f t="shared" si="78"/>
        <v>33736.949999999997</v>
      </c>
      <c r="T318" s="23">
        <v>0</v>
      </c>
      <c r="U318" s="112">
        <f t="shared" si="79"/>
        <v>442328.9</v>
      </c>
    </row>
    <row r="319" spans="1:21" ht="17.100000000000001" customHeight="1" x14ac:dyDescent="0.25">
      <c r="A319" s="20">
        <f>IF(C319="","",COUNTA($C$4:C319))</f>
        <v>316</v>
      </c>
      <c r="B319" s="20" t="str">
        <f t="shared" si="75"/>
        <v>August</v>
      </c>
      <c r="C319" s="45">
        <v>45894</v>
      </c>
      <c r="D319" s="31" t="s">
        <v>1366</v>
      </c>
      <c r="E319" s="105" t="s">
        <v>1367</v>
      </c>
      <c r="F319" s="26" t="s">
        <v>1356</v>
      </c>
      <c r="G319" s="157" t="s">
        <v>502</v>
      </c>
      <c r="H319" s="106" t="s">
        <v>1357</v>
      </c>
      <c r="I319" s="159" t="s">
        <v>266</v>
      </c>
      <c r="J319" s="22">
        <v>5540</v>
      </c>
      <c r="K319" s="22">
        <v>70</v>
      </c>
      <c r="L319" s="23">
        <f t="shared" si="76"/>
        <v>387800</v>
      </c>
      <c r="M319" s="23">
        <v>13500</v>
      </c>
      <c r="N319" s="23">
        <v>150</v>
      </c>
      <c r="O319" s="112">
        <f t="shared" si="70"/>
        <v>401450</v>
      </c>
      <c r="P319" s="33">
        <v>0.18</v>
      </c>
      <c r="Q319" s="118">
        <v>0</v>
      </c>
      <c r="R319" s="112">
        <f t="shared" si="77"/>
        <v>36130.5</v>
      </c>
      <c r="S319" s="112">
        <f t="shared" si="78"/>
        <v>36130.5</v>
      </c>
      <c r="T319" s="23">
        <v>0</v>
      </c>
      <c r="U319" s="112">
        <f t="shared" si="79"/>
        <v>473711</v>
      </c>
    </row>
    <row r="320" spans="1:21" ht="17.100000000000001" customHeight="1" x14ac:dyDescent="0.25">
      <c r="A320" s="20">
        <f>IF(C320="","",COUNTA($C$4:C320))</f>
        <v>317</v>
      </c>
      <c r="B320" s="20" t="str">
        <f t="shared" si="75"/>
        <v>September</v>
      </c>
      <c r="C320" s="45">
        <v>45908</v>
      </c>
      <c r="D320" s="31" t="s">
        <v>1482</v>
      </c>
      <c r="E320" s="105" t="s">
        <v>1483</v>
      </c>
      <c r="F320" s="26"/>
      <c r="G320" s="157" t="s">
        <v>248</v>
      </c>
      <c r="H320" s="106" t="s">
        <v>1210</v>
      </c>
      <c r="J320" s="22">
        <v>500</v>
      </c>
      <c r="K320" s="22">
        <v>11</v>
      </c>
      <c r="L320" s="23">
        <f t="shared" si="76"/>
        <v>5500</v>
      </c>
      <c r="M320" s="23">
        <v>0</v>
      </c>
      <c r="N320" s="23">
        <v>0</v>
      </c>
      <c r="O320" s="112">
        <f t="shared" si="70"/>
        <v>5500</v>
      </c>
      <c r="P320" s="33">
        <v>0.05</v>
      </c>
      <c r="Q320" s="118">
        <v>0</v>
      </c>
      <c r="R320" s="112">
        <f>O320*2.5/100</f>
        <v>137.5</v>
      </c>
      <c r="S320" s="112">
        <f>O320*2.5/100</f>
        <v>137.5</v>
      </c>
      <c r="T320" s="23">
        <v>0</v>
      </c>
      <c r="U320" s="112">
        <f t="shared" si="79"/>
        <v>5775</v>
      </c>
    </row>
    <row r="321" spans="1:21" ht="17.100000000000001" customHeight="1" x14ac:dyDescent="0.25">
      <c r="A321" s="20">
        <f>IF(C321="","",COUNTA($C$4:C321))</f>
        <v>318</v>
      </c>
      <c r="B321" s="20" t="str">
        <f t="shared" si="75"/>
        <v>September</v>
      </c>
      <c r="C321" s="45">
        <v>45908</v>
      </c>
      <c r="D321" s="31" t="s">
        <v>1485</v>
      </c>
      <c r="E321" s="105" t="s">
        <v>1486</v>
      </c>
      <c r="F321" s="26" t="s">
        <v>1442</v>
      </c>
      <c r="G321" s="157" t="s">
        <v>254</v>
      </c>
      <c r="H321" s="106" t="s">
        <v>1487</v>
      </c>
      <c r="J321" s="22">
        <v>18000</v>
      </c>
      <c r="K321" s="22">
        <v>6.5</v>
      </c>
      <c r="L321" s="23">
        <f t="shared" si="76"/>
        <v>117000</v>
      </c>
      <c r="M321" s="23">
        <v>0</v>
      </c>
      <c r="N321" s="23">
        <v>0</v>
      </c>
      <c r="O321" s="112">
        <f t="shared" si="70"/>
        <v>117000</v>
      </c>
      <c r="P321" s="33">
        <v>0.18</v>
      </c>
      <c r="Q321" s="118">
        <v>0</v>
      </c>
      <c r="R321" s="112">
        <f t="shared" ref="R321:R336" si="80">O321*9/100</f>
        <v>10530</v>
      </c>
      <c r="S321" s="112">
        <f t="shared" ref="S321:S336" si="81">O321*9/100</f>
        <v>10530</v>
      </c>
      <c r="T321" s="23">
        <v>0</v>
      </c>
      <c r="U321" s="112">
        <f t="shared" si="79"/>
        <v>138060</v>
      </c>
    </row>
    <row r="322" spans="1:21" ht="17.100000000000001" customHeight="1" x14ac:dyDescent="0.25">
      <c r="A322" s="20">
        <f>IF(C322="","",COUNTA($C$4:C322))</f>
        <v>319</v>
      </c>
      <c r="B322" s="20" t="str">
        <f t="shared" si="75"/>
        <v>January</v>
      </c>
      <c r="C322" s="45">
        <v>46045</v>
      </c>
      <c r="D322" s="31" t="s">
        <v>2640</v>
      </c>
      <c r="E322" s="105" t="s">
        <v>2641</v>
      </c>
      <c r="F322" s="26" t="s">
        <v>2642</v>
      </c>
      <c r="G322" s="157" t="s">
        <v>746</v>
      </c>
      <c r="H322" s="22" t="s">
        <v>2644</v>
      </c>
      <c r="J322" s="22">
        <v>201.6</v>
      </c>
      <c r="K322" s="22">
        <v>418</v>
      </c>
      <c r="L322" s="23">
        <f t="shared" si="76"/>
        <v>84268.800000000003</v>
      </c>
      <c r="M322" s="23">
        <v>0</v>
      </c>
      <c r="N322" s="23">
        <v>0</v>
      </c>
      <c r="O322" s="112">
        <f t="shared" si="70"/>
        <v>84268.800000000003</v>
      </c>
      <c r="P322" s="33">
        <v>0.18</v>
      </c>
      <c r="Q322" s="119">
        <v>0</v>
      </c>
      <c r="R322" s="112">
        <f t="shared" si="80"/>
        <v>7584.1920000000009</v>
      </c>
      <c r="S322" s="112">
        <f t="shared" si="81"/>
        <v>7584.1920000000009</v>
      </c>
      <c r="T322" s="23">
        <v>0</v>
      </c>
      <c r="U322" s="112">
        <f t="shared" si="79"/>
        <v>99437.183999999994</v>
      </c>
    </row>
    <row r="323" spans="1:21" ht="17.100000000000001" customHeight="1" x14ac:dyDescent="0.25">
      <c r="A323" s="20">
        <f>IF(C323="","",COUNTA($C$4:C323))</f>
        <v>320</v>
      </c>
      <c r="B323" s="20" t="str">
        <f t="shared" si="75"/>
        <v>August</v>
      </c>
      <c r="C323" s="45">
        <v>45894</v>
      </c>
      <c r="D323" s="31" t="s">
        <v>1366</v>
      </c>
      <c r="E323" s="105" t="s">
        <v>1367</v>
      </c>
      <c r="F323" s="26" t="s">
        <v>1356</v>
      </c>
      <c r="G323" s="157" t="s">
        <v>502</v>
      </c>
      <c r="H323" s="106" t="s">
        <v>1357</v>
      </c>
      <c r="I323" s="159" t="s">
        <v>266</v>
      </c>
      <c r="J323" s="22">
        <v>5390</v>
      </c>
      <c r="K323" s="22">
        <v>70</v>
      </c>
      <c r="L323" s="23">
        <f t="shared" si="76"/>
        <v>377300</v>
      </c>
      <c r="M323" s="23">
        <v>0</v>
      </c>
      <c r="N323" s="23">
        <v>0</v>
      </c>
      <c r="O323" s="112">
        <f t="shared" si="70"/>
        <v>377300</v>
      </c>
      <c r="P323" s="33">
        <v>0.18</v>
      </c>
      <c r="Q323" s="118">
        <v>0</v>
      </c>
      <c r="R323" s="112">
        <f t="shared" si="80"/>
        <v>33957</v>
      </c>
      <c r="S323" s="112">
        <f t="shared" si="81"/>
        <v>33957</v>
      </c>
      <c r="T323" s="23">
        <v>0</v>
      </c>
      <c r="U323" s="112">
        <f t="shared" si="79"/>
        <v>445214</v>
      </c>
    </row>
    <row r="324" spans="1:21" ht="17.100000000000001" customHeight="1" x14ac:dyDescent="0.25">
      <c r="A324" s="20">
        <f>IF(C324="","",COUNTA($C$4:C324))</f>
        <v>321</v>
      </c>
      <c r="B324" s="20" t="str">
        <f t="shared" si="75"/>
        <v>September</v>
      </c>
      <c r="C324" s="45">
        <v>45909</v>
      </c>
      <c r="D324" s="31" t="s">
        <v>1530</v>
      </c>
      <c r="E324" s="105" t="s">
        <v>1531</v>
      </c>
      <c r="F324" s="26"/>
      <c r="G324" s="157" t="s">
        <v>415</v>
      </c>
      <c r="H324" s="106" t="s">
        <v>1532</v>
      </c>
      <c r="J324" s="22">
        <v>3</v>
      </c>
      <c r="K324" s="22">
        <v>1211</v>
      </c>
      <c r="L324" s="23">
        <f t="shared" si="76"/>
        <v>3633</v>
      </c>
      <c r="M324" s="23">
        <v>0</v>
      </c>
      <c r="N324" s="23">
        <v>0</v>
      </c>
      <c r="O324" s="112">
        <f t="shared" si="70"/>
        <v>3633</v>
      </c>
      <c r="P324" s="33">
        <v>0.18</v>
      </c>
      <c r="Q324" s="118">
        <v>0</v>
      </c>
      <c r="R324" s="112">
        <f t="shared" si="80"/>
        <v>326.97000000000003</v>
      </c>
      <c r="S324" s="112">
        <f t="shared" si="81"/>
        <v>326.97000000000003</v>
      </c>
      <c r="T324" s="23">
        <v>0</v>
      </c>
      <c r="U324" s="112">
        <f t="shared" si="79"/>
        <v>4286.9400000000005</v>
      </c>
    </row>
    <row r="325" spans="1:21" ht="17.100000000000001" customHeight="1" x14ac:dyDescent="0.25">
      <c r="A325" s="20">
        <f>IF(C325="","",COUNTA($C$4:C325))</f>
        <v>322</v>
      </c>
      <c r="B325" s="20" t="str">
        <f t="shared" si="75"/>
        <v>September</v>
      </c>
      <c r="C325" s="45">
        <v>45909</v>
      </c>
      <c r="D325" s="31" t="s">
        <v>1530</v>
      </c>
      <c r="E325" s="105" t="s">
        <v>1531</v>
      </c>
      <c r="F325" s="26"/>
      <c r="G325" s="157" t="s">
        <v>415</v>
      </c>
      <c r="H325" s="106" t="s">
        <v>1533</v>
      </c>
      <c r="J325" s="22">
        <v>1</v>
      </c>
      <c r="K325" s="22">
        <v>1197</v>
      </c>
      <c r="L325" s="23">
        <f t="shared" si="76"/>
        <v>1197</v>
      </c>
      <c r="M325" s="23">
        <v>0</v>
      </c>
      <c r="N325" s="23">
        <v>0</v>
      </c>
      <c r="O325" s="112">
        <f t="shared" si="70"/>
        <v>1197</v>
      </c>
      <c r="P325" s="33">
        <v>0.18</v>
      </c>
      <c r="Q325" s="118">
        <v>0</v>
      </c>
      <c r="R325" s="112">
        <f t="shared" si="80"/>
        <v>107.73</v>
      </c>
      <c r="S325" s="112">
        <f t="shared" si="81"/>
        <v>107.73</v>
      </c>
      <c r="T325" s="23">
        <v>0</v>
      </c>
      <c r="U325" s="112">
        <f t="shared" si="79"/>
        <v>1412.46</v>
      </c>
    </row>
    <row r="326" spans="1:21" ht="17.100000000000001" customHeight="1" x14ac:dyDescent="0.25">
      <c r="A326" s="20">
        <f>IF(C326="","",COUNTA($C$4:C326))</f>
        <v>323</v>
      </c>
      <c r="B326" s="20" t="str">
        <f t="shared" si="75"/>
        <v>September</v>
      </c>
      <c r="C326" s="45">
        <v>45909</v>
      </c>
      <c r="D326" s="31" t="s">
        <v>1530</v>
      </c>
      <c r="E326" s="105" t="s">
        <v>1531</v>
      </c>
      <c r="F326" s="26"/>
      <c r="G326" s="157" t="s">
        <v>415</v>
      </c>
      <c r="H326" s="106" t="s">
        <v>1534</v>
      </c>
      <c r="J326" s="22">
        <v>1</v>
      </c>
      <c r="K326" s="22">
        <v>2128</v>
      </c>
      <c r="L326" s="23">
        <f t="shared" si="76"/>
        <v>2128</v>
      </c>
      <c r="M326" s="23">
        <v>0</v>
      </c>
      <c r="N326" s="23">
        <v>0</v>
      </c>
      <c r="O326" s="112">
        <f t="shared" si="70"/>
        <v>2128</v>
      </c>
      <c r="P326" s="33">
        <v>0.18</v>
      </c>
      <c r="Q326" s="118">
        <v>0</v>
      </c>
      <c r="R326" s="112">
        <f t="shared" si="80"/>
        <v>191.52</v>
      </c>
      <c r="S326" s="112">
        <f t="shared" si="81"/>
        <v>191.52</v>
      </c>
      <c r="T326" s="23">
        <v>0</v>
      </c>
      <c r="U326" s="112">
        <f t="shared" si="79"/>
        <v>2511.04</v>
      </c>
    </row>
    <row r="327" spans="1:21" ht="17.100000000000001" customHeight="1" x14ac:dyDescent="0.25">
      <c r="A327" s="20">
        <f>IF(C327="","",COUNTA($C$4:C327))</f>
        <v>324</v>
      </c>
      <c r="B327" s="20" t="str">
        <f t="shared" si="75"/>
        <v>September</v>
      </c>
      <c r="C327" s="45">
        <v>45912</v>
      </c>
      <c r="D327" s="31" t="s">
        <v>1535</v>
      </c>
      <c r="E327" s="105" t="s">
        <v>1536</v>
      </c>
      <c r="F327" s="26" t="s">
        <v>1537</v>
      </c>
      <c r="G327" s="157" t="s">
        <v>759</v>
      </c>
      <c r="H327" s="106" t="s">
        <v>760</v>
      </c>
      <c r="J327" s="22">
        <v>50</v>
      </c>
      <c r="K327" s="22">
        <v>947</v>
      </c>
      <c r="L327" s="23">
        <f t="shared" si="76"/>
        <v>47350</v>
      </c>
      <c r="M327" s="23">
        <v>0</v>
      </c>
      <c r="N327" s="23">
        <v>0</v>
      </c>
      <c r="O327" s="112">
        <f t="shared" ref="O327:O390" si="82">L327+M327+N327</f>
        <v>47350</v>
      </c>
      <c r="P327" s="33">
        <v>0.18</v>
      </c>
      <c r="Q327" s="118">
        <v>0</v>
      </c>
      <c r="R327" s="112">
        <f t="shared" si="80"/>
        <v>4261.5</v>
      </c>
      <c r="S327" s="112">
        <f t="shared" si="81"/>
        <v>4261.5</v>
      </c>
      <c r="T327" s="23">
        <v>0</v>
      </c>
      <c r="U327" s="112">
        <f t="shared" si="79"/>
        <v>55873</v>
      </c>
    </row>
    <row r="328" spans="1:21" ht="17.100000000000001" customHeight="1" x14ac:dyDescent="0.25">
      <c r="A328" s="20">
        <f>IF(C328="","",COUNTA($C$4:C328))</f>
        <v>325</v>
      </c>
      <c r="B328" s="20" t="str">
        <f t="shared" si="75"/>
        <v>September</v>
      </c>
      <c r="C328" s="45">
        <v>45912</v>
      </c>
      <c r="D328" s="31" t="s">
        <v>1535</v>
      </c>
      <c r="E328" s="105" t="s">
        <v>1536</v>
      </c>
      <c r="F328" s="26" t="s">
        <v>1537</v>
      </c>
      <c r="G328" s="157" t="s">
        <v>759</v>
      </c>
      <c r="H328" s="106" t="s">
        <v>761</v>
      </c>
      <c r="J328" s="22">
        <v>50</v>
      </c>
      <c r="K328" s="22">
        <v>691</v>
      </c>
      <c r="L328" s="23">
        <f t="shared" si="76"/>
        <v>34550</v>
      </c>
      <c r="M328" s="23">
        <v>0</v>
      </c>
      <c r="N328" s="23">
        <v>0</v>
      </c>
      <c r="O328" s="112">
        <f t="shared" si="82"/>
        <v>34550</v>
      </c>
      <c r="P328" s="33">
        <v>0.18</v>
      </c>
      <c r="Q328" s="118">
        <v>0</v>
      </c>
      <c r="R328" s="112">
        <f t="shared" si="80"/>
        <v>3109.5</v>
      </c>
      <c r="S328" s="112">
        <f t="shared" si="81"/>
        <v>3109.5</v>
      </c>
      <c r="T328" s="23">
        <v>0</v>
      </c>
      <c r="U328" s="112">
        <f t="shared" si="79"/>
        <v>40769</v>
      </c>
    </row>
    <row r="329" spans="1:21" ht="17.100000000000001" customHeight="1" x14ac:dyDescent="0.25">
      <c r="A329" s="20">
        <f>IF(C329="","",COUNTA($C$4:C329))</f>
        <v>326</v>
      </c>
      <c r="B329" s="20" t="str">
        <f t="shared" si="75"/>
        <v>September</v>
      </c>
      <c r="C329" s="45">
        <v>45909</v>
      </c>
      <c r="D329" s="31" t="s">
        <v>1538</v>
      </c>
      <c r="E329" s="105" t="s">
        <v>1539</v>
      </c>
      <c r="F329" s="26" t="s">
        <v>1540</v>
      </c>
      <c r="G329" s="157" t="s">
        <v>850</v>
      </c>
      <c r="H329" s="106" t="s">
        <v>1541</v>
      </c>
      <c r="J329" s="22">
        <v>1</v>
      </c>
      <c r="K329" s="22">
        <v>18073</v>
      </c>
      <c r="L329" s="23">
        <f t="shared" si="76"/>
        <v>18073</v>
      </c>
      <c r="M329" s="23">
        <v>0</v>
      </c>
      <c r="N329" s="23">
        <v>0</v>
      </c>
      <c r="O329" s="112">
        <f t="shared" si="82"/>
        <v>18073</v>
      </c>
      <c r="P329" s="33">
        <v>0.18</v>
      </c>
      <c r="Q329" s="118">
        <v>0</v>
      </c>
      <c r="R329" s="112">
        <f t="shared" si="80"/>
        <v>1626.57</v>
      </c>
      <c r="S329" s="112">
        <f t="shared" si="81"/>
        <v>1626.57</v>
      </c>
      <c r="T329" s="23">
        <v>0</v>
      </c>
      <c r="U329" s="112">
        <f t="shared" si="79"/>
        <v>21326.14</v>
      </c>
    </row>
    <row r="330" spans="1:21" ht="17.100000000000001" customHeight="1" x14ac:dyDescent="0.25">
      <c r="A330" s="20">
        <f>IF(C330="","",COUNTA($C$4:C330))</f>
        <v>327</v>
      </c>
      <c r="B330" s="20" t="str">
        <f t="shared" si="75"/>
        <v>September</v>
      </c>
      <c r="C330" s="45">
        <v>45910</v>
      </c>
      <c r="D330" s="31" t="s">
        <v>1542</v>
      </c>
      <c r="E330" s="105" t="s">
        <v>1543</v>
      </c>
      <c r="F330" s="26" t="s">
        <v>1544</v>
      </c>
      <c r="G330" s="157" t="s">
        <v>746</v>
      </c>
      <c r="H330" s="106" t="s">
        <v>1545</v>
      </c>
      <c r="J330" s="22">
        <v>3780</v>
      </c>
      <c r="K330" s="22">
        <v>187</v>
      </c>
      <c r="L330" s="23">
        <f t="shared" si="76"/>
        <v>706860</v>
      </c>
      <c r="M330" s="23">
        <v>57000</v>
      </c>
      <c r="N330" s="23">
        <v>0</v>
      </c>
      <c r="O330" s="112">
        <f t="shared" si="82"/>
        <v>763860</v>
      </c>
      <c r="P330" s="33">
        <v>0.18</v>
      </c>
      <c r="Q330" s="119">
        <v>0</v>
      </c>
      <c r="R330" s="112">
        <f t="shared" si="80"/>
        <v>68747.399999999994</v>
      </c>
      <c r="S330" s="112">
        <f t="shared" si="81"/>
        <v>68747.399999999994</v>
      </c>
      <c r="T330" s="23"/>
      <c r="U330" s="112">
        <f t="shared" si="79"/>
        <v>901354.8</v>
      </c>
    </row>
    <row r="331" spans="1:21" ht="17.100000000000001" customHeight="1" x14ac:dyDescent="0.25">
      <c r="A331" s="20">
        <f>IF(C331="","",COUNTA($C$4:C331))</f>
        <v>328</v>
      </c>
      <c r="B331" s="20" t="str">
        <f t="shared" si="75"/>
        <v>September</v>
      </c>
      <c r="C331" s="45">
        <v>45910</v>
      </c>
      <c r="D331" s="31" t="s">
        <v>1542</v>
      </c>
      <c r="E331" s="105" t="s">
        <v>1543</v>
      </c>
      <c r="F331" s="26" t="s">
        <v>1544</v>
      </c>
      <c r="G331" s="157" t="s">
        <v>746</v>
      </c>
      <c r="H331" s="106" t="s">
        <v>908</v>
      </c>
      <c r="J331" s="22">
        <v>500</v>
      </c>
      <c r="K331" s="22">
        <v>346</v>
      </c>
      <c r="L331" s="23">
        <f t="shared" si="76"/>
        <v>173000</v>
      </c>
      <c r="M331" s="23">
        <v>0</v>
      </c>
      <c r="N331" s="23">
        <v>0</v>
      </c>
      <c r="O331" s="112">
        <f t="shared" si="82"/>
        <v>173000</v>
      </c>
      <c r="P331" s="33">
        <v>0.18</v>
      </c>
      <c r="Q331" s="119">
        <v>0</v>
      </c>
      <c r="R331" s="112">
        <f t="shared" si="80"/>
        <v>15570</v>
      </c>
      <c r="S331" s="112">
        <f t="shared" si="81"/>
        <v>15570</v>
      </c>
      <c r="T331" s="23">
        <v>0</v>
      </c>
      <c r="U331" s="112">
        <f t="shared" si="79"/>
        <v>204140</v>
      </c>
    </row>
    <row r="332" spans="1:21" ht="17.100000000000001" customHeight="1" x14ac:dyDescent="0.25">
      <c r="A332" s="20">
        <f>IF(C332="","",COUNTA($C$4:C332))</f>
        <v>329</v>
      </c>
      <c r="B332" s="20" t="str">
        <f t="shared" si="75"/>
        <v>September</v>
      </c>
      <c r="C332" s="45">
        <v>45912</v>
      </c>
      <c r="D332" s="31" t="s">
        <v>1546</v>
      </c>
      <c r="E332" s="105" t="s">
        <v>1547</v>
      </c>
      <c r="F332" s="26"/>
      <c r="G332" s="157" t="s">
        <v>1548</v>
      </c>
      <c r="H332" s="106" t="s">
        <v>1549</v>
      </c>
      <c r="J332" s="22">
        <v>18</v>
      </c>
      <c r="K332" s="22">
        <v>1041.25</v>
      </c>
      <c r="L332" s="23">
        <f t="shared" si="76"/>
        <v>18742.5</v>
      </c>
      <c r="M332" s="23">
        <v>0</v>
      </c>
      <c r="N332" s="23">
        <v>150</v>
      </c>
      <c r="O332" s="112">
        <f t="shared" si="82"/>
        <v>18892.5</v>
      </c>
      <c r="P332" s="33">
        <v>0.18</v>
      </c>
      <c r="Q332" s="119">
        <v>0</v>
      </c>
      <c r="R332" s="112">
        <f t="shared" si="80"/>
        <v>1700.325</v>
      </c>
      <c r="S332" s="112">
        <f t="shared" si="81"/>
        <v>1700.325</v>
      </c>
      <c r="T332" s="23">
        <v>0</v>
      </c>
      <c r="U332" s="112">
        <f t="shared" si="79"/>
        <v>22293.15</v>
      </c>
    </row>
    <row r="333" spans="1:21" ht="17.100000000000001" customHeight="1" x14ac:dyDescent="0.25">
      <c r="A333" s="20">
        <f>IF(C333="","",COUNTA($C$4:C333))</f>
        <v>330</v>
      </c>
      <c r="B333" s="20" t="str">
        <f t="shared" si="75"/>
        <v>September</v>
      </c>
      <c r="C333" s="45">
        <v>45912</v>
      </c>
      <c r="D333" s="31" t="s">
        <v>1546</v>
      </c>
      <c r="E333" s="105" t="s">
        <v>1547</v>
      </c>
      <c r="F333" s="26"/>
      <c r="G333" s="157" t="s">
        <v>1548</v>
      </c>
      <c r="H333" s="106" t="s">
        <v>1550</v>
      </c>
      <c r="J333" s="22">
        <v>24</v>
      </c>
      <c r="K333" s="22">
        <v>892.5</v>
      </c>
      <c r="L333" s="23">
        <f t="shared" si="76"/>
        <v>21420</v>
      </c>
      <c r="M333" s="23">
        <v>0</v>
      </c>
      <c r="N333" s="23">
        <v>0</v>
      </c>
      <c r="O333" s="112">
        <f t="shared" si="82"/>
        <v>21420</v>
      </c>
      <c r="P333" s="33">
        <v>0.18</v>
      </c>
      <c r="Q333" s="119">
        <v>0</v>
      </c>
      <c r="R333" s="112">
        <f t="shared" si="80"/>
        <v>1927.8</v>
      </c>
      <c r="S333" s="112">
        <f t="shared" si="81"/>
        <v>1927.8</v>
      </c>
      <c r="T333" s="23">
        <v>0</v>
      </c>
      <c r="U333" s="112">
        <f t="shared" si="79"/>
        <v>25275.599999999999</v>
      </c>
    </row>
    <row r="334" spans="1:21" ht="17.100000000000001" customHeight="1" x14ac:dyDescent="0.25">
      <c r="A334" s="20">
        <f>IF(C334="","",COUNTA($C$4:C334))</f>
        <v>331</v>
      </c>
      <c r="B334" s="20" t="str">
        <f t="shared" si="75"/>
        <v>September</v>
      </c>
      <c r="C334" s="45">
        <v>45913</v>
      </c>
      <c r="D334" s="31" t="s">
        <v>1551</v>
      </c>
      <c r="E334" s="105" t="s">
        <v>1552</v>
      </c>
      <c r="F334" s="26"/>
      <c r="G334" s="157" t="s">
        <v>1001</v>
      </c>
      <c r="H334" s="106" t="s">
        <v>207</v>
      </c>
      <c r="L334" s="23">
        <v>62880</v>
      </c>
      <c r="M334" s="23">
        <v>0</v>
      </c>
      <c r="N334" s="23">
        <v>0</v>
      </c>
      <c r="O334" s="112">
        <f t="shared" si="82"/>
        <v>62880</v>
      </c>
      <c r="P334" s="33">
        <v>0.18</v>
      </c>
      <c r="Q334" s="119">
        <v>0</v>
      </c>
      <c r="R334" s="112">
        <f t="shared" si="80"/>
        <v>5659.2</v>
      </c>
      <c r="S334" s="112">
        <f t="shared" si="81"/>
        <v>5659.2</v>
      </c>
      <c r="T334" s="23">
        <v>0</v>
      </c>
      <c r="U334" s="112">
        <f t="shared" si="79"/>
        <v>74198.399999999994</v>
      </c>
    </row>
    <row r="335" spans="1:21" ht="17.100000000000001" customHeight="1" x14ac:dyDescent="0.25">
      <c r="A335" s="20">
        <f>IF(C335="","",COUNTA($C$4:C335))</f>
        <v>332</v>
      </c>
      <c r="B335" s="20" t="str">
        <f t="shared" si="75"/>
        <v>September</v>
      </c>
      <c r="C335" s="45">
        <v>45913</v>
      </c>
      <c r="D335" s="31" t="s">
        <v>1553</v>
      </c>
      <c r="E335" s="105" t="s">
        <v>1554</v>
      </c>
      <c r="F335" s="26"/>
      <c r="G335" s="157" t="s">
        <v>1001</v>
      </c>
      <c r="H335" s="106" t="s">
        <v>207</v>
      </c>
      <c r="L335" s="23">
        <v>4025</v>
      </c>
      <c r="M335" s="23">
        <v>0</v>
      </c>
      <c r="N335" s="23">
        <v>0</v>
      </c>
      <c r="O335" s="112">
        <f t="shared" si="82"/>
        <v>4025</v>
      </c>
      <c r="P335" s="33">
        <v>0.18</v>
      </c>
      <c r="Q335" s="119">
        <v>0</v>
      </c>
      <c r="R335" s="112">
        <f t="shared" si="80"/>
        <v>362.25</v>
      </c>
      <c r="S335" s="112">
        <f t="shared" si="81"/>
        <v>362.25</v>
      </c>
      <c r="T335" s="23">
        <v>0</v>
      </c>
      <c r="U335" s="112">
        <f t="shared" si="79"/>
        <v>4749.5</v>
      </c>
    </row>
    <row r="336" spans="1:21" ht="17.100000000000001" customHeight="1" x14ac:dyDescent="0.25">
      <c r="A336" s="20">
        <f>IF(C336="","",COUNTA($C$4:C336))</f>
        <v>333</v>
      </c>
      <c r="B336" s="20" t="str">
        <f t="shared" si="75"/>
        <v>September</v>
      </c>
      <c r="C336" s="45">
        <v>45913</v>
      </c>
      <c r="D336" s="31" t="s">
        <v>1555</v>
      </c>
      <c r="E336" s="105" t="s">
        <v>1556</v>
      </c>
      <c r="F336" s="26"/>
      <c r="G336" s="157" t="s">
        <v>986</v>
      </c>
      <c r="H336" s="106" t="s">
        <v>1557</v>
      </c>
      <c r="J336" s="22">
        <v>1</v>
      </c>
      <c r="K336" s="22">
        <v>7881.6</v>
      </c>
      <c r="L336" s="23">
        <f>J336*K336</f>
        <v>7881.6</v>
      </c>
      <c r="M336" s="23">
        <v>0</v>
      </c>
      <c r="N336" s="23">
        <v>0</v>
      </c>
      <c r="O336" s="112">
        <f t="shared" si="82"/>
        <v>7881.6</v>
      </c>
      <c r="P336" s="33">
        <v>0.18</v>
      </c>
      <c r="Q336" s="119">
        <v>0</v>
      </c>
      <c r="R336" s="112">
        <f t="shared" si="80"/>
        <v>709.34400000000005</v>
      </c>
      <c r="S336" s="112">
        <f t="shared" si="81"/>
        <v>709.34400000000005</v>
      </c>
      <c r="T336" s="23">
        <v>0</v>
      </c>
      <c r="U336" s="112">
        <f t="shared" si="79"/>
        <v>9300.2880000000005</v>
      </c>
    </row>
    <row r="337" spans="1:21" ht="17.100000000000001" customHeight="1" x14ac:dyDescent="0.25">
      <c r="A337" s="20">
        <f>IF(C337="","",COUNTA($C$4:C337))</f>
        <v>334</v>
      </c>
      <c r="B337" s="20" t="str">
        <f t="shared" si="75"/>
        <v>September</v>
      </c>
      <c r="C337" s="45">
        <v>45913</v>
      </c>
      <c r="D337" s="31" t="s">
        <v>1555</v>
      </c>
      <c r="E337" s="105" t="s">
        <v>1556</v>
      </c>
      <c r="F337" s="26"/>
      <c r="G337" s="157" t="s">
        <v>986</v>
      </c>
      <c r="H337" s="106" t="s">
        <v>1558</v>
      </c>
      <c r="J337" s="22">
        <v>1</v>
      </c>
      <c r="K337" s="22">
        <v>11718</v>
      </c>
      <c r="L337" s="23">
        <f>J337*K337</f>
        <v>11718</v>
      </c>
      <c r="M337" s="23">
        <v>0</v>
      </c>
      <c r="N337" s="23">
        <v>0</v>
      </c>
      <c r="O337" s="112">
        <f t="shared" si="82"/>
        <v>11718</v>
      </c>
      <c r="P337" s="33">
        <v>0.18</v>
      </c>
      <c r="Q337" s="115">
        <v>0</v>
      </c>
      <c r="R337" s="112">
        <f>O337*14/100</f>
        <v>1640.52</v>
      </c>
      <c r="S337" s="112">
        <f>O337*14/100</f>
        <v>1640.52</v>
      </c>
      <c r="T337" s="23">
        <v>0</v>
      </c>
      <c r="U337" s="112">
        <f t="shared" si="79"/>
        <v>14999.04</v>
      </c>
    </row>
    <row r="338" spans="1:21" ht="17.100000000000001" customHeight="1" x14ac:dyDescent="0.25">
      <c r="A338" s="20">
        <f>IF(C338="","",COUNTA($C$4:C338))</f>
        <v>335</v>
      </c>
      <c r="B338" s="20" t="str">
        <f t="shared" si="75"/>
        <v>September</v>
      </c>
      <c r="C338" s="45">
        <v>45913</v>
      </c>
      <c r="D338" s="31" t="s">
        <v>1555</v>
      </c>
      <c r="E338" s="105" t="s">
        <v>1556</v>
      </c>
      <c r="F338" s="26"/>
      <c r="G338" s="157" t="s">
        <v>986</v>
      </c>
      <c r="H338" s="106" t="s">
        <v>1559</v>
      </c>
      <c r="J338" s="22">
        <v>1</v>
      </c>
      <c r="K338" s="22">
        <v>16500</v>
      </c>
      <c r="L338" s="23">
        <f>J338*K338</f>
        <v>16500</v>
      </c>
      <c r="M338" s="23">
        <v>0</v>
      </c>
      <c r="N338" s="23">
        <v>0</v>
      </c>
      <c r="O338" s="112">
        <f t="shared" si="82"/>
        <v>16500</v>
      </c>
      <c r="P338" s="33">
        <v>0.18</v>
      </c>
      <c r="Q338" s="115">
        <v>0</v>
      </c>
      <c r="R338" s="112">
        <f t="shared" ref="R338:R361" si="83">O338*9/100</f>
        <v>1485</v>
      </c>
      <c r="S338" s="112">
        <f t="shared" ref="S338:S361" si="84">O338*9/100</f>
        <v>1485</v>
      </c>
      <c r="T338" s="23">
        <v>0</v>
      </c>
      <c r="U338" s="112">
        <f t="shared" si="79"/>
        <v>19470</v>
      </c>
    </row>
    <row r="339" spans="1:21" ht="17.100000000000001" customHeight="1" x14ac:dyDescent="0.25">
      <c r="A339" s="20">
        <f>IF(C339="","",COUNTA($C$4:C339))</f>
        <v>336</v>
      </c>
      <c r="B339" s="20" t="str">
        <f t="shared" si="75"/>
        <v>September</v>
      </c>
      <c r="C339" s="45">
        <v>45913</v>
      </c>
      <c r="D339" s="31" t="s">
        <v>1555</v>
      </c>
      <c r="E339" s="105" t="s">
        <v>1556</v>
      </c>
      <c r="F339" s="26"/>
      <c r="G339" s="157" t="s">
        <v>986</v>
      </c>
      <c r="H339" s="106" t="s">
        <v>1560</v>
      </c>
      <c r="J339" s="22">
        <v>3</v>
      </c>
      <c r="K339" s="22">
        <v>3850</v>
      </c>
      <c r="L339" s="23">
        <f>J339*K339</f>
        <v>11550</v>
      </c>
      <c r="M339" s="23">
        <v>0</v>
      </c>
      <c r="N339" s="23">
        <v>0</v>
      </c>
      <c r="O339" s="112">
        <f t="shared" si="82"/>
        <v>11550</v>
      </c>
      <c r="P339" s="33">
        <v>0.18</v>
      </c>
      <c r="Q339" s="115">
        <v>0</v>
      </c>
      <c r="R339" s="112">
        <f t="shared" si="83"/>
        <v>1039.5</v>
      </c>
      <c r="S339" s="112">
        <f t="shared" si="84"/>
        <v>1039.5</v>
      </c>
      <c r="T339" s="23">
        <v>0</v>
      </c>
      <c r="U339" s="112">
        <f>O339+R339+S339+1155</f>
        <v>14784</v>
      </c>
    </row>
    <row r="340" spans="1:21" ht="17.100000000000001" customHeight="1" x14ac:dyDescent="0.25">
      <c r="A340" s="20">
        <f>IF(C340="","",COUNTA($C$4:C340))</f>
        <v>337</v>
      </c>
      <c r="B340" s="20" t="str">
        <f t="shared" si="75"/>
        <v>September</v>
      </c>
      <c r="C340" s="45">
        <v>45913</v>
      </c>
      <c r="D340" s="31" t="s">
        <v>1561</v>
      </c>
      <c r="E340" s="105" t="s">
        <v>1562</v>
      </c>
      <c r="F340" s="26"/>
      <c r="G340" s="157" t="s">
        <v>180</v>
      </c>
      <c r="H340" s="106" t="s">
        <v>207</v>
      </c>
      <c r="L340" s="23">
        <v>117900</v>
      </c>
      <c r="M340" s="23">
        <v>0</v>
      </c>
      <c r="N340" s="23">
        <v>0</v>
      </c>
      <c r="O340" s="112">
        <f t="shared" si="82"/>
        <v>117900</v>
      </c>
      <c r="P340" s="33">
        <v>0.18</v>
      </c>
      <c r="Q340" s="118">
        <v>0</v>
      </c>
      <c r="R340" s="112">
        <f t="shared" si="83"/>
        <v>10611</v>
      </c>
      <c r="S340" s="112">
        <f t="shared" si="84"/>
        <v>10611</v>
      </c>
      <c r="T340" s="23">
        <v>0</v>
      </c>
      <c r="U340" s="112">
        <f t="shared" ref="U340:U361" si="85">O340+R340+S340</f>
        <v>139122</v>
      </c>
    </row>
    <row r="341" spans="1:21" ht="17.100000000000001" customHeight="1" x14ac:dyDescent="0.25">
      <c r="A341" s="20">
        <f>IF(C341="","",COUNTA($C$4:C341))</f>
        <v>338</v>
      </c>
      <c r="B341" s="20" t="str">
        <f t="shared" si="75"/>
        <v>August</v>
      </c>
      <c r="C341" s="45">
        <v>45894</v>
      </c>
      <c r="D341" s="31" t="s">
        <v>1366</v>
      </c>
      <c r="E341" s="105" t="s">
        <v>1367</v>
      </c>
      <c r="F341" s="26" t="s">
        <v>1356</v>
      </c>
      <c r="G341" s="157" t="s">
        <v>502</v>
      </c>
      <c r="H341" s="106" t="s">
        <v>1357</v>
      </c>
      <c r="I341" s="159" t="s">
        <v>266</v>
      </c>
      <c r="J341" s="22">
        <v>5320</v>
      </c>
      <c r="K341" s="22">
        <v>70</v>
      </c>
      <c r="L341" s="23">
        <f t="shared" ref="L341:L376" si="86">J341*K341</f>
        <v>372400</v>
      </c>
      <c r="M341" s="23">
        <v>0</v>
      </c>
      <c r="N341" s="23">
        <v>0</v>
      </c>
      <c r="O341" s="112">
        <f t="shared" si="82"/>
        <v>372400</v>
      </c>
      <c r="P341" s="33">
        <v>0.18</v>
      </c>
      <c r="Q341" s="118">
        <v>0</v>
      </c>
      <c r="R341" s="112">
        <f t="shared" si="83"/>
        <v>33516</v>
      </c>
      <c r="S341" s="112">
        <f t="shared" si="84"/>
        <v>33516</v>
      </c>
      <c r="T341" s="23">
        <v>0</v>
      </c>
      <c r="U341" s="112">
        <f t="shared" si="85"/>
        <v>439432</v>
      </c>
    </row>
    <row r="342" spans="1:21" ht="17.100000000000001" customHeight="1" x14ac:dyDescent="0.25">
      <c r="A342" s="20">
        <f>IF(C342="","",COUNTA($C$4:C342))</f>
        <v>339</v>
      </c>
      <c r="B342" s="20" t="str">
        <f t="shared" si="75"/>
        <v>September</v>
      </c>
      <c r="C342" s="45">
        <v>45913</v>
      </c>
      <c r="D342" s="31" t="s">
        <v>1567</v>
      </c>
      <c r="E342" s="105" t="s">
        <v>1568</v>
      </c>
      <c r="F342" s="26" t="s">
        <v>1569</v>
      </c>
      <c r="G342" s="157" t="s">
        <v>64</v>
      </c>
      <c r="H342" s="106" t="s">
        <v>1570</v>
      </c>
      <c r="J342" s="22">
        <v>1000</v>
      </c>
      <c r="K342" s="22">
        <v>65.5</v>
      </c>
      <c r="L342" s="23">
        <f t="shared" si="86"/>
        <v>65500</v>
      </c>
      <c r="M342" s="23">
        <v>5500</v>
      </c>
      <c r="N342" s="23">
        <v>438</v>
      </c>
      <c r="O342" s="112">
        <f t="shared" si="82"/>
        <v>71438</v>
      </c>
      <c r="P342" s="33">
        <v>0.18</v>
      </c>
      <c r="Q342" s="118">
        <v>0</v>
      </c>
      <c r="R342" s="112">
        <f t="shared" si="83"/>
        <v>6429.42</v>
      </c>
      <c r="S342" s="112">
        <f t="shared" si="84"/>
        <v>6429.42</v>
      </c>
      <c r="T342" s="23">
        <v>0</v>
      </c>
      <c r="U342" s="112">
        <f t="shared" si="85"/>
        <v>84296.84</v>
      </c>
    </row>
    <row r="343" spans="1:21" ht="17.100000000000001" customHeight="1" x14ac:dyDescent="0.25">
      <c r="A343" s="20">
        <f>IF(C343="","",COUNTA($C$4:C343))</f>
        <v>340</v>
      </c>
      <c r="B343" s="20" t="str">
        <f t="shared" si="75"/>
        <v>September</v>
      </c>
      <c r="C343" s="45">
        <v>45913</v>
      </c>
      <c r="D343" s="31" t="s">
        <v>1567</v>
      </c>
      <c r="E343" s="105" t="s">
        <v>1568</v>
      </c>
      <c r="F343" s="26" t="s">
        <v>1569</v>
      </c>
      <c r="G343" s="157" t="s">
        <v>64</v>
      </c>
      <c r="H343" s="106" t="s">
        <v>1571</v>
      </c>
      <c r="J343" s="22">
        <v>180</v>
      </c>
      <c r="K343" s="22">
        <v>57.5</v>
      </c>
      <c r="L343" s="23">
        <f t="shared" si="86"/>
        <v>10350</v>
      </c>
      <c r="M343" s="23">
        <v>0</v>
      </c>
      <c r="N343" s="23">
        <v>0</v>
      </c>
      <c r="O343" s="112">
        <f t="shared" si="82"/>
        <v>10350</v>
      </c>
      <c r="P343" s="33">
        <v>0.18</v>
      </c>
      <c r="Q343" s="118">
        <v>0</v>
      </c>
      <c r="R343" s="112">
        <f t="shared" si="83"/>
        <v>931.5</v>
      </c>
      <c r="S343" s="112">
        <f t="shared" si="84"/>
        <v>931.5</v>
      </c>
      <c r="T343" s="23">
        <v>0</v>
      </c>
      <c r="U343" s="112">
        <f t="shared" si="85"/>
        <v>12213</v>
      </c>
    </row>
    <row r="344" spans="1:21" ht="17.100000000000001" customHeight="1" x14ac:dyDescent="0.25">
      <c r="A344" s="20">
        <f>IF(C344="","",COUNTA($C$4:C344))</f>
        <v>341</v>
      </c>
      <c r="B344" s="20" t="str">
        <f t="shared" si="75"/>
        <v>September</v>
      </c>
      <c r="C344" s="45">
        <v>45913</v>
      </c>
      <c r="D344" s="31" t="s">
        <v>1567</v>
      </c>
      <c r="E344" s="105" t="s">
        <v>1568</v>
      </c>
      <c r="F344" s="26" t="s">
        <v>1569</v>
      </c>
      <c r="G344" s="157" t="s">
        <v>64</v>
      </c>
      <c r="H344" s="106" t="s">
        <v>1572</v>
      </c>
      <c r="J344" s="22">
        <v>50</v>
      </c>
      <c r="K344" s="22">
        <v>110</v>
      </c>
      <c r="L344" s="23">
        <f t="shared" si="86"/>
        <v>5500</v>
      </c>
      <c r="M344" s="23">
        <v>0</v>
      </c>
      <c r="N344" s="23">
        <v>0</v>
      </c>
      <c r="O344" s="112">
        <f t="shared" si="82"/>
        <v>5500</v>
      </c>
      <c r="P344" s="33">
        <v>0.18</v>
      </c>
      <c r="Q344" s="118">
        <v>0</v>
      </c>
      <c r="R344" s="112">
        <f t="shared" si="83"/>
        <v>495</v>
      </c>
      <c r="S344" s="112">
        <f t="shared" si="84"/>
        <v>495</v>
      </c>
      <c r="T344" s="23">
        <v>0</v>
      </c>
      <c r="U344" s="112">
        <f t="shared" si="85"/>
        <v>6490</v>
      </c>
    </row>
    <row r="345" spans="1:21" ht="17.100000000000001" customHeight="1" x14ac:dyDescent="0.25">
      <c r="A345" s="20">
        <f>IF(C345="","",COUNTA($C$4:C345))</f>
        <v>342</v>
      </c>
      <c r="B345" s="20" t="str">
        <f t="shared" si="75"/>
        <v>September</v>
      </c>
      <c r="C345" s="45">
        <v>45913</v>
      </c>
      <c r="D345" s="31" t="s">
        <v>1573</v>
      </c>
      <c r="E345" s="105" t="s">
        <v>1574</v>
      </c>
      <c r="F345" s="26" t="s">
        <v>1575</v>
      </c>
      <c r="G345" s="157" t="s">
        <v>260</v>
      </c>
      <c r="H345" s="106" t="s">
        <v>667</v>
      </c>
      <c r="J345" s="22">
        <v>959</v>
      </c>
      <c r="K345" s="22">
        <v>18</v>
      </c>
      <c r="L345" s="23">
        <f t="shared" si="86"/>
        <v>17262</v>
      </c>
      <c r="M345" s="23">
        <v>0</v>
      </c>
      <c r="N345" s="23">
        <v>0</v>
      </c>
      <c r="O345" s="112">
        <f t="shared" si="82"/>
        <v>17262</v>
      </c>
      <c r="P345" s="33">
        <v>0.18</v>
      </c>
      <c r="Q345" s="118">
        <v>0</v>
      </c>
      <c r="R345" s="112">
        <f t="shared" si="83"/>
        <v>1553.58</v>
      </c>
      <c r="S345" s="112">
        <f t="shared" si="84"/>
        <v>1553.58</v>
      </c>
      <c r="T345" s="23">
        <v>0</v>
      </c>
      <c r="U345" s="112">
        <f t="shared" si="85"/>
        <v>20369.160000000003</v>
      </c>
    </row>
    <row r="346" spans="1:21" ht="17.100000000000001" customHeight="1" x14ac:dyDescent="0.25">
      <c r="A346" s="20">
        <f>IF(C346="","",COUNTA($C$4:C346))</f>
        <v>343</v>
      </c>
      <c r="B346" s="20" t="str">
        <f t="shared" si="75"/>
        <v>September</v>
      </c>
      <c r="C346" s="45">
        <v>45913</v>
      </c>
      <c r="D346" s="31" t="s">
        <v>1573</v>
      </c>
      <c r="E346" s="105" t="s">
        <v>1574</v>
      </c>
      <c r="F346" s="26" t="s">
        <v>1575</v>
      </c>
      <c r="G346" s="157" t="s">
        <v>260</v>
      </c>
      <c r="H346" s="106" t="s">
        <v>668</v>
      </c>
      <c r="J346" s="22">
        <v>572</v>
      </c>
      <c r="K346" s="22">
        <v>20</v>
      </c>
      <c r="L346" s="23">
        <f t="shared" si="86"/>
        <v>11440</v>
      </c>
      <c r="M346" s="23">
        <v>0</v>
      </c>
      <c r="N346" s="23">
        <v>0</v>
      </c>
      <c r="O346" s="112">
        <f t="shared" si="82"/>
        <v>11440</v>
      </c>
      <c r="P346" s="33">
        <v>0.18</v>
      </c>
      <c r="Q346" s="118">
        <v>0</v>
      </c>
      <c r="R346" s="112">
        <f t="shared" si="83"/>
        <v>1029.5999999999999</v>
      </c>
      <c r="S346" s="112">
        <f t="shared" si="84"/>
        <v>1029.5999999999999</v>
      </c>
      <c r="T346" s="23">
        <v>0</v>
      </c>
      <c r="U346" s="112">
        <f t="shared" si="85"/>
        <v>13499.2</v>
      </c>
    </row>
    <row r="347" spans="1:21" ht="17.100000000000001" customHeight="1" x14ac:dyDescent="0.25">
      <c r="A347" s="20">
        <f>IF(C347="","",COUNTA($C$4:C347))</f>
        <v>344</v>
      </c>
      <c r="B347" s="20" t="str">
        <f t="shared" si="75"/>
        <v>September</v>
      </c>
      <c r="C347" s="45">
        <v>45913</v>
      </c>
      <c r="D347" s="31" t="s">
        <v>1573</v>
      </c>
      <c r="E347" s="105" t="s">
        <v>1574</v>
      </c>
      <c r="F347" s="26" t="s">
        <v>1575</v>
      </c>
      <c r="G347" s="157" t="s">
        <v>260</v>
      </c>
      <c r="H347" s="106" t="s">
        <v>1225</v>
      </c>
      <c r="J347" s="22">
        <v>34</v>
      </c>
      <c r="K347" s="22">
        <v>17</v>
      </c>
      <c r="L347" s="23">
        <f t="shared" si="86"/>
        <v>578</v>
      </c>
      <c r="M347" s="23">
        <v>0</v>
      </c>
      <c r="N347" s="23">
        <v>0</v>
      </c>
      <c r="O347" s="112">
        <f t="shared" si="82"/>
        <v>578</v>
      </c>
      <c r="P347" s="33">
        <v>0.18</v>
      </c>
      <c r="Q347" s="118">
        <v>0</v>
      </c>
      <c r="R347" s="112">
        <f t="shared" si="83"/>
        <v>52.02</v>
      </c>
      <c r="S347" s="112">
        <f t="shared" si="84"/>
        <v>52.02</v>
      </c>
      <c r="T347" s="23">
        <v>0</v>
      </c>
      <c r="U347" s="112">
        <f t="shared" si="85"/>
        <v>682.04</v>
      </c>
    </row>
    <row r="348" spans="1:21" ht="17.100000000000001" customHeight="1" x14ac:dyDescent="0.25">
      <c r="A348" s="20">
        <f>IF(C348="","",COUNTA($C$4:C348))</f>
        <v>345</v>
      </c>
      <c r="B348" s="20" t="str">
        <f t="shared" si="75"/>
        <v>September</v>
      </c>
      <c r="C348" s="45">
        <v>45913</v>
      </c>
      <c r="D348" s="31" t="s">
        <v>1573</v>
      </c>
      <c r="E348" s="105" t="s">
        <v>1574</v>
      </c>
      <c r="F348" s="26" t="s">
        <v>1575</v>
      </c>
      <c r="G348" s="157" t="s">
        <v>260</v>
      </c>
      <c r="H348" s="106" t="s">
        <v>1576</v>
      </c>
      <c r="J348" s="22">
        <v>713</v>
      </c>
      <c r="K348" s="22">
        <v>19</v>
      </c>
      <c r="L348" s="23">
        <f t="shared" si="86"/>
        <v>13547</v>
      </c>
      <c r="M348" s="23">
        <v>0</v>
      </c>
      <c r="N348" s="23">
        <v>0</v>
      </c>
      <c r="O348" s="112">
        <f t="shared" si="82"/>
        <v>13547</v>
      </c>
      <c r="P348" s="33">
        <v>0.18</v>
      </c>
      <c r="Q348" s="118">
        <v>0</v>
      </c>
      <c r="R348" s="112">
        <f t="shared" si="83"/>
        <v>1219.23</v>
      </c>
      <c r="S348" s="112">
        <f t="shared" si="84"/>
        <v>1219.23</v>
      </c>
      <c r="T348" s="23">
        <v>0</v>
      </c>
      <c r="U348" s="112">
        <f t="shared" si="85"/>
        <v>15985.46</v>
      </c>
    </row>
    <row r="349" spans="1:21" ht="17.100000000000001" customHeight="1" x14ac:dyDescent="0.25">
      <c r="A349" s="20">
        <f>IF(C349="","",COUNTA($C$4:C349))</f>
        <v>346</v>
      </c>
      <c r="B349" s="20" t="str">
        <f t="shared" si="75"/>
        <v>September</v>
      </c>
      <c r="C349" s="45">
        <v>45913</v>
      </c>
      <c r="D349" s="31" t="s">
        <v>1573</v>
      </c>
      <c r="E349" s="105" t="s">
        <v>1574</v>
      </c>
      <c r="F349" s="26" t="s">
        <v>1575</v>
      </c>
      <c r="G349" s="157" t="s">
        <v>260</v>
      </c>
      <c r="H349" s="106" t="s">
        <v>1577</v>
      </c>
      <c r="J349" s="22">
        <v>464</v>
      </c>
      <c r="K349" s="22">
        <v>20.5</v>
      </c>
      <c r="L349" s="23">
        <f t="shared" si="86"/>
        <v>9512</v>
      </c>
      <c r="M349" s="23">
        <v>0</v>
      </c>
      <c r="N349" s="23">
        <v>0</v>
      </c>
      <c r="O349" s="112">
        <f t="shared" si="82"/>
        <v>9512</v>
      </c>
      <c r="P349" s="33">
        <v>0.18</v>
      </c>
      <c r="Q349" s="115">
        <v>0</v>
      </c>
      <c r="R349" s="112">
        <f t="shared" si="83"/>
        <v>856.08</v>
      </c>
      <c r="S349" s="112">
        <f t="shared" si="84"/>
        <v>856.08</v>
      </c>
      <c r="T349" s="23">
        <v>0</v>
      </c>
      <c r="U349" s="112">
        <f t="shared" si="85"/>
        <v>11224.16</v>
      </c>
    </row>
    <row r="350" spans="1:21" ht="17.100000000000001" customHeight="1" x14ac:dyDescent="0.25">
      <c r="A350" s="20">
        <f>IF(C350="","",COUNTA($C$4:C350))</f>
        <v>347</v>
      </c>
      <c r="B350" s="20" t="str">
        <f t="shared" si="75"/>
        <v>September</v>
      </c>
      <c r="C350" s="45">
        <v>45915</v>
      </c>
      <c r="D350" s="31" t="s">
        <v>1578</v>
      </c>
      <c r="E350" s="105" t="s">
        <v>1579</v>
      </c>
      <c r="F350" s="26" t="s">
        <v>903</v>
      </c>
      <c r="G350" s="157" t="s">
        <v>260</v>
      </c>
      <c r="H350" s="106" t="s">
        <v>665</v>
      </c>
      <c r="J350" s="22">
        <v>523</v>
      </c>
      <c r="K350" s="22">
        <v>14.5</v>
      </c>
      <c r="L350" s="23">
        <f t="shared" si="86"/>
        <v>7583.5</v>
      </c>
      <c r="M350" s="23">
        <v>0</v>
      </c>
      <c r="N350" s="23">
        <v>0</v>
      </c>
      <c r="O350" s="112">
        <f t="shared" si="82"/>
        <v>7583.5</v>
      </c>
      <c r="P350" s="33">
        <v>0.18</v>
      </c>
      <c r="Q350" s="115">
        <v>0</v>
      </c>
      <c r="R350" s="112">
        <f t="shared" si="83"/>
        <v>682.51499999999999</v>
      </c>
      <c r="S350" s="112">
        <f t="shared" si="84"/>
        <v>682.51499999999999</v>
      </c>
      <c r="T350" s="23">
        <v>0</v>
      </c>
      <c r="U350" s="112">
        <f t="shared" si="85"/>
        <v>8948.5299999999988</v>
      </c>
    </row>
    <row r="351" spans="1:21" ht="17.100000000000001" customHeight="1" x14ac:dyDescent="0.25">
      <c r="A351" s="20">
        <f>IF(C351="","",COUNTA($C$4:C351))</f>
        <v>348</v>
      </c>
      <c r="B351" s="20" t="str">
        <f t="shared" si="75"/>
        <v>September</v>
      </c>
      <c r="C351" s="45">
        <v>45915</v>
      </c>
      <c r="D351" s="31" t="s">
        <v>1578</v>
      </c>
      <c r="E351" s="105" t="s">
        <v>1579</v>
      </c>
      <c r="F351" s="26" t="s">
        <v>903</v>
      </c>
      <c r="G351" s="157" t="s">
        <v>260</v>
      </c>
      <c r="H351" s="106" t="s">
        <v>666</v>
      </c>
      <c r="J351" s="22">
        <v>157</v>
      </c>
      <c r="K351" s="22">
        <v>16.5</v>
      </c>
      <c r="L351" s="23">
        <f t="shared" si="86"/>
        <v>2590.5</v>
      </c>
      <c r="M351" s="23">
        <v>0</v>
      </c>
      <c r="N351" s="23">
        <v>0</v>
      </c>
      <c r="O351" s="112">
        <f t="shared" si="82"/>
        <v>2590.5</v>
      </c>
      <c r="P351" s="33">
        <v>0.18</v>
      </c>
      <c r="Q351" s="115">
        <v>0</v>
      </c>
      <c r="R351" s="112">
        <f t="shared" si="83"/>
        <v>233.14500000000001</v>
      </c>
      <c r="S351" s="112">
        <f t="shared" si="84"/>
        <v>233.14500000000001</v>
      </c>
      <c r="T351" s="23">
        <v>0</v>
      </c>
      <c r="U351" s="112">
        <f t="shared" si="85"/>
        <v>3056.79</v>
      </c>
    </row>
    <row r="352" spans="1:21" ht="17.100000000000001" customHeight="1" x14ac:dyDescent="0.25">
      <c r="A352" s="20">
        <f>IF(C352="","",COUNTA($C$4:C352))</f>
        <v>349</v>
      </c>
      <c r="B352" s="20" t="str">
        <f t="shared" si="75"/>
        <v>September</v>
      </c>
      <c r="C352" s="45">
        <v>45915</v>
      </c>
      <c r="D352" s="31" t="s">
        <v>1578</v>
      </c>
      <c r="E352" s="105" t="s">
        <v>1579</v>
      </c>
      <c r="F352" s="26" t="s">
        <v>903</v>
      </c>
      <c r="G352" s="157" t="s">
        <v>260</v>
      </c>
      <c r="H352" s="106" t="s">
        <v>1580</v>
      </c>
      <c r="J352" s="22">
        <v>300</v>
      </c>
      <c r="K352" s="22">
        <v>14.5</v>
      </c>
      <c r="L352" s="23">
        <f t="shared" si="86"/>
        <v>4350</v>
      </c>
      <c r="M352" s="23">
        <v>0</v>
      </c>
      <c r="N352" s="23">
        <v>0</v>
      </c>
      <c r="O352" s="112">
        <f t="shared" si="82"/>
        <v>4350</v>
      </c>
      <c r="P352" s="33">
        <v>0.18</v>
      </c>
      <c r="Q352" s="115">
        <v>0</v>
      </c>
      <c r="R352" s="112">
        <f t="shared" si="83"/>
        <v>391.5</v>
      </c>
      <c r="S352" s="112">
        <f t="shared" si="84"/>
        <v>391.5</v>
      </c>
      <c r="T352" s="23">
        <v>0</v>
      </c>
      <c r="U352" s="112">
        <f t="shared" si="85"/>
        <v>5133</v>
      </c>
    </row>
    <row r="353" spans="1:21" ht="17.100000000000001" customHeight="1" x14ac:dyDescent="0.25">
      <c r="A353" s="20">
        <f>IF(C353="","",COUNTA($C$4:C353))</f>
        <v>350</v>
      </c>
      <c r="B353" s="20" t="str">
        <f t="shared" si="75"/>
        <v>September</v>
      </c>
      <c r="C353" s="45">
        <v>45915</v>
      </c>
      <c r="D353" s="31" t="s">
        <v>1578</v>
      </c>
      <c r="E353" s="105" t="s">
        <v>1579</v>
      </c>
      <c r="F353" s="26" t="s">
        <v>903</v>
      </c>
      <c r="G353" s="157" t="s">
        <v>260</v>
      </c>
      <c r="H353" s="106" t="s">
        <v>1457</v>
      </c>
      <c r="J353" s="22">
        <v>1244</v>
      </c>
      <c r="K353" s="22">
        <v>11</v>
      </c>
      <c r="L353" s="23">
        <f t="shared" si="86"/>
        <v>13684</v>
      </c>
      <c r="M353" s="23">
        <v>0</v>
      </c>
      <c r="N353" s="23">
        <v>0</v>
      </c>
      <c r="O353" s="112">
        <f t="shared" si="82"/>
        <v>13684</v>
      </c>
      <c r="P353" s="33">
        <v>0.18</v>
      </c>
      <c r="Q353" s="115">
        <v>0</v>
      </c>
      <c r="R353" s="112">
        <f t="shared" si="83"/>
        <v>1231.56</v>
      </c>
      <c r="S353" s="112">
        <f t="shared" si="84"/>
        <v>1231.56</v>
      </c>
      <c r="T353" s="23">
        <v>0</v>
      </c>
      <c r="U353" s="112">
        <f t="shared" si="85"/>
        <v>16147.119999999999</v>
      </c>
    </row>
    <row r="354" spans="1:21" ht="17.100000000000001" customHeight="1" x14ac:dyDescent="0.25">
      <c r="A354" s="20">
        <f>IF(C354="","",COUNTA($C$4:C354))</f>
        <v>351</v>
      </c>
      <c r="B354" s="20" t="str">
        <f t="shared" si="75"/>
        <v>September</v>
      </c>
      <c r="C354" s="45">
        <v>45915</v>
      </c>
      <c r="D354" s="31" t="s">
        <v>1578</v>
      </c>
      <c r="E354" s="105" t="s">
        <v>1579</v>
      </c>
      <c r="F354" s="26" t="s">
        <v>903</v>
      </c>
      <c r="G354" s="157" t="s">
        <v>260</v>
      </c>
      <c r="H354" s="106" t="s">
        <v>664</v>
      </c>
      <c r="J354" s="22">
        <v>1743</v>
      </c>
      <c r="K354" s="22">
        <v>13</v>
      </c>
      <c r="L354" s="23">
        <f t="shared" si="86"/>
        <v>22659</v>
      </c>
      <c r="M354" s="23">
        <v>0</v>
      </c>
      <c r="N354" s="23">
        <v>0</v>
      </c>
      <c r="O354" s="112">
        <f t="shared" si="82"/>
        <v>22659</v>
      </c>
      <c r="P354" s="33">
        <v>0.18</v>
      </c>
      <c r="Q354" s="115">
        <v>0</v>
      </c>
      <c r="R354" s="112">
        <f t="shared" si="83"/>
        <v>2039.31</v>
      </c>
      <c r="S354" s="112">
        <f t="shared" si="84"/>
        <v>2039.31</v>
      </c>
      <c r="T354" s="23">
        <v>0</v>
      </c>
      <c r="U354" s="112">
        <f t="shared" si="85"/>
        <v>26737.620000000003</v>
      </c>
    </row>
    <row r="355" spans="1:21" ht="17.100000000000001" customHeight="1" x14ac:dyDescent="0.25">
      <c r="A355" s="20">
        <f>IF(C355="","",COUNTA($C$4:C355))</f>
        <v>352</v>
      </c>
      <c r="B355" s="20" t="str">
        <f t="shared" ref="B355:B418" si="87">IF(C355="","",TEXT(C355,"mmmm"))</f>
        <v>September</v>
      </c>
      <c r="C355" s="45">
        <v>45915</v>
      </c>
      <c r="D355" s="31" t="s">
        <v>1578</v>
      </c>
      <c r="E355" s="105" t="s">
        <v>1579</v>
      </c>
      <c r="F355" s="26" t="s">
        <v>903</v>
      </c>
      <c r="G355" s="157" t="s">
        <v>260</v>
      </c>
      <c r="H355" s="106" t="s">
        <v>1581</v>
      </c>
      <c r="J355" s="22">
        <v>220</v>
      </c>
      <c r="K355" s="22">
        <v>16</v>
      </c>
      <c r="L355" s="23">
        <f t="shared" si="86"/>
        <v>3520</v>
      </c>
      <c r="M355" s="23">
        <v>0</v>
      </c>
      <c r="N355" s="23">
        <v>0</v>
      </c>
      <c r="O355" s="112">
        <f t="shared" si="82"/>
        <v>3520</v>
      </c>
      <c r="P355" s="33">
        <v>0.18</v>
      </c>
      <c r="Q355" s="115">
        <v>0</v>
      </c>
      <c r="R355" s="112">
        <f t="shared" si="83"/>
        <v>316.8</v>
      </c>
      <c r="S355" s="112">
        <f t="shared" si="84"/>
        <v>316.8</v>
      </c>
      <c r="T355" s="23">
        <v>0</v>
      </c>
      <c r="U355" s="112">
        <f t="shared" si="85"/>
        <v>4153.6000000000004</v>
      </c>
    </row>
    <row r="356" spans="1:21" ht="17.100000000000001" customHeight="1" x14ac:dyDescent="0.25">
      <c r="A356" s="20">
        <f>IF(C356="","",COUNTA($C$4:C356))</f>
        <v>353</v>
      </c>
      <c r="B356" s="20" t="str">
        <f t="shared" si="87"/>
        <v>September</v>
      </c>
      <c r="C356" s="45">
        <v>45915</v>
      </c>
      <c r="D356" s="31" t="s">
        <v>1582</v>
      </c>
      <c r="E356" s="105" t="s">
        <v>1583</v>
      </c>
      <c r="F356" s="26" t="s">
        <v>1575</v>
      </c>
      <c r="G356" s="157" t="s">
        <v>260</v>
      </c>
      <c r="H356" s="106" t="s">
        <v>1457</v>
      </c>
      <c r="J356" s="22">
        <v>165</v>
      </c>
      <c r="K356" s="22">
        <v>11</v>
      </c>
      <c r="L356" s="23">
        <f t="shared" si="86"/>
        <v>1815</v>
      </c>
      <c r="M356" s="23">
        <v>0</v>
      </c>
      <c r="N356" s="23">
        <v>0</v>
      </c>
      <c r="O356" s="112">
        <f t="shared" si="82"/>
        <v>1815</v>
      </c>
      <c r="P356" s="33">
        <v>0.18</v>
      </c>
      <c r="Q356" s="115">
        <v>0</v>
      </c>
      <c r="R356" s="112">
        <f t="shared" si="83"/>
        <v>163.35</v>
      </c>
      <c r="S356" s="112">
        <f t="shared" si="84"/>
        <v>163.35</v>
      </c>
      <c r="T356" s="23">
        <v>0</v>
      </c>
      <c r="U356" s="112">
        <f t="shared" si="85"/>
        <v>2141.6999999999998</v>
      </c>
    </row>
    <row r="357" spans="1:21" ht="17.100000000000001" customHeight="1" x14ac:dyDescent="0.25">
      <c r="A357" s="20">
        <f>IF(C357="","",COUNTA($C$4:C357))</f>
        <v>354</v>
      </c>
      <c r="B357" s="20" t="str">
        <f t="shared" si="87"/>
        <v>September</v>
      </c>
      <c r="C357" s="45">
        <v>45915</v>
      </c>
      <c r="D357" s="31" t="s">
        <v>1582</v>
      </c>
      <c r="E357" s="105" t="s">
        <v>1583</v>
      </c>
      <c r="F357" s="26" t="s">
        <v>1575</v>
      </c>
      <c r="G357" s="157" t="s">
        <v>260</v>
      </c>
      <c r="H357" s="106" t="s">
        <v>664</v>
      </c>
      <c r="J357" s="22">
        <v>52</v>
      </c>
      <c r="K357" s="22">
        <v>13</v>
      </c>
      <c r="L357" s="23">
        <f t="shared" si="86"/>
        <v>676</v>
      </c>
      <c r="M357" s="23">
        <v>0</v>
      </c>
      <c r="N357" s="23">
        <v>0</v>
      </c>
      <c r="O357" s="112">
        <f t="shared" si="82"/>
        <v>676</v>
      </c>
      <c r="P357" s="33">
        <v>0.18</v>
      </c>
      <c r="Q357" s="115">
        <v>0</v>
      </c>
      <c r="R357" s="112">
        <f t="shared" si="83"/>
        <v>60.84</v>
      </c>
      <c r="S357" s="112">
        <f t="shared" si="84"/>
        <v>60.84</v>
      </c>
      <c r="T357" s="23">
        <v>0</v>
      </c>
      <c r="U357" s="112">
        <f t="shared" si="85"/>
        <v>797.68000000000006</v>
      </c>
    </row>
    <row r="358" spans="1:21" ht="17.100000000000001" customHeight="1" x14ac:dyDescent="0.25">
      <c r="A358" s="20">
        <f>IF(C358="","",COUNTA($C$4:C358))</f>
        <v>355</v>
      </c>
      <c r="B358" s="20" t="str">
        <f t="shared" si="87"/>
        <v>September</v>
      </c>
      <c r="C358" s="45">
        <v>45915</v>
      </c>
      <c r="D358" s="31" t="s">
        <v>1582</v>
      </c>
      <c r="E358" s="105" t="s">
        <v>1583</v>
      </c>
      <c r="F358" s="26" t="s">
        <v>1575</v>
      </c>
      <c r="G358" s="157" t="s">
        <v>260</v>
      </c>
      <c r="H358" s="106" t="s">
        <v>665</v>
      </c>
      <c r="J358" s="22">
        <v>12</v>
      </c>
      <c r="K358" s="22">
        <v>14.5</v>
      </c>
      <c r="L358" s="23">
        <f t="shared" si="86"/>
        <v>174</v>
      </c>
      <c r="M358" s="23">
        <v>0</v>
      </c>
      <c r="N358" s="23">
        <v>0</v>
      </c>
      <c r="O358" s="112">
        <f t="shared" si="82"/>
        <v>174</v>
      </c>
      <c r="P358" s="33">
        <v>0.18</v>
      </c>
      <c r="Q358" s="115">
        <v>0</v>
      </c>
      <c r="R358" s="112">
        <f t="shared" si="83"/>
        <v>15.66</v>
      </c>
      <c r="S358" s="112">
        <f t="shared" si="84"/>
        <v>15.66</v>
      </c>
      <c r="T358" s="23">
        <v>0</v>
      </c>
      <c r="U358" s="112">
        <f t="shared" si="85"/>
        <v>205.32</v>
      </c>
    </row>
    <row r="359" spans="1:21" ht="17.100000000000001" customHeight="1" x14ac:dyDescent="0.25">
      <c r="A359" s="20">
        <f>IF(C359="","",COUNTA($C$4:C359))</f>
        <v>356</v>
      </c>
      <c r="B359" s="20" t="str">
        <f t="shared" si="87"/>
        <v>September</v>
      </c>
      <c r="C359" s="45">
        <v>45915</v>
      </c>
      <c r="D359" s="31" t="s">
        <v>1582</v>
      </c>
      <c r="E359" s="105" t="s">
        <v>1583</v>
      </c>
      <c r="F359" s="26" t="s">
        <v>1575</v>
      </c>
      <c r="G359" s="157" t="s">
        <v>260</v>
      </c>
      <c r="H359" s="106" t="s">
        <v>666</v>
      </c>
      <c r="J359" s="22">
        <v>176</v>
      </c>
      <c r="K359" s="22">
        <v>16.5</v>
      </c>
      <c r="L359" s="23">
        <f t="shared" si="86"/>
        <v>2904</v>
      </c>
      <c r="M359" s="23">
        <v>0</v>
      </c>
      <c r="N359" s="23">
        <v>0</v>
      </c>
      <c r="O359" s="112">
        <f t="shared" si="82"/>
        <v>2904</v>
      </c>
      <c r="P359" s="33">
        <v>0.18</v>
      </c>
      <c r="Q359" s="115">
        <v>0</v>
      </c>
      <c r="R359" s="112">
        <f t="shared" si="83"/>
        <v>261.36</v>
      </c>
      <c r="S359" s="112">
        <f t="shared" si="84"/>
        <v>261.36</v>
      </c>
      <c r="T359" s="23">
        <v>0</v>
      </c>
      <c r="U359" s="112">
        <f t="shared" si="85"/>
        <v>3426.7200000000003</v>
      </c>
    </row>
    <row r="360" spans="1:21" ht="17.100000000000001" customHeight="1" x14ac:dyDescent="0.25">
      <c r="A360" s="20">
        <f>IF(C360="","",COUNTA($C$4:C360))</f>
        <v>357</v>
      </c>
      <c r="B360" s="20" t="str">
        <f t="shared" si="87"/>
        <v>September</v>
      </c>
      <c r="C360" s="45">
        <v>45915</v>
      </c>
      <c r="D360" s="31" t="s">
        <v>1582</v>
      </c>
      <c r="E360" s="105" t="s">
        <v>1583</v>
      </c>
      <c r="F360" s="26" t="s">
        <v>1575</v>
      </c>
      <c r="G360" s="157" t="s">
        <v>260</v>
      </c>
      <c r="H360" s="106" t="s">
        <v>1580</v>
      </c>
      <c r="J360" s="22">
        <v>4</v>
      </c>
      <c r="K360" s="22">
        <v>14.5</v>
      </c>
      <c r="L360" s="23">
        <f t="shared" si="86"/>
        <v>58</v>
      </c>
      <c r="M360" s="23">
        <v>0</v>
      </c>
      <c r="N360" s="23">
        <v>0</v>
      </c>
      <c r="O360" s="112">
        <f t="shared" si="82"/>
        <v>58</v>
      </c>
      <c r="P360" s="33">
        <v>0.18</v>
      </c>
      <c r="Q360" s="115">
        <v>0</v>
      </c>
      <c r="R360" s="112">
        <f t="shared" si="83"/>
        <v>5.22</v>
      </c>
      <c r="S360" s="112">
        <f t="shared" si="84"/>
        <v>5.22</v>
      </c>
      <c r="T360" s="23">
        <v>0</v>
      </c>
      <c r="U360" s="112">
        <f t="shared" si="85"/>
        <v>68.44</v>
      </c>
    </row>
    <row r="361" spans="1:21" ht="17.100000000000001" customHeight="1" x14ac:dyDescent="0.25">
      <c r="A361" s="20">
        <f>IF(C361="","",COUNTA($C$4:C361))</f>
        <v>358</v>
      </c>
      <c r="B361" s="20" t="str">
        <f t="shared" si="87"/>
        <v>September</v>
      </c>
      <c r="C361" s="45">
        <v>45915</v>
      </c>
      <c r="D361" s="31" t="s">
        <v>1582</v>
      </c>
      <c r="E361" s="105" t="s">
        <v>1583</v>
      </c>
      <c r="F361" s="26" t="s">
        <v>1575</v>
      </c>
      <c r="G361" s="157" t="s">
        <v>260</v>
      </c>
      <c r="H361" s="106" t="s">
        <v>1581</v>
      </c>
      <c r="J361" s="22">
        <v>23</v>
      </c>
      <c r="K361" s="22">
        <v>16</v>
      </c>
      <c r="L361" s="23">
        <f t="shared" si="86"/>
        <v>368</v>
      </c>
      <c r="M361" s="23">
        <v>0</v>
      </c>
      <c r="N361" s="23">
        <v>0</v>
      </c>
      <c r="O361" s="112">
        <f t="shared" si="82"/>
        <v>368</v>
      </c>
      <c r="P361" s="33">
        <v>0.18</v>
      </c>
      <c r="Q361" s="115">
        <v>0</v>
      </c>
      <c r="R361" s="112">
        <f t="shared" si="83"/>
        <v>33.119999999999997</v>
      </c>
      <c r="S361" s="112">
        <f t="shared" si="84"/>
        <v>33.119999999999997</v>
      </c>
      <c r="T361" s="23">
        <v>0</v>
      </c>
      <c r="U361" s="112">
        <f t="shared" si="85"/>
        <v>434.24</v>
      </c>
    </row>
    <row r="362" spans="1:21" ht="17.100000000000001" customHeight="1" x14ac:dyDescent="0.25">
      <c r="A362" s="20">
        <f>IF(C362="","",COUNTA($C$4:C362))</f>
        <v>359</v>
      </c>
      <c r="B362" s="20" t="str">
        <f t="shared" si="87"/>
        <v>February</v>
      </c>
      <c r="C362" s="45">
        <v>46078</v>
      </c>
      <c r="D362" s="31" t="s">
        <v>2866</v>
      </c>
      <c r="E362" s="105" t="s">
        <v>2867</v>
      </c>
      <c r="F362" s="26" t="s">
        <v>2868</v>
      </c>
      <c r="G362" s="157" t="s">
        <v>746</v>
      </c>
      <c r="H362" s="106" t="s">
        <v>2869</v>
      </c>
      <c r="J362" s="22">
        <v>200</v>
      </c>
      <c r="K362" s="22">
        <v>346</v>
      </c>
      <c r="L362" s="23">
        <f t="shared" si="86"/>
        <v>69200</v>
      </c>
      <c r="M362" s="23">
        <v>0</v>
      </c>
      <c r="N362" s="23">
        <v>0</v>
      </c>
      <c r="O362" s="112">
        <f t="shared" si="82"/>
        <v>69200</v>
      </c>
      <c r="P362" s="33">
        <v>0.18</v>
      </c>
      <c r="Q362" s="119">
        <f>O362*18/100</f>
        <v>12456</v>
      </c>
      <c r="R362" s="115">
        <v>0</v>
      </c>
      <c r="S362" s="115">
        <v>0</v>
      </c>
      <c r="T362" s="23">
        <v>0</v>
      </c>
      <c r="U362" s="112">
        <f>O362+Q362</f>
        <v>81656</v>
      </c>
    </row>
    <row r="363" spans="1:21" ht="17.100000000000001" customHeight="1" x14ac:dyDescent="0.25">
      <c r="A363" s="20">
        <f>IF(C363="","",COUNTA($C$4:C363))</f>
        <v>360</v>
      </c>
      <c r="B363" s="20" t="str">
        <f t="shared" si="87"/>
        <v>March</v>
      </c>
      <c r="C363" s="45">
        <v>46106</v>
      </c>
      <c r="D363" s="31" t="s">
        <v>2261</v>
      </c>
      <c r="E363" s="105" t="s">
        <v>3063</v>
      </c>
      <c r="F363" s="26" t="s">
        <v>3064</v>
      </c>
      <c r="G363" s="157" t="s">
        <v>746</v>
      </c>
      <c r="H363" s="106" t="s">
        <v>3065</v>
      </c>
      <c r="J363" s="22">
        <v>470.4</v>
      </c>
      <c r="K363" s="22">
        <v>192</v>
      </c>
      <c r="L363" s="23">
        <f t="shared" si="86"/>
        <v>90316.799999999988</v>
      </c>
      <c r="M363" s="23">
        <v>4500</v>
      </c>
      <c r="N363" s="23">
        <v>0</v>
      </c>
      <c r="O363" s="112">
        <f t="shared" si="82"/>
        <v>94816.799999999988</v>
      </c>
      <c r="P363" s="33">
        <v>0.18</v>
      </c>
      <c r="Q363" s="115">
        <v>0</v>
      </c>
      <c r="R363" s="112">
        <f t="shared" ref="R363:R377" si="88">O363*9/100</f>
        <v>8533.5119999999988</v>
      </c>
      <c r="S363" s="112">
        <f t="shared" ref="S363:S377" si="89">O363*9/100</f>
        <v>8533.5119999999988</v>
      </c>
      <c r="T363" s="23">
        <v>0</v>
      </c>
      <c r="U363" s="112">
        <f t="shared" ref="U363:U377" si="90">O363+R363+S363</f>
        <v>111883.82399999999</v>
      </c>
    </row>
    <row r="364" spans="1:21" ht="17.100000000000001" customHeight="1" x14ac:dyDescent="0.25">
      <c r="A364" s="20">
        <f>IF(C364="","",COUNTA($C$4:C364))</f>
        <v>361</v>
      </c>
      <c r="B364" s="20" t="str">
        <f t="shared" si="87"/>
        <v>September</v>
      </c>
      <c r="C364" s="45">
        <v>45918</v>
      </c>
      <c r="D364" s="31" t="s">
        <v>1595</v>
      </c>
      <c r="E364" s="105" t="s">
        <v>1596</v>
      </c>
      <c r="F364" s="26" t="s">
        <v>1442</v>
      </c>
      <c r="G364" s="157" t="s">
        <v>254</v>
      </c>
      <c r="H364" s="106" t="s">
        <v>1597</v>
      </c>
      <c r="J364" s="22">
        <v>15800</v>
      </c>
      <c r="K364" s="22">
        <v>6.5</v>
      </c>
      <c r="L364" s="23">
        <f t="shared" si="86"/>
        <v>102700</v>
      </c>
      <c r="M364" s="23">
        <v>0</v>
      </c>
      <c r="N364" s="23">
        <v>0</v>
      </c>
      <c r="O364" s="112">
        <f t="shared" si="82"/>
        <v>102700</v>
      </c>
      <c r="P364" s="33">
        <v>0.18</v>
      </c>
      <c r="Q364" s="115">
        <v>0</v>
      </c>
      <c r="R364" s="112">
        <f t="shared" si="88"/>
        <v>9243</v>
      </c>
      <c r="S364" s="112">
        <f t="shared" si="89"/>
        <v>9243</v>
      </c>
      <c r="T364" s="23">
        <v>0</v>
      </c>
      <c r="U364" s="112">
        <f t="shared" si="90"/>
        <v>121186</v>
      </c>
    </row>
    <row r="365" spans="1:21" ht="17.100000000000001" customHeight="1" x14ac:dyDescent="0.25">
      <c r="A365" s="20">
        <f>IF(C365="","",COUNTA($C$4:C365))</f>
        <v>362</v>
      </c>
      <c r="B365" s="20" t="str">
        <f t="shared" si="87"/>
        <v>September</v>
      </c>
      <c r="C365" s="45">
        <v>45918</v>
      </c>
      <c r="D365" s="31" t="s">
        <v>1598</v>
      </c>
      <c r="E365" s="105" t="s">
        <v>1599</v>
      </c>
      <c r="F365" s="26" t="s">
        <v>1600</v>
      </c>
      <c r="G365" s="157" t="s">
        <v>254</v>
      </c>
      <c r="H365" s="106" t="s">
        <v>1597</v>
      </c>
      <c r="J365" s="22">
        <v>2650</v>
      </c>
      <c r="K365" s="22">
        <v>6.5</v>
      </c>
      <c r="L365" s="23">
        <f t="shared" si="86"/>
        <v>17225</v>
      </c>
      <c r="M365" s="23">
        <v>0</v>
      </c>
      <c r="N365" s="23">
        <v>0</v>
      </c>
      <c r="O365" s="112">
        <f t="shared" si="82"/>
        <v>17225</v>
      </c>
      <c r="P365" s="33">
        <v>0.18</v>
      </c>
      <c r="Q365" s="115">
        <v>0</v>
      </c>
      <c r="R365" s="112">
        <f t="shared" si="88"/>
        <v>1550.25</v>
      </c>
      <c r="S365" s="112">
        <f t="shared" si="89"/>
        <v>1550.25</v>
      </c>
      <c r="T365" s="23">
        <v>0</v>
      </c>
      <c r="U365" s="112">
        <f t="shared" si="90"/>
        <v>20325.5</v>
      </c>
    </row>
    <row r="366" spans="1:21" ht="17.100000000000001" customHeight="1" x14ac:dyDescent="0.25">
      <c r="A366" s="20">
        <f>IF(C366="","",COUNTA($C$4:C366))</f>
        <v>363</v>
      </c>
      <c r="B366" s="20" t="str">
        <f t="shared" si="87"/>
        <v>September</v>
      </c>
      <c r="C366" s="45">
        <v>45918</v>
      </c>
      <c r="D366" s="31" t="s">
        <v>1601</v>
      </c>
      <c r="E366" s="105" t="s">
        <v>1602</v>
      </c>
      <c r="F366" s="26" t="s">
        <v>1603</v>
      </c>
      <c r="G366" s="157" t="s">
        <v>826</v>
      </c>
      <c r="H366" s="106" t="s">
        <v>827</v>
      </c>
      <c r="J366" s="22">
        <v>2</v>
      </c>
      <c r="K366" s="22">
        <v>19500</v>
      </c>
      <c r="L366" s="23">
        <f t="shared" si="86"/>
        <v>39000</v>
      </c>
      <c r="M366" s="23">
        <v>0</v>
      </c>
      <c r="N366" s="23">
        <v>0</v>
      </c>
      <c r="O366" s="112">
        <f t="shared" si="82"/>
        <v>39000</v>
      </c>
      <c r="P366" s="33">
        <v>0.18</v>
      </c>
      <c r="Q366" s="115">
        <v>0</v>
      </c>
      <c r="R366" s="112">
        <f t="shared" si="88"/>
        <v>3510</v>
      </c>
      <c r="S366" s="112">
        <f t="shared" si="89"/>
        <v>3510</v>
      </c>
      <c r="T366" s="23">
        <v>0</v>
      </c>
      <c r="U366" s="112">
        <f t="shared" si="90"/>
        <v>46020</v>
      </c>
    </row>
    <row r="367" spans="1:21" ht="17.100000000000001" customHeight="1" x14ac:dyDescent="0.25">
      <c r="A367" s="20">
        <f>IF(C367="","",COUNTA($C$4:C367))</f>
        <v>364</v>
      </c>
      <c r="B367" s="20" t="str">
        <f t="shared" si="87"/>
        <v>September</v>
      </c>
      <c r="C367" s="45">
        <v>45916</v>
      </c>
      <c r="D367" s="31" t="s">
        <v>1604</v>
      </c>
      <c r="E367" s="105" t="s">
        <v>1605</v>
      </c>
      <c r="F367" s="26" t="s">
        <v>1094</v>
      </c>
      <c r="G367" s="157" t="s">
        <v>260</v>
      </c>
      <c r="H367" s="106" t="s">
        <v>517</v>
      </c>
      <c r="J367" s="22">
        <v>17500</v>
      </c>
      <c r="K367" s="22">
        <v>3.1</v>
      </c>
      <c r="L367" s="23">
        <f t="shared" si="86"/>
        <v>54250</v>
      </c>
      <c r="M367" s="23">
        <v>0</v>
      </c>
      <c r="N367" s="23">
        <v>0</v>
      </c>
      <c r="O367" s="112">
        <f t="shared" si="82"/>
        <v>54250</v>
      </c>
      <c r="P367" s="33">
        <v>0.18</v>
      </c>
      <c r="Q367" s="115">
        <v>0</v>
      </c>
      <c r="R367" s="112">
        <f t="shared" si="88"/>
        <v>4882.5</v>
      </c>
      <c r="S367" s="112">
        <f t="shared" si="89"/>
        <v>4882.5</v>
      </c>
      <c r="T367" s="23">
        <v>0</v>
      </c>
      <c r="U367" s="112">
        <f t="shared" si="90"/>
        <v>64015</v>
      </c>
    </row>
    <row r="368" spans="1:21" ht="17.100000000000001" customHeight="1" x14ac:dyDescent="0.25">
      <c r="A368" s="20">
        <f>IF(C368="","",COUNTA($C$4:C368))</f>
        <v>365</v>
      </c>
      <c r="B368" s="20" t="str">
        <f t="shared" si="87"/>
        <v>September</v>
      </c>
      <c r="C368" s="45">
        <v>45916</v>
      </c>
      <c r="D368" s="31" t="s">
        <v>1604</v>
      </c>
      <c r="E368" s="105" t="s">
        <v>1605</v>
      </c>
      <c r="F368" s="26" t="s">
        <v>1094</v>
      </c>
      <c r="G368" s="157" t="s">
        <v>260</v>
      </c>
      <c r="H368" s="106" t="s">
        <v>1095</v>
      </c>
      <c r="J368" s="22">
        <v>21425</v>
      </c>
      <c r="K368" s="22">
        <v>3.3</v>
      </c>
      <c r="L368" s="23">
        <f t="shared" si="86"/>
        <v>70702.5</v>
      </c>
      <c r="M368" s="23">
        <v>0</v>
      </c>
      <c r="N368" s="23">
        <v>0</v>
      </c>
      <c r="O368" s="112">
        <f t="shared" si="82"/>
        <v>70702.5</v>
      </c>
      <c r="P368" s="33">
        <v>0.18</v>
      </c>
      <c r="Q368" s="115">
        <v>0</v>
      </c>
      <c r="R368" s="112">
        <f t="shared" si="88"/>
        <v>6363.2250000000004</v>
      </c>
      <c r="S368" s="112">
        <f t="shared" si="89"/>
        <v>6363.2250000000004</v>
      </c>
      <c r="T368" s="23">
        <v>0</v>
      </c>
      <c r="U368" s="112">
        <f t="shared" si="90"/>
        <v>83428.950000000012</v>
      </c>
    </row>
    <row r="369" spans="1:21" ht="17.100000000000001" customHeight="1" x14ac:dyDescent="0.25">
      <c r="A369" s="20">
        <f>IF(C369="","",COUNTA($C$4:C369))</f>
        <v>366</v>
      </c>
      <c r="B369" s="20" t="str">
        <f t="shared" si="87"/>
        <v>September</v>
      </c>
      <c r="C369" s="45">
        <v>45916</v>
      </c>
      <c r="D369" s="31" t="s">
        <v>1606</v>
      </c>
      <c r="E369" s="105" t="s">
        <v>1607</v>
      </c>
      <c r="F369" s="26" t="s">
        <v>903</v>
      </c>
      <c r="G369" s="157" t="s">
        <v>260</v>
      </c>
      <c r="H369" s="106" t="s">
        <v>1608</v>
      </c>
      <c r="J369" s="22">
        <v>7245</v>
      </c>
      <c r="K369" s="22">
        <v>2.8</v>
      </c>
      <c r="L369" s="23">
        <f t="shared" si="86"/>
        <v>20286</v>
      </c>
      <c r="M369" s="23">
        <v>0</v>
      </c>
      <c r="N369" s="23">
        <v>0</v>
      </c>
      <c r="O369" s="112">
        <f t="shared" si="82"/>
        <v>20286</v>
      </c>
      <c r="P369" s="33">
        <v>0.18</v>
      </c>
      <c r="Q369" s="118">
        <v>0</v>
      </c>
      <c r="R369" s="112">
        <f t="shared" si="88"/>
        <v>1825.74</v>
      </c>
      <c r="S369" s="112">
        <f t="shared" si="89"/>
        <v>1825.74</v>
      </c>
      <c r="T369" s="23">
        <v>0</v>
      </c>
      <c r="U369" s="112">
        <f t="shared" si="90"/>
        <v>23937.480000000003</v>
      </c>
    </row>
    <row r="370" spans="1:21" ht="17.100000000000001" customHeight="1" x14ac:dyDescent="0.25">
      <c r="A370" s="20">
        <f>IF(C370="","",COUNTA($C$4:C370))</f>
        <v>367</v>
      </c>
      <c r="B370" s="20" t="str">
        <f t="shared" si="87"/>
        <v>September</v>
      </c>
      <c r="C370" s="45">
        <v>45916</v>
      </c>
      <c r="D370" s="31" t="s">
        <v>1609</v>
      </c>
      <c r="E370" s="105" t="s">
        <v>1610</v>
      </c>
      <c r="F370" s="26" t="s">
        <v>1575</v>
      </c>
      <c r="G370" s="157" t="s">
        <v>260</v>
      </c>
      <c r="H370" s="106" t="s">
        <v>1608</v>
      </c>
      <c r="J370" s="22">
        <v>5000</v>
      </c>
      <c r="K370" s="22">
        <v>2.8</v>
      </c>
      <c r="L370" s="23">
        <f t="shared" si="86"/>
        <v>14000</v>
      </c>
      <c r="M370" s="23">
        <v>0</v>
      </c>
      <c r="N370" s="23">
        <v>0</v>
      </c>
      <c r="O370" s="112">
        <f t="shared" si="82"/>
        <v>14000</v>
      </c>
      <c r="P370" s="33">
        <v>0.18</v>
      </c>
      <c r="Q370" s="118">
        <v>0</v>
      </c>
      <c r="R370" s="112">
        <f t="shared" si="88"/>
        <v>1260</v>
      </c>
      <c r="S370" s="112">
        <f t="shared" si="89"/>
        <v>1260</v>
      </c>
      <c r="T370" s="23">
        <v>0</v>
      </c>
      <c r="U370" s="112">
        <f t="shared" si="90"/>
        <v>16520</v>
      </c>
    </row>
    <row r="371" spans="1:21" ht="17.100000000000001" customHeight="1" x14ac:dyDescent="0.25">
      <c r="A371" s="20">
        <f>IF(C371="","",COUNTA($C$4:C371))</f>
        <v>368</v>
      </c>
      <c r="B371" s="20" t="str">
        <f t="shared" si="87"/>
        <v>September</v>
      </c>
      <c r="C371" s="45">
        <v>45916</v>
      </c>
      <c r="D371" s="31" t="s">
        <v>1609</v>
      </c>
      <c r="E371" s="105" t="s">
        <v>1610</v>
      </c>
      <c r="F371" s="26" t="s">
        <v>1575</v>
      </c>
      <c r="G371" s="157" t="s">
        <v>260</v>
      </c>
      <c r="H371" s="106" t="s">
        <v>517</v>
      </c>
      <c r="J371" s="22">
        <v>18376</v>
      </c>
      <c r="K371" s="22">
        <v>3.1</v>
      </c>
      <c r="L371" s="23">
        <f t="shared" si="86"/>
        <v>56965.599999999999</v>
      </c>
      <c r="M371" s="23">
        <v>0</v>
      </c>
      <c r="N371" s="23">
        <v>0</v>
      </c>
      <c r="O371" s="112">
        <f t="shared" si="82"/>
        <v>56965.599999999999</v>
      </c>
      <c r="P371" s="33">
        <v>0.18</v>
      </c>
      <c r="Q371" s="118">
        <v>0</v>
      </c>
      <c r="R371" s="112">
        <f t="shared" si="88"/>
        <v>5126.9039999999995</v>
      </c>
      <c r="S371" s="112">
        <f t="shared" si="89"/>
        <v>5126.9039999999995</v>
      </c>
      <c r="T371" s="23">
        <v>0</v>
      </c>
      <c r="U371" s="112">
        <f t="shared" si="90"/>
        <v>67219.407999999996</v>
      </c>
    </row>
    <row r="372" spans="1:21" ht="17.100000000000001" customHeight="1" x14ac:dyDescent="0.25">
      <c r="A372" s="20">
        <f>IF(C372="","",COUNTA($C$4:C372))</f>
        <v>369</v>
      </c>
      <c r="B372" s="20" t="str">
        <f t="shared" si="87"/>
        <v>September</v>
      </c>
      <c r="C372" s="45">
        <v>45916</v>
      </c>
      <c r="D372" s="31" t="s">
        <v>1609</v>
      </c>
      <c r="E372" s="105" t="s">
        <v>1610</v>
      </c>
      <c r="F372" s="26" t="s">
        <v>1575</v>
      </c>
      <c r="G372" s="157" t="s">
        <v>260</v>
      </c>
      <c r="H372" s="106" t="s">
        <v>1095</v>
      </c>
      <c r="J372" s="22">
        <v>10980</v>
      </c>
      <c r="K372" s="22">
        <v>3.3</v>
      </c>
      <c r="L372" s="23">
        <f t="shared" si="86"/>
        <v>36234</v>
      </c>
      <c r="M372" s="23">
        <v>0</v>
      </c>
      <c r="N372" s="23">
        <v>0</v>
      </c>
      <c r="O372" s="112">
        <f t="shared" si="82"/>
        <v>36234</v>
      </c>
      <c r="P372" s="33">
        <v>0.18</v>
      </c>
      <c r="Q372" s="118">
        <v>0</v>
      </c>
      <c r="R372" s="112">
        <f t="shared" si="88"/>
        <v>3261.06</v>
      </c>
      <c r="S372" s="112">
        <f t="shared" si="89"/>
        <v>3261.06</v>
      </c>
      <c r="T372" s="23">
        <v>0</v>
      </c>
      <c r="U372" s="112">
        <f t="shared" si="90"/>
        <v>42756.119999999995</v>
      </c>
    </row>
    <row r="373" spans="1:21" ht="17.100000000000001" customHeight="1" x14ac:dyDescent="0.25">
      <c r="A373" s="20">
        <f>IF(C373="","",COUNTA($C$4:C373))</f>
        <v>370</v>
      </c>
      <c r="B373" s="20" t="str">
        <f t="shared" si="87"/>
        <v>September</v>
      </c>
      <c r="C373" s="45">
        <v>45920</v>
      </c>
      <c r="D373" s="31" t="s">
        <v>1611</v>
      </c>
      <c r="E373" s="105" t="s">
        <v>1612</v>
      </c>
      <c r="F373" s="26" t="s">
        <v>1613</v>
      </c>
      <c r="G373" s="157" t="s">
        <v>350</v>
      </c>
      <c r="H373" s="106" t="s">
        <v>1614</v>
      </c>
      <c r="J373" s="22">
        <v>484.59</v>
      </c>
      <c r="K373" s="22">
        <v>127</v>
      </c>
      <c r="L373" s="23">
        <f t="shared" si="86"/>
        <v>61542.93</v>
      </c>
      <c r="M373" s="23">
        <v>0</v>
      </c>
      <c r="N373" s="23">
        <v>0</v>
      </c>
      <c r="O373" s="112">
        <f t="shared" si="82"/>
        <v>61542.93</v>
      </c>
      <c r="P373" s="33">
        <v>0.18</v>
      </c>
      <c r="Q373" s="118">
        <v>0</v>
      </c>
      <c r="R373" s="112">
        <f t="shared" si="88"/>
        <v>5538.8636999999999</v>
      </c>
      <c r="S373" s="112">
        <f t="shared" si="89"/>
        <v>5538.8636999999999</v>
      </c>
      <c r="T373" s="23">
        <v>0</v>
      </c>
      <c r="U373" s="112">
        <f t="shared" si="90"/>
        <v>72620.657399999996</v>
      </c>
    </row>
    <row r="374" spans="1:21" ht="17.100000000000001" customHeight="1" x14ac:dyDescent="0.25">
      <c r="A374" s="20">
        <f>IF(C374="","",COUNTA($C$4:C374))</f>
        <v>371</v>
      </c>
      <c r="B374" s="20" t="str">
        <f t="shared" si="87"/>
        <v>September</v>
      </c>
      <c r="C374" s="45">
        <v>45922</v>
      </c>
      <c r="D374" s="31" t="s">
        <v>1615</v>
      </c>
      <c r="E374" s="105" t="s">
        <v>1616</v>
      </c>
      <c r="F374" s="26" t="s">
        <v>1617</v>
      </c>
      <c r="G374" s="157" t="s">
        <v>1618</v>
      </c>
      <c r="H374" s="106" t="s">
        <v>1619</v>
      </c>
      <c r="J374" s="22">
        <v>2</v>
      </c>
      <c r="K374" s="22">
        <v>61500</v>
      </c>
      <c r="L374" s="23">
        <f t="shared" si="86"/>
        <v>123000</v>
      </c>
      <c r="M374" s="23">
        <v>0</v>
      </c>
      <c r="N374" s="23">
        <v>0</v>
      </c>
      <c r="O374" s="112">
        <f t="shared" si="82"/>
        <v>123000</v>
      </c>
      <c r="P374" s="33">
        <v>0.18</v>
      </c>
      <c r="Q374" s="118">
        <v>0</v>
      </c>
      <c r="R374" s="112">
        <f t="shared" si="88"/>
        <v>11070</v>
      </c>
      <c r="S374" s="112">
        <f t="shared" si="89"/>
        <v>11070</v>
      </c>
      <c r="T374" s="23">
        <v>0</v>
      </c>
      <c r="U374" s="112">
        <f t="shared" si="90"/>
        <v>145140</v>
      </c>
    </row>
    <row r="375" spans="1:21" ht="17.100000000000001" customHeight="1" x14ac:dyDescent="0.25">
      <c r="A375" s="20">
        <f>IF(C375="","",COUNTA($C$4:C375))</f>
        <v>372</v>
      </c>
      <c r="B375" s="20" t="str">
        <f t="shared" si="87"/>
        <v>September</v>
      </c>
      <c r="C375" s="45">
        <v>45922</v>
      </c>
      <c r="D375" s="31" t="s">
        <v>1615</v>
      </c>
      <c r="E375" s="105" t="s">
        <v>1616</v>
      </c>
      <c r="F375" s="26" t="s">
        <v>1617</v>
      </c>
      <c r="G375" s="157" t="s">
        <v>1618</v>
      </c>
      <c r="H375" s="106" t="s">
        <v>1620</v>
      </c>
      <c r="J375" s="22">
        <v>2</v>
      </c>
      <c r="K375" s="22">
        <v>1</v>
      </c>
      <c r="L375" s="23">
        <f t="shared" si="86"/>
        <v>2</v>
      </c>
      <c r="M375" s="23">
        <v>0</v>
      </c>
      <c r="N375" s="23">
        <v>0</v>
      </c>
      <c r="O375" s="112">
        <f t="shared" si="82"/>
        <v>2</v>
      </c>
      <c r="P375" s="33">
        <v>0.18</v>
      </c>
      <c r="Q375" s="118">
        <v>0</v>
      </c>
      <c r="R375" s="112">
        <f t="shared" si="88"/>
        <v>0.18</v>
      </c>
      <c r="S375" s="112">
        <f t="shared" si="89"/>
        <v>0.18</v>
      </c>
      <c r="T375" s="23">
        <v>0</v>
      </c>
      <c r="U375" s="112">
        <f t="shared" si="90"/>
        <v>2.3600000000000003</v>
      </c>
    </row>
    <row r="376" spans="1:21" ht="17.100000000000001" customHeight="1" x14ac:dyDescent="0.25">
      <c r="A376" s="20">
        <f>IF(C376="","",COUNTA($C$4:C376))</f>
        <v>373</v>
      </c>
      <c r="B376" s="20" t="str">
        <f t="shared" si="87"/>
        <v>September</v>
      </c>
      <c r="C376" s="45">
        <v>45922</v>
      </c>
      <c r="D376" s="31" t="s">
        <v>1615</v>
      </c>
      <c r="E376" s="105" t="s">
        <v>1616</v>
      </c>
      <c r="F376" s="26" t="s">
        <v>1617</v>
      </c>
      <c r="G376" s="157" t="s">
        <v>1618</v>
      </c>
      <c r="H376" s="106" t="s">
        <v>1621</v>
      </c>
      <c r="J376" s="22">
        <v>1</v>
      </c>
      <c r="K376" s="22">
        <v>24500</v>
      </c>
      <c r="L376" s="23">
        <f t="shared" si="86"/>
        <v>24500</v>
      </c>
      <c r="M376" s="23">
        <v>0</v>
      </c>
      <c r="N376" s="23">
        <v>0</v>
      </c>
      <c r="O376" s="112">
        <f t="shared" si="82"/>
        <v>24500</v>
      </c>
      <c r="P376" s="33">
        <v>0.18</v>
      </c>
      <c r="Q376" s="118">
        <v>0</v>
      </c>
      <c r="R376" s="112">
        <f t="shared" si="88"/>
        <v>2205</v>
      </c>
      <c r="S376" s="112">
        <f t="shared" si="89"/>
        <v>2205</v>
      </c>
      <c r="T376" s="23">
        <v>0</v>
      </c>
      <c r="U376" s="112">
        <f t="shared" si="90"/>
        <v>28910</v>
      </c>
    </row>
    <row r="377" spans="1:21" ht="17.100000000000001" customHeight="1" x14ac:dyDescent="0.25">
      <c r="A377" s="20">
        <f>IF(C377="","",COUNTA($C$4:C377))</f>
        <v>374</v>
      </c>
      <c r="B377" s="20" t="str">
        <f t="shared" si="87"/>
        <v>September</v>
      </c>
      <c r="C377" s="45">
        <v>45923</v>
      </c>
      <c r="D377" s="31" t="s">
        <v>1622</v>
      </c>
      <c r="E377" s="105" t="s">
        <v>1623</v>
      </c>
      <c r="F377" s="26" t="s">
        <v>1624</v>
      </c>
      <c r="G377" s="157" t="s">
        <v>415</v>
      </c>
      <c r="H377" s="106" t="s">
        <v>207</v>
      </c>
      <c r="L377" s="22">
        <v>131672</v>
      </c>
      <c r="M377" s="23">
        <v>2100</v>
      </c>
      <c r="N377" s="23">
        <v>0</v>
      </c>
      <c r="O377" s="112">
        <f t="shared" si="82"/>
        <v>133772</v>
      </c>
      <c r="P377" s="33">
        <v>0.18</v>
      </c>
      <c r="Q377" s="118">
        <v>0</v>
      </c>
      <c r="R377" s="112">
        <f t="shared" si="88"/>
        <v>12039.48</v>
      </c>
      <c r="S377" s="112">
        <f t="shared" si="89"/>
        <v>12039.48</v>
      </c>
      <c r="T377" s="23">
        <v>0</v>
      </c>
      <c r="U377" s="112">
        <f t="shared" si="90"/>
        <v>157850.96000000002</v>
      </c>
    </row>
    <row r="378" spans="1:21" ht="17.100000000000001" customHeight="1" x14ac:dyDescent="0.25">
      <c r="A378" s="20">
        <f>IF(C378="","",COUNTA($C$4:C378))</f>
        <v>375</v>
      </c>
      <c r="B378" s="20" t="str">
        <f t="shared" si="87"/>
        <v>September</v>
      </c>
      <c r="C378" s="45">
        <v>45930</v>
      </c>
      <c r="D378" s="31" t="s">
        <v>1696</v>
      </c>
      <c r="E378" s="105" t="s">
        <v>1697</v>
      </c>
      <c r="F378" s="26" t="s">
        <v>1698</v>
      </c>
      <c r="G378" s="157" t="s">
        <v>93</v>
      </c>
      <c r="H378" s="106" t="s">
        <v>1699</v>
      </c>
      <c r="I378" s="159" t="s">
        <v>679</v>
      </c>
      <c r="J378" s="22">
        <v>4158</v>
      </c>
      <c r="K378" s="22">
        <v>159</v>
      </c>
      <c r="L378" s="23">
        <f>J378*K378</f>
        <v>661122</v>
      </c>
      <c r="M378" s="23">
        <v>0</v>
      </c>
      <c r="N378" s="23">
        <v>0</v>
      </c>
      <c r="O378" s="112">
        <f t="shared" si="82"/>
        <v>661122</v>
      </c>
      <c r="P378" s="33">
        <v>0.18</v>
      </c>
      <c r="Q378" s="118">
        <f>O378*18/100</f>
        <v>119001.96</v>
      </c>
      <c r="R378" s="115">
        <v>0</v>
      </c>
      <c r="S378" s="115">
        <v>0</v>
      </c>
      <c r="T378" s="23">
        <v>0</v>
      </c>
      <c r="U378" s="112">
        <f>O378+Q378</f>
        <v>780123.96</v>
      </c>
    </row>
    <row r="379" spans="1:21" ht="17.100000000000001" customHeight="1" x14ac:dyDescent="0.25">
      <c r="A379" s="20">
        <f>IF(C379="","",COUNTA($C$4:C379))</f>
        <v>376</v>
      </c>
      <c r="B379" s="20" t="str">
        <f t="shared" si="87"/>
        <v>September</v>
      </c>
      <c r="C379" s="45">
        <v>45930</v>
      </c>
      <c r="D379" s="31" t="s">
        <v>1700</v>
      </c>
      <c r="E379" s="105" t="s">
        <v>1701</v>
      </c>
      <c r="F379" s="26" t="s">
        <v>1702</v>
      </c>
      <c r="G379" s="157" t="s">
        <v>64</v>
      </c>
      <c r="H379" s="106" t="s">
        <v>1703</v>
      </c>
      <c r="J379" s="22">
        <v>0.17899999999999999</v>
      </c>
      <c r="K379" s="22">
        <v>68000</v>
      </c>
      <c r="L379" s="23">
        <f>J379*K379</f>
        <v>12172</v>
      </c>
      <c r="M379" s="23">
        <v>4500</v>
      </c>
      <c r="N379" s="23">
        <v>108</v>
      </c>
      <c r="O379" s="112">
        <f t="shared" si="82"/>
        <v>16780</v>
      </c>
      <c r="P379" s="33">
        <v>0.18</v>
      </c>
      <c r="Q379" s="118">
        <v>0</v>
      </c>
      <c r="R379" s="112">
        <f t="shared" ref="R379:R389" si="91">O379*9/100</f>
        <v>1510.2</v>
      </c>
      <c r="S379" s="112">
        <f t="shared" ref="S379:S389" si="92">O379*9/100</f>
        <v>1510.2</v>
      </c>
      <c r="T379" s="23">
        <v>0</v>
      </c>
      <c r="U379" s="112">
        <f t="shared" ref="U379:U388" si="93">O379+R379+S379</f>
        <v>19800.400000000001</v>
      </c>
    </row>
    <row r="380" spans="1:21" ht="17.100000000000001" customHeight="1" x14ac:dyDescent="0.25">
      <c r="A380" s="20">
        <f>IF(C380="","",COUNTA($C$4:C380))</f>
        <v>377</v>
      </c>
      <c r="B380" s="20" t="str">
        <f t="shared" si="87"/>
        <v>September</v>
      </c>
      <c r="C380" s="45">
        <v>45930</v>
      </c>
      <c r="D380" s="31" t="s">
        <v>1704</v>
      </c>
      <c r="E380" s="105" t="s">
        <v>1705</v>
      </c>
      <c r="F380" s="26"/>
      <c r="G380" s="157" t="s">
        <v>342</v>
      </c>
      <c r="H380" s="106" t="s">
        <v>207</v>
      </c>
      <c r="L380" s="23">
        <v>9087</v>
      </c>
      <c r="M380" s="23">
        <v>0</v>
      </c>
      <c r="N380" s="23">
        <v>0</v>
      </c>
      <c r="O380" s="112">
        <f t="shared" si="82"/>
        <v>9087</v>
      </c>
      <c r="P380" s="33">
        <v>0.18</v>
      </c>
      <c r="Q380" s="118">
        <v>0</v>
      </c>
      <c r="R380" s="112">
        <f t="shared" si="91"/>
        <v>817.83</v>
      </c>
      <c r="S380" s="112">
        <f t="shared" si="92"/>
        <v>817.83</v>
      </c>
      <c r="T380" s="23">
        <v>0</v>
      </c>
      <c r="U380" s="112">
        <f t="shared" si="93"/>
        <v>10722.66</v>
      </c>
    </row>
    <row r="381" spans="1:21" ht="17.100000000000001" customHeight="1" x14ac:dyDescent="0.25">
      <c r="A381" s="20">
        <f>IF(C381="","",COUNTA($C$4:C381))</f>
        <v>378</v>
      </c>
      <c r="B381" s="20" t="str">
        <f t="shared" si="87"/>
        <v>September</v>
      </c>
      <c r="C381" s="45">
        <v>45930</v>
      </c>
      <c r="D381" s="31" t="s">
        <v>1706</v>
      </c>
      <c r="E381" s="105" t="s">
        <v>1707</v>
      </c>
      <c r="F381" s="26"/>
      <c r="G381" s="157" t="s">
        <v>529</v>
      </c>
      <c r="H381" s="106" t="s">
        <v>764</v>
      </c>
      <c r="J381" s="22">
        <v>10.38</v>
      </c>
      <c r="K381" s="22">
        <v>72000</v>
      </c>
      <c r="L381" s="23">
        <f t="shared" ref="L381:L388" si="94">J381*K381</f>
        <v>747360</v>
      </c>
      <c r="M381" s="23">
        <v>4800</v>
      </c>
      <c r="N381" s="23">
        <v>1560</v>
      </c>
      <c r="O381" s="112">
        <f t="shared" si="82"/>
        <v>753720</v>
      </c>
      <c r="P381" s="33">
        <v>0.18</v>
      </c>
      <c r="Q381" s="118">
        <v>0</v>
      </c>
      <c r="R381" s="112">
        <f t="shared" si="91"/>
        <v>67834.8</v>
      </c>
      <c r="S381" s="112">
        <f t="shared" si="92"/>
        <v>67834.8</v>
      </c>
      <c r="T381" s="23">
        <v>0</v>
      </c>
      <c r="U381" s="112">
        <f t="shared" si="93"/>
        <v>889389.60000000009</v>
      </c>
    </row>
    <row r="382" spans="1:21" ht="17.100000000000001" customHeight="1" x14ac:dyDescent="0.25">
      <c r="A382" s="20">
        <f>IF(C382="","",COUNTA($C$4:C382))</f>
        <v>379</v>
      </c>
      <c r="B382" s="20" t="str">
        <f t="shared" si="87"/>
        <v>September</v>
      </c>
      <c r="C382" s="45">
        <v>45930</v>
      </c>
      <c r="D382" s="31" t="s">
        <v>1708</v>
      </c>
      <c r="E382" s="105" t="s">
        <v>1709</v>
      </c>
      <c r="F382" s="26"/>
      <c r="G382" s="157" t="s">
        <v>529</v>
      </c>
      <c r="H382" s="106" t="s">
        <v>1710</v>
      </c>
      <c r="J382" s="22">
        <v>8.48</v>
      </c>
      <c r="K382" s="22">
        <v>72000</v>
      </c>
      <c r="L382" s="23">
        <f t="shared" si="94"/>
        <v>610560</v>
      </c>
      <c r="M382" s="23">
        <v>4800</v>
      </c>
      <c r="N382" s="23">
        <v>1340</v>
      </c>
      <c r="O382" s="112">
        <f t="shared" si="82"/>
        <v>616700</v>
      </c>
      <c r="P382" s="33">
        <v>0.18</v>
      </c>
      <c r="Q382" s="118">
        <v>0</v>
      </c>
      <c r="R382" s="112">
        <f t="shared" si="91"/>
        <v>55503</v>
      </c>
      <c r="S382" s="112">
        <f t="shared" si="92"/>
        <v>55503</v>
      </c>
      <c r="T382" s="23">
        <v>0</v>
      </c>
      <c r="U382" s="112">
        <f t="shared" si="93"/>
        <v>727706</v>
      </c>
    </row>
    <row r="383" spans="1:21" ht="17.100000000000001" customHeight="1" x14ac:dyDescent="0.25">
      <c r="A383" s="20">
        <f>IF(C383="","",COUNTA($C$4:C383))</f>
        <v>380</v>
      </c>
      <c r="B383" s="20" t="str">
        <f t="shared" si="87"/>
        <v>September</v>
      </c>
      <c r="C383" s="45">
        <v>45930</v>
      </c>
      <c r="D383" s="31" t="s">
        <v>1708</v>
      </c>
      <c r="E383" s="105" t="s">
        <v>1709</v>
      </c>
      <c r="F383" s="26"/>
      <c r="G383" s="157" t="s">
        <v>529</v>
      </c>
      <c r="H383" s="106" t="s">
        <v>1711</v>
      </c>
      <c r="J383" s="22">
        <v>0.46</v>
      </c>
      <c r="K383" s="22">
        <v>78000</v>
      </c>
      <c r="L383" s="23">
        <f t="shared" si="94"/>
        <v>35880</v>
      </c>
      <c r="M383" s="23">
        <v>0</v>
      </c>
      <c r="N383" s="23">
        <v>0</v>
      </c>
      <c r="O383" s="112">
        <f t="shared" si="82"/>
        <v>35880</v>
      </c>
      <c r="P383" s="33">
        <v>0.18</v>
      </c>
      <c r="Q383" s="118">
        <v>0</v>
      </c>
      <c r="R383" s="112">
        <f t="shared" si="91"/>
        <v>3229.2</v>
      </c>
      <c r="S383" s="112">
        <f t="shared" si="92"/>
        <v>3229.2</v>
      </c>
      <c r="T383" s="23">
        <v>0</v>
      </c>
      <c r="U383" s="112">
        <f t="shared" si="93"/>
        <v>42338.399999999994</v>
      </c>
    </row>
    <row r="384" spans="1:21" ht="17.100000000000001" customHeight="1" x14ac:dyDescent="0.25">
      <c r="A384" s="20">
        <f>IF(C384="","",COUNTA($C$4:C384))</f>
        <v>381</v>
      </c>
      <c r="B384" s="20" t="str">
        <f t="shared" si="87"/>
        <v>September</v>
      </c>
      <c r="C384" s="45">
        <v>45930</v>
      </c>
      <c r="D384" s="31" t="s">
        <v>1712</v>
      </c>
      <c r="E384" s="105" t="s">
        <v>1713</v>
      </c>
      <c r="F384" s="26" t="s">
        <v>1717</v>
      </c>
      <c r="G384" s="157" t="s">
        <v>822</v>
      </c>
      <c r="H384" s="106" t="s">
        <v>1714</v>
      </c>
      <c r="J384" s="22">
        <v>210</v>
      </c>
      <c r="K384" s="22">
        <v>135</v>
      </c>
      <c r="L384" s="23">
        <f t="shared" si="94"/>
        <v>28350</v>
      </c>
      <c r="M384" s="23">
        <v>0</v>
      </c>
      <c r="N384" s="23">
        <v>0</v>
      </c>
      <c r="O384" s="112">
        <f t="shared" si="82"/>
        <v>28350</v>
      </c>
      <c r="P384" s="33">
        <v>0.18</v>
      </c>
      <c r="Q384" s="118">
        <v>0</v>
      </c>
      <c r="R384" s="112">
        <f t="shared" si="91"/>
        <v>2551.5</v>
      </c>
      <c r="S384" s="112">
        <f t="shared" si="92"/>
        <v>2551.5</v>
      </c>
      <c r="T384" s="23">
        <v>0</v>
      </c>
      <c r="U384" s="112">
        <f t="shared" si="93"/>
        <v>33453</v>
      </c>
    </row>
    <row r="385" spans="1:21" ht="17.100000000000001" customHeight="1" x14ac:dyDescent="0.25">
      <c r="A385" s="20">
        <f>IF(C385="","",COUNTA($C$4:C385))</f>
        <v>382</v>
      </c>
      <c r="B385" s="20" t="str">
        <f t="shared" si="87"/>
        <v>September</v>
      </c>
      <c r="C385" s="45">
        <v>45930</v>
      </c>
      <c r="D385" s="31" t="s">
        <v>1712</v>
      </c>
      <c r="E385" s="105" t="s">
        <v>1713</v>
      </c>
      <c r="F385" s="26" t="s">
        <v>1717</v>
      </c>
      <c r="G385" s="157" t="s">
        <v>822</v>
      </c>
      <c r="H385" s="106" t="s">
        <v>1715</v>
      </c>
      <c r="J385" s="22">
        <v>210</v>
      </c>
      <c r="K385" s="22">
        <v>133</v>
      </c>
      <c r="L385" s="23">
        <f t="shared" si="94"/>
        <v>27930</v>
      </c>
      <c r="M385" s="23">
        <v>0</v>
      </c>
      <c r="N385" s="23">
        <v>0</v>
      </c>
      <c r="O385" s="112">
        <f t="shared" si="82"/>
        <v>27930</v>
      </c>
      <c r="P385" s="33">
        <v>0.18</v>
      </c>
      <c r="Q385" s="118">
        <v>0</v>
      </c>
      <c r="R385" s="112">
        <f t="shared" si="91"/>
        <v>2513.6999999999998</v>
      </c>
      <c r="S385" s="112">
        <f t="shared" si="92"/>
        <v>2513.6999999999998</v>
      </c>
      <c r="T385" s="23">
        <v>0</v>
      </c>
      <c r="U385" s="112">
        <f t="shared" si="93"/>
        <v>32957.4</v>
      </c>
    </row>
    <row r="386" spans="1:21" ht="17.100000000000001" customHeight="1" x14ac:dyDescent="0.25">
      <c r="A386" s="20">
        <f>IF(C386="","",COUNTA($C$4:C386))</f>
        <v>383</v>
      </c>
      <c r="B386" s="20" t="str">
        <f t="shared" si="87"/>
        <v>September</v>
      </c>
      <c r="C386" s="45">
        <v>45930</v>
      </c>
      <c r="D386" s="31" t="s">
        <v>1712</v>
      </c>
      <c r="E386" s="105" t="s">
        <v>1713</v>
      </c>
      <c r="F386" s="26" t="s">
        <v>1717</v>
      </c>
      <c r="G386" s="157" t="s">
        <v>822</v>
      </c>
      <c r="H386" s="106" t="s">
        <v>1716</v>
      </c>
      <c r="J386" s="22">
        <v>180</v>
      </c>
      <c r="K386" s="22">
        <v>170</v>
      </c>
      <c r="L386" s="23">
        <f t="shared" si="94"/>
        <v>30600</v>
      </c>
      <c r="M386" s="23">
        <v>0</v>
      </c>
      <c r="N386" s="23">
        <v>0</v>
      </c>
      <c r="O386" s="112">
        <f t="shared" si="82"/>
        <v>30600</v>
      </c>
      <c r="P386" s="33">
        <v>0.18</v>
      </c>
      <c r="Q386" s="118">
        <v>0</v>
      </c>
      <c r="R386" s="112">
        <f t="shared" si="91"/>
        <v>2754</v>
      </c>
      <c r="S386" s="112">
        <f t="shared" si="92"/>
        <v>2754</v>
      </c>
      <c r="T386" s="23">
        <v>0</v>
      </c>
      <c r="U386" s="112">
        <f t="shared" si="93"/>
        <v>36108</v>
      </c>
    </row>
    <row r="387" spans="1:21" ht="17.100000000000001" customHeight="1" x14ac:dyDescent="0.25">
      <c r="A387" s="20">
        <f>IF(C387="","",COUNTA($C$4:C387))</f>
        <v>384</v>
      </c>
      <c r="B387" s="20" t="str">
        <f t="shared" si="87"/>
        <v>September</v>
      </c>
      <c r="C387" s="45">
        <v>45930</v>
      </c>
      <c r="D387" s="31" t="s">
        <v>1718</v>
      </c>
      <c r="E387" s="105" t="s">
        <v>1719</v>
      </c>
      <c r="F387" s="26">
        <v>115</v>
      </c>
      <c r="G387" s="157" t="s">
        <v>1148</v>
      </c>
      <c r="H387" s="106" t="s">
        <v>1720</v>
      </c>
      <c r="J387" s="22">
        <v>10000</v>
      </c>
      <c r="K387" s="22">
        <v>5.5</v>
      </c>
      <c r="L387" s="23">
        <f t="shared" si="94"/>
        <v>55000</v>
      </c>
      <c r="M387" s="23">
        <v>0</v>
      </c>
      <c r="N387" s="23">
        <v>0</v>
      </c>
      <c r="O387" s="112">
        <f t="shared" si="82"/>
        <v>55000</v>
      </c>
      <c r="P387" s="33">
        <v>0.18</v>
      </c>
      <c r="Q387" s="118">
        <v>0</v>
      </c>
      <c r="R387" s="112">
        <f t="shared" si="91"/>
        <v>4950</v>
      </c>
      <c r="S387" s="112">
        <f t="shared" si="92"/>
        <v>4950</v>
      </c>
      <c r="T387" s="23">
        <v>0</v>
      </c>
      <c r="U387" s="112">
        <f t="shared" si="93"/>
        <v>64900</v>
      </c>
    </row>
    <row r="388" spans="1:21" ht="17.100000000000001" customHeight="1" x14ac:dyDescent="0.25">
      <c r="A388" s="20">
        <f>IF(C388="","",COUNTA($C$4:C388))</f>
        <v>385</v>
      </c>
      <c r="B388" s="20" t="str">
        <f t="shared" si="87"/>
        <v>September</v>
      </c>
      <c r="C388" s="45">
        <v>45930</v>
      </c>
      <c r="D388" s="31" t="s">
        <v>1721</v>
      </c>
      <c r="E388" s="105" t="s">
        <v>1722</v>
      </c>
      <c r="F388" s="26" t="s">
        <v>1723</v>
      </c>
      <c r="G388" s="157" t="s">
        <v>735</v>
      </c>
      <c r="H388" s="106" t="s">
        <v>1279</v>
      </c>
      <c r="J388" s="22">
        <v>25000</v>
      </c>
      <c r="K388" s="22">
        <v>4</v>
      </c>
      <c r="L388" s="23">
        <f t="shared" si="94"/>
        <v>100000</v>
      </c>
      <c r="M388" s="23">
        <v>0</v>
      </c>
      <c r="N388" s="23">
        <v>0</v>
      </c>
      <c r="O388" s="112">
        <f t="shared" si="82"/>
        <v>100000</v>
      </c>
      <c r="P388" s="33">
        <v>0.18</v>
      </c>
      <c r="Q388" s="118">
        <v>0</v>
      </c>
      <c r="R388" s="112">
        <f t="shared" si="91"/>
        <v>9000</v>
      </c>
      <c r="S388" s="112">
        <f t="shared" si="92"/>
        <v>9000</v>
      </c>
      <c r="T388" s="23">
        <v>0</v>
      </c>
      <c r="U388" s="112">
        <f t="shared" si="93"/>
        <v>118000</v>
      </c>
    </row>
    <row r="389" spans="1:21" ht="17.100000000000001" customHeight="1" x14ac:dyDescent="0.25">
      <c r="A389" s="20">
        <f>IF(C389="","",COUNTA($C$4:C389))</f>
        <v>386</v>
      </c>
      <c r="B389" s="20" t="str">
        <f t="shared" si="87"/>
        <v>September</v>
      </c>
      <c r="C389" s="45">
        <v>45930</v>
      </c>
      <c r="D389" s="31" t="s">
        <v>1724</v>
      </c>
      <c r="E389" s="105" t="s">
        <v>1725</v>
      </c>
      <c r="F389" s="26" t="s">
        <v>1726</v>
      </c>
      <c r="G389" s="157" t="s">
        <v>836</v>
      </c>
      <c r="H389" s="106" t="s">
        <v>207</v>
      </c>
      <c r="L389" s="23">
        <v>140452</v>
      </c>
      <c r="M389" s="23">
        <v>2950</v>
      </c>
      <c r="N389" s="23">
        <v>0</v>
      </c>
      <c r="O389" s="112">
        <f t="shared" si="82"/>
        <v>143402</v>
      </c>
      <c r="P389" s="33">
        <v>0.18</v>
      </c>
      <c r="Q389" s="118">
        <v>0</v>
      </c>
      <c r="R389" s="112">
        <f t="shared" si="91"/>
        <v>12906.18</v>
      </c>
      <c r="S389" s="112">
        <f t="shared" si="92"/>
        <v>12906.18</v>
      </c>
      <c r="T389" s="23">
        <v>0</v>
      </c>
      <c r="U389" s="112">
        <f>O389+R389+S389-2093.2</f>
        <v>167121.15999999997</v>
      </c>
    </row>
    <row r="390" spans="1:21" ht="17.100000000000001" customHeight="1" x14ac:dyDescent="0.25">
      <c r="A390" s="20">
        <f>IF(C390="","",COUNTA($C$4:C390))</f>
        <v>387</v>
      </c>
      <c r="B390" s="20" t="str">
        <f t="shared" si="87"/>
        <v>September</v>
      </c>
      <c r="C390" s="45">
        <v>45930</v>
      </c>
      <c r="D390" s="31" t="s">
        <v>1727</v>
      </c>
      <c r="E390" s="105" t="s">
        <v>1728</v>
      </c>
      <c r="F390" s="26"/>
      <c r="G390" s="157" t="s">
        <v>248</v>
      </c>
      <c r="H390" s="106" t="s">
        <v>1210</v>
      </c>
      <c r="J390" s="22">
        <v>500</v>
      </c>
      <c r="K390" s="22">
        <v>11</v>
      </c>
      <c r="L390" s="23">
        <f t="shared" ref="L390:L413" si="95">J390*K390</f>
        <v>5500</v>
      </c>
      <c r="M390" s="23">
        <v>0</v>
      </c>
      <c r="N390" s="23">
        <v>0</v>
      </c>
      <c r="O390" s="112">
        <f t="shared" si="82"/>
        <v>5500</v>
      </c>
      <c r="P390" s="33">
        <v>0.05</v>
      </c>
      <c r="Q390" s="118">
        <v>0</v>
      </c>
      <c r="R390" s="112">
        <f>O390*2.5/100</f>
        <v>137.5</v>
      </c>
      <c r="S390" s="112">
        <f>O390*2.5/100</f>
        <v>137.5</v>
      </c>
      <c r="T390" s="23">
        <v>0</v>
      </c>
      <c r="U390" s="112">
        <f>O390+R390+S390</f>
        <v>5775</v>
      </c>
    </row>
    <row r="391" spans="1:21" ht="17.100000000000001" customHeight="1" x14ac:dyDescent="0.25">
      <c r="A391" s="20">
        <f>IF(C391="","",COUNTA($C$4:C391))</f>
        <v>388</v>
      </c>
      <c r="B391" s="20" t="str">
        <f t="shared" si="87"/>
        <v>September</v>
      </c>
      <c r="C391" s="45">
        <v>45930</v>
      </c>
      <c r="D391" s="31" t="s">
        <v>1727</v>
      </c>
      <c r="E391" s="105" t="s">
        <v>1728</v>
      </c>
      <c r="F391" s="26"/>
      <c r="G391" s="157" t="s">
        <v>248</v>
      </c>
      <c r="H391" s="106" t="s">
        <v>1729</v>
      </c>
      <c r="J391" s="22">
        <v>500</v>
      </c>
      <c r="K391" s="22">
        <v>8.9</v>
      </c>
      <c r="L391" s="23">
        <f t="shared" si="95"/>
        <v>4450</v>
      </c>
      <c r="M391" s="23">
        <v>0</v>
      </c>
      <c r="N391" s="23">
        <v>0</v>
      </c>
      <c r="O391" s="112">
        <f t="shared" ref="O391:O454" si="96">L391+M391+N391</f>
        <v>4450</v>
      </c>
      <c r="P391" s="33">
        <v>0.18</v>
      </c>
      <c r="Q391" s="118">
        <v>0</v>
      </c>
      <c r="R391" s="112">
        <f>O391*9/100</f>
        <v>400.5</v>
      </c>
      <c r="S391" s="112">
        <f>O391*9/100</f>
        <v>400.5</v>
      </c>
      <c r="T391" s="23">
        <v>0</v>
      </c>
      <c r="U391" s="112">
        <f>O391+R391+S391</f>
        <v>5251</v>
      </c>
    </row>
    <row r="392" spans="1:21" ht="17.100000000000001" customHeight="1" x14ac:dyDescent="0.25">
      <c r="A392" s="20">
        <f>IF(C392="","",COUNTA($C$4:C392))</f>
        <v>389</v>
      </c>
      <c r="B392" s="20" t="str">
        <f t="shared" si="87"/>
        <v>September</v>
      </c>
      <c r="C392" s="45">
        <v>45930</v>
      </c>
      <c r="D392" s="31" t="s">
        <v>1730</v>
      </c>
      <c r="E392" s="105" t="s">
        <v>1731</v>
      </c>
      <c r="F392" s="26" t="s">
        <v>1732</v>
      </c>
      <c r="G392" s="157" t="s">
        <v>1733</v>
      </c>
      <c r="H392" s="106" t="s">
        <v>1734</v>
      </c>
      <c r="J392" s="22">
        <v>1</v>
      </c>
      <c r="K392" s="22">
        <v>54783.9</v>
      </c>
      <c r="L392" s="23">
        <f t="shared" si="95"/>
        <v>54783.9</v>
      </c>
      <c r="M392" s="23">
        <v>0</v>
      </c>
      <c r="N392" s="23">
        <v>0</v>
      </c>
      <c r="O392" s="112">
        <f t="shared" si="96"/>
        <v>54783.9</v>
      </c>
      <c r="P392" s="33">
        <v>0.18</v>
      </c>
      <c r="Q392" s="118">
        <v>0</v>
      </c>
      <c r="R392" s="112">
        <f>O392*9/100</f>
        <v>4930.5510000000004</v>
      </c>
      <c r="S392" s="112">
        <f>O392*9/100</f>
        <v>4930.5510000000004</v>
      </c>
      <c r="T392" s="23"/>
      <c r="U392" s="112">
        <f>O392+R392+S392</f>
        <v>64645.002</v>
      </c>
    </row>
    <row r="393" spans="1:21" ht="17.100000000000001" customHeight="1" x14ac:dyDescent="0.25">
      <c r="A393" s="20">
        <f>IF(C393="","",COUNTA($C$4:C393))</f>
        <v>390</v>
      </c>
      <c r="B393" s="20" t="str">
        <f t="shared" si="87"/>
        <v>September</v>
      </c>
      <c r="C393" s="45">
        <v>45930</v>
      </c>
      <c r="D393" s="31" t="s">
        <v>1735</v>
      </c>
      <c r="E393" s="105" t="s">
        <v>1736</v>
      </c>
      <c r="F393" s="26" t="s">
        <v>1737</v>
      </c>
      <c r="G393" s="157" t="s">
        <v>810</v>
      </c>
      <c r="H393" s="106" t="s">
        <v>811</v>
      </c>
      <c r="J393" s="22">
        <v>100</v>
      </c>
      <c r="K393" s="22">
        <v>180</v>
      </c>
      <c r="L393" s="23">
        <f t="shared" si="95"/>
        <v>18000</v>
      </c>
      <c r="M393" s="23"/>
      <c r="N393" s="23"/>
      <c r="O393" s="112">
        <f t="shared" si="96"/>
        <v>18000</v>
      </c>
      <c r="P393" s="33">
        <v>0.18</v>
      </c>
      <c r="Q393" s="118">
        <f>O393*18/100</f>
        <v>3240</v>
      </c>
      <c r="R393" s="115">
        <v>0</v>
      </c>
      <c r="S393" s="115">
        <v>0</v>
      </c>
      <c r="T393" s="23">
        <v>0</v>
      </c>
      <c r="U393" s="112">
        <f>O393+Q393</f>
        <v>21240</v>
      </c>
    </row>
    <row r="394" spans="1:21" ht="17.100000000000001" customHeight="1" x14ac:dyDescent="0.25">
      <c r="A394" s="20">
        <f>IF(C394="","",COUNTA($C$4:C394))</f>
        <v>391</v>
      </c>
      <c r="B394" s="20" t="str">
        <f t="shared" si="87"/>
        <v>October</v>
      </c>
      <c r="C394" s="45">
        <v>45933</v>
      </c>
      <c r="D394" s="31" t="s">
        <v>1738</v>
      </c>
      <c r="E394" s="105" t="s">
        <v>1739</v>
      </c>
      <c r="F394" s="26" t="s">
        <v>1717</v>
      </c>
      <c r="G394" s="157" t="s">
        <v>822</v>
      </c>
      <c r="H394" s="106" t="s">
        <v>1716</v>
      </c>
      <c r="J394" s="22">
        <v>20</v>
      </c>
      <c r="K394" s="22">
        <v>170</v>
      </c>
      <c r="L394" s="23">
        <f t="shared" si="95"/>
        <v>3400</v>
      </c>
      <c r="M394" s="23">
        <v>0</v>
      </c>
      <c r="N394" s="23">
        <v>0</v>
      </c>
      <c r="O394" s="112">
        <f t="shared" si="96"/>
        <v>3400</v>
      </c>
      <c r="P394" s="33">
        <v>0.18</v>
      </c>
      <c r="Q394" s="118">
        <v>0</v>
      </c>
      <c r="R394" s="112">
        <f>O394*9/100</f>
        <v>306</v>
      </c>
      <c r="S394" s="112">
        <f>O394*9/100</f>
        <v>306</v>
      </c>
      <c r="T394" s="23">
        <v>0</v>
      </c>
      <c r="U394" s="112">
        <f t="shared" ref="U394:U425" si="97">O394+R394+S394</f>
        <v>4012</v>
      </c>
    </row>
    <row r="395" spans="1:21" ht="17.100000000000001" customHeight="1" x14ac:dyDescent="0.25">
      <c r="A395" s="20">
        <f>IF(C395="","",COUNTA($C$4:C395))</f>
        <v>392</v>
      </c>
      <c r="B395" s="20" t="str">
        <f t="shared" si="87"/>
        <v>October</v>
      </c>
      <c r="C395" s="45">
        <v>45936</v>
      </c>
      <c r="D395" s="31" t="s">
        <v>1740</v>
      </c>
      <c r="E395" s="105" t="s">
        <v>1741</v>
      </c>
      <c r="F395" s="26" t="s">
        <v>1600</v>
      </c>
      <c r="G395" s="157" t="s">
        <v>254</v>
      </c>
      <c r="H395" s="106" t="s">
        <v>1597</v>
      </c>
      <c r="J395" s="22">
        <v>24750</v>
      </c>
      <c r="K395" s="22">
        <v>6.5</v>
      </c>
      <c r="L395" s="23">
        <f t="shared" si="95"/>
        <v>160875</v>
      </c>
      <c r="M395" s="23">
        <v>0</v>
      </c>
      <c r="N395" s="23">
        <v>0</v>
      </c>
      <c r="O395" s="112">
        <f t="shared" si="96"/>
        <v>160875</v>
      </c>
      <c r="P395" s="33">
        <v>0.18</v>
      </c>
      <c r="Q395" s="119">
        <v>0</v>
      </c>
      <c r="R395" s="112">
        <f>O395*9/100</f>
        <v>14478.75</v>
      </c>
      <c r="S395" s="112">
        <f>O395*9/100</f>
        <v>14478.75</v>
      </c>
      <c r="T395" s="23">
        <v>0</v>
      </c>
      <c r="U395" s="112">
        <f t="shared" si="97"/>
        <v>189832.5</v>
      </c>
    </row>
    <row r="396" spans="1:21" ht="17.100000000000001" customHeight="1" x14ac:dyDescent="0.25">
      <c r="A396" s="20">
        <f>IF(C396="","",COUNTA($C$4:C396))</f>
        <v>393</v>
      </c>
      <c r="B396" s="20" t="str">
        <f t="shared" si="87"/>
        <v>October</v>
      </c>
      <c r="C396" s="45">
        <v>45937</v>
      </c>
      <c r="D396" s="31" t="s">
        <v>1742</v>
      </c>
      <c r="E396" s="105" t="s">
        <v>1743</v>
      </c>
      <c r="F396" s="26"/>
      <c r="G396" s="157" t="s">
        <v>248</v>
      </c>
      <c r="H396" s="106" t="s">
        <v>1210</v>
      </c>
      <c r="J396" s="22">
        <v>500</v>
      </c>
      <c r="K396" s="22">
        <v>11</v>
      </c>
      <c r="L396" s="23">
        <f t="shared" si="95"/>
        <v>5500</v>
      </c>
      <c r="M396" s="23">
        <v>0</v>
      </c>
      <c r="N396" s="23">
        <v>0</v>
      </c>
      <c r="O396" s="112">
        <f t="shared" si="96"/>
        <v>5500</v>
      </c>
      <c r="P396" s="33">
        <v>0.18</v>
      </c>
      <c r="Q396" s="119">
        <v>0</v>
      </c>
      <c r="R396" s="112">
        <f>O396*2.5/100</f>
        <v>137.5</v>
      </c>
      <c r="S396" s="112">
        <f>O396*2.5/100</f>
        <v>137.5</v>
      </c>
      <c r="T396" s="23"/>
      <c r="U396" s="112">
        <f t="shared" si="97"/>
        <v>5775</v>
      </c>
    </row>
    <row r="397" spans="1:21" ht="17.100000000000001" customHeight="1" x14ac:dyDescent="0.25">
      <c r="A397" s="20">
        <f>IF(C397="","",COUNTA($C$4:C397))</f>
        <v>394</v>
      </c>
      <c r="B397" s="20" t="str">
        <f t="shared" si="87"/>
        <v>October</v>
      </c>
      <c r="C397" s="45">
        <v>45937</v>
      </c>
      <c r="D397" s="31" t="s">
        <v>1744</v>
      </c>
      <c r="E397" s="105" t="s">
        <v>1745</v>
      </c>
      <c r="F397" s="26" t="s">
        <v>1575</v>
      </c>
      <c r="G397" s="157" t="s">
        <v>260</v>
      </c>
      <c r="H397" s="106" t="s">
        <v>1457</v>
      </c>
      <c r="J397" s="22">
        <v>3835</v>
      </c>
      <c r="K397" s="22">
        <v>11</v>
      </c>
      <c r="L397" s="23">
        <f t="shared" si="95"/>
        <v>42185</v>
      </c>
      <c r="M397" s="23">
        <v>0</v>
      </c>
      <c r="N397" s="23">
        <v>0</v>
      </c>
      <c r="O397" s="112">
        <f t="shared" si="96"/>
        <v>42185</v>
      </c>
      <c r="P397" s="33">
        <v>0.18</v>
      </c>
      <c r="Q397" s="119">
        <v>0</v>
      </c>
      <c r="R397" s="112">
        <f t="shared" ref="R397:R428" si="98">O397*9/100</f>
        <v>3796.65</v>
      </c>
      <c r="S397" s="112">
        <f t="shared" ref="S397:S428" si="99">O397*9/100</f>
        <v>3796.65</v>
      </c>
      <c r="T397" s="23">
        <v>0</v>
      </c>
      <c r="U397" s="112">
        <f t="shared" si="97"/>
        <v>49778.3</v>
      </c>
    </row>
    <row r="398" spans="1:21" ht="17.100000000000001" customHeight="1" x14ac:dyDescent="0.25">
      <c r="A398" s="20">
        <f>IF(C398="","",COUNTA($C$4:C398))</f>
        <v>395</v>
      </c>
      <c r="B398" s="20" t="str">
        <f t="shared" si="87"/>
        <v>October</v>
      </c>
      <c r="C398" s="45">
        <v>45937</v>
      </c>
      <c r="D398" s="31" t="s">
        <v>1744</v>
      </c>
      <c r="E398" s="105" t="s">
        <v>1745</v>
      </c>
      <c r="F398" s="26" t="s">
        <v>1575</v>
      </c>
      <c r="G398" s="157" t="s">
        <v>260</v>
      </c>
      <c r="H398" s="106" t="s">
        <v>664</v>
      </c>
      <c r="J398" s="22">
        <v>3948</v>
      </c>
      <c r="K398" s="22">
        <v>13</v>
      </c>
      <c r="L398" s="23">
        <f t="shared" si="95"/>
        <v>51324</v>
      </c>
      <c r="M398" s="23">
        <v>0</v>
      </c>
      <c r="N398" s="23">
        <v>0</v>
      </c>
      <c r="O398" s="112">
        <f t="shared" si="96"/>
        <v>51324</v>
      </c>
      <c r="P398" s="33">
        <v>0.18</v>
      </c>
      <c r="Q398" s="119">
        <v>0</v>
      </c>
      <c r="R398" s="112">
        <f t="shared" si="98"/>
        <v>4619.16</v>
      </c>
      <c r="S398" s="112">
        <f t="shared" si="99"/>
        <v>4619.16</v>
      </c>
      <c r="T398" s="23">
        <v>0</v>
      </c>
      <c r="U398" s="112">
        <f t="shared" si="97"/>
        <v>60562.320000000007</v>
      </c>
    </row>
    <row r="399" spans="1:21" ht="17.100000000000001" customHeight="1" x14ac:dyDescent="0.25">
      <c r="A399" s="20">
        <f>IF(C399="","",COUNTA($C$4:C399))</f>
        <v>396</v>
      </c>
      <c r="B399" s="20" t="str">
        <f t="shared" si="87"/>
        <v>October</v>
      </c>
      <c r="C399" s="45">
        <v>45937</v>
      </c>
      <c r="D399" s="31" t="s">
        <v>1744</v>
      </c>
      <c r="E399" s="105" t="s">
        <v>1745</v>
      </c>
      <c r="F399" s="26" t="s">
        <v>1575</v>
      </c>
      <c r="G399" s="157" t="s">
        <v>260</v>
      </c>
      <c r="H399" s="106" t="s">
        <v>665</v>
      </c>
      <c r="J399" s="22">
        <v>2450</v>
      </c>
      <c r="K399" s="22">
        <v>14.5</v>
      </c>
      <c r="L399" s="23">
        <f t="shared" si="95"/>
        <v>35525</v>
      </c>
      <c r="M399" s="23">
        <v>0</v>
      </c>
      <c r="N399" s="23">
        <v>0</v>
      </c>
      <c r="O399" s="112">
        <f t="shared" si="96"/>
        <v>35525</v>
      </c>
      <c r="P399" s="33">
        <v>0.18</v>
      </c>
      <c r="Q399" s="115">
        <v>0</v>
      </c>
      <c r="R399" s="112">
        <f t="shared" si="98"/>
        <v>3197.25</v>
      </c>
      <c r="S399" s="112">
        <f t="shared" si="99"/>
        <v>3197.25</v>
      </c>
      <c r="T399" s="23">
        <v>0</v>
      </c>
      <c r="U399" s="112">
        <f t="shared" si="97"/>
        <v>41919.5</v>
      </c>
    </row>
    <row r="400" spans="1:21" ht="17.100000000000001" customHeight="1" x14ac:dyDescent="0.25">
      <c r="A400" s="20">
        <f>IF(C400="","",COUNTA($C$4:C400))</f>
        <v>397</v>
      </c>
      <c r="B400" s="20" t="str">
        <f t="shared" si="87"/>
        <v>October</v>
      </c>
      <c r="C400" s="45">
        <v>45937</v>
      </c>
      <c r="D400" s="31" t="s">
        <v>1744</v>
      </c>
      <c r="E400" s="105" t="s">
        <v>1745</v>
      </c>
      <c r="F400" s="26" t="s">
        <v>1575</v>
      </c>
      <c r="G400" s="157" t="s">
        <v>260</v>
      </c>
      <c r="H400" s="106" t="s">
        <v>666</v>
      </c>
      <c r="J400" s="22">
        <v>1000</v>
      </c>
      <c r="K400" s="22">
        <v>16.5</v>
      </c>
      <c r="L400" s="23">
        <f t="shared" si="95"/>
        <v>16500</v>
      </c>
      <c r="M400" s="23">
        <v>0</v>
      </c>
      <c r="N400" s="23">
        <v>0</v>
      </c>
      <c r="O400" s="112">
        <f t="shared" si="96"/>
        <v>16500</v>
      </c>
      <c r="P400" s="33">
        <v>0.18</v>
      </c>
      <c r="Q400" s="115">
        <v>0</v>
      </c>
      <c r="R400" s="112">
        <f t="shared" si="98"/>
        <v>1485</v>
      </c>
      <c r="S400" s="112">
        <f t="shared" si="99"/>
        <v>1485</v>
      </c>
      <c r="T400" s="23">
        <v>0</v>
      </c>
      <c r="U400" s="112">
        <f t="shared" si="97"/>
        <v>19470</v>
      </c>
    </row>
    <row r="401" spans="1:21" ht="17.100000000000001" customHeight="1" x14ac:dyDescent="0.25">
      <c r="A401" s="20">
        <f>IF(C401="","",COUNTA($C$4:C401))</f>
        <v>398</v>
      </c>
      <c r="B401" s="20" t="str">
        <f t="shared" si="87"/>
        <v>October</v>
      </c>
      <c r="C401" s="45">
        <v>45937</v>
      </c>
      <c r="D401" s="31" t="s">
        <v>1744</v>
      </c>
      <c r="E401" s="105" t="s">
        <v>1745</v>
      </c>
      <c r="F401" s="26" t="s">
        <v>1575</v>
      </c>
      <c r="G401" s="157" t="s">
        <v>260</v>
      </c>
      <c r="H401" s="106" t="s">
        <v>1746</v>
      </c>
      <c r="J401" s="22">
        <v>305</v>
      </c>
      <c r="K401" s="22">
        <v>14.5</v>
      </c>
      <c r="L401" s="23">
        <f t="shared" si="95"/>
        <v>4422.5</v>
      </c>
      <c r="M401" s="23">
        <v>0</v>
      </c>
      <c r="N401" s="23">
        <v>0</v>
      </c>
      <c r="O401" s="112">
        <f t="shared" si="96"/>
        <v>4422.5</v>
      </c>
      <c r="P401" s="33">
        <v>0.18</v>
      </c>
      <c r="Q401" s="115">
        <v>0</v>
      </c>
      <c r="R401" s="112">
        <f t="shared" si="98"/>
        <v>398.02499999999998</v>
      </c>
      <c r="S401" s="112">
        <f t="shared" si="99"/>
        <v>398.02499999999998</v>
      </c>
      <c r="T401" s="23">
        <v>0</v>
      </c>
      <c r="U401" s="112">
        <f t="shared" si="97"/>
        <v>5218.5499999999993</v>
      </c>
    </row>
    <row r="402" spans="1:21" ht="17.100000000000001" customHeight="1" x14ac:dyDescent="0.25">
      <c r="A402" s="20">
        <f>IF(C402="","",COUNTA($C$4:C402))</f>
        <v>399</v>
      </c>
      <c r="B402" s="20" t="str">
        <f t="shared" si="87"/>
        <v>October</v>
      </c>
      <c r="C402" s="45">
        <v>45937</v>
      </c>
      <c r="D402" s="31" t="s">
        <v>1744</v>
      </c>
      <c r="E402" s="105" t="s">
        <v>1745</v>
      </c>
      <c r="F402" s="26" t="s">
        <v>1575</v>
      </c>
      <c r="G402" s="157" t="s">
        <v>260</v>
      </c>
      <c r="H402" s="106" t="s">
        <v>1581</v>
      </c>
      <c r="J402" s="22">
        <v>224</v>
      </c>
      <c r="K402" s="22">
        <v>16</v>
      </c>
      <c r="L402" s="23">
        <f t="shared" si="95"/>
        <v>3584</v>
      </c>
      <c r="M402" s="23">
        <v>0</v>
      </c>
      <c r="N402" s="23">
        <v>0</v>
      </c>
      <c r="O402" s="112">
        <f t="shared" si="96"/>
        <v>3584</v>
      </c>
      <c r="P402" s="33">
        <v>0.18</v>
      </c>
      <c r="Q402" s="115">
        <v>0</v>
      </c>
      <c r="R402" s="112">
        <f t="shared" si="98"/>
        <v>322.56</v>
      </c>
      <c r="S402" s="112">
        <f t="shared" si="99"/>
        <v>322.56</v>
      </c>
      <c r="T402" s="23">
        <v>0</v>
      </c>
      <c r="U402" s="112">
        <f t="shared" si="97"/>
        <v>4229.12</v>
      </c>
    </row>
    <row r="403" spans="1:21" ht="17.100000000000001" customHeight="1" x14ac:dyDescent="0.25">
      <c r="A403" s="20">
        <f>IF(C403="","",COUNTA($C$4:C403))</f>
        <v>400</v>
      </c>
      <c r="B403" s="20" t="str">
        <f t="shared" si="87"/>
        <v>October</v>
      </c>
      <c r="C403" s="45">
        <v>45937</v>
      </c>
      <c r="D403" s="31" t="s">
        <v>1744</v>
      </c>
      <c r="E403" s="105" t="s">
        <v>1745</v>
      </c>
      <c r="F403" s="26" t="s">
        <v>1575</v>
      </c>
      <c r="G403" s="157" t="s">
        <v>260</v>
      </c>
      <c r="H403" s="106" t="s">
        <v>1225</v>
      </c>
      <c r="J403" s="22">
        <v>486</v>
      </c>
      <c r="K403" s="22">
        <v>17</v>
      </c>
      <c r="L403" s="23">
        <f t="shared" si="95"/>
        <v>8262</v>
      </c>
      <c r="M403" s="23">
        <v>0</v>
      </c>
      <c r="N403" s="23">
        <v>0</v>
      </c>
      <c r="O403" s="112">
        <f t="shared" si="96"/>
        <v>8262</v>
      </c>
      <c r="P403" s="33">
        <v>0.18</v>
      </c>
      <c r="Q403" s="115">
        <v>0</v>
      </c>
      <c r="R403" s="112">
        <f t="shared" si="98"/>
        <v>743.58</v>
      </c>
      <c r="S403" s="112">
        <f t="shared" si="99"/>
        <v>743.58</v>
      </c>
      <c r="T403" s="23">
        <v>0</v>
      </c>
      <c r="U403" s="112">
        <f t="shared" si="97"/>
        <v>9749.16</v>
      </c>
    </row>
    <row r="404" spans="1:21" ht="17.100000000000001" customHeight="1" x14ac:dyDescent="0.25">
      <c r="A404" s="20">
        <f>IF(C404="","",COUNTA($C$4:C404))</f>
        <v>401</v>
      </c>
      <c r="B404" s="20" t="str">
        <f t="shared" si="87"/>
        <v>October</v>
      </c>
      <c r="C404" s="45">
        <v>45937</v>
      </c>
      <c r="D404" s="31" t="s">
        <v>1748</v>
      </c>
      <c r="E404" s="105" t="s">
        <v>1749</v>
      </c>
      <c r="F404" s="26" t="s">
        <v>1750</v>
      </c>
      <c r="G404" s="157" t="s">
        <v>1751</v>
      </c>
      <c r="H404" s="106" t="s">
        <v>1752</v>
      </c>
      <c r="J404" s="22">
        <v>1</v>
      </c>
      <c r="K404" s="22">
        <v>36000</v>
      </c>
      <c r="L404" s="23">
        <f t="shared" si="95"/>
        <v>36000</v>
      </c>
      <c r="M404" s="23">
        <v>0</v>
      </c>
      <c r="N404" s="23">
        <v>0</v>
      </c>
      <c r="O404" s="112">
        <f t="shared" si="96"/>
        <v>36000</v>
      </c>
      <c r="P404" s="33">
        <v>0.18</v>
      </c>
      <c r="Q404" s="115">
        <v>0</v>
      </c>
      <c r="R404" s="112">
        <f t="shared" si="98"/>
        <v>3240</v>
      </c>
      <c r="S404" s="112">
        <f t="shared" si="99"/>
        <v>3240</v>
      </c>
      <c r="T404" s="23">
        <v>0</v>
      </c>
      <c r="U404" s="112">
        <f t="shared" si="97"/>
        <v>42480</v>
      </c>
    </row>
    <row r="405" spans="1:21" ht="17.100000000000001" customHeight="1" x14ac:dyDescent="0.25">
      <c r="A405" s="20">
        <f>IF(C405="","",COUNTA($C$4:C405))</f>
        <v>402</v>
      </c>
      <c r="B405" s="20" t="str">
        <f t="shared" si="87"/>
        <v>October</v>
      </c>
      <c r="C405" s="45">
        <v>45939</v>
      </c>
      <c r="D405" s="31" t="s">
        <v>1753</v>
      </c>
      <c r="E405" s="105" t="s">
        <v>1754</v>
      </c>
      <c r="F405" s="26" t="s">
        <v>1755</v>
      </c>
      <c r="G405" s="157" t="s">
        <v>329</v>
      </c>
      <c r="H405" s="106" t="s">
        <v>330</v>
      </c>
      <c r="J405" s="22">
        <v>10000</v>
      </c>
      <c r="K405" s="22">
        <v>5</v>
      </c>
      <c r="L405" s="23">
        <f t="shared" si="95"/>
        <v>50000</v>
      </c>
      <c r="M405" s="23">
        <v>0</v>
      </c>
      <c r="N405" s="23">
        <v>0</v>
      </c>
      <c r="O405" s="112">
        <f t="shared" si="96"/>
        <v>50000</v>
      </c>
      <c r="P405" s="33">
        <v>0.18</v>
      </c>
      <c r="Q405" s="115">
        <v>0</v>
      </c>
      <c r="R405" s="112">
        <f t="shared" si="98"/>
        <v>4500</v>
      </c>
      <c r="S405" s="112">
        <f t="shared" si="99"/>
        <v>4500</v>
      </c>
      <c r="T405" s="23">
        <v>0</v>
      </c>
      <c r="U405" s="112">
        <f t="shared" si="97"/>
        <v>59000</v>
      </c>
    </row>
    <row r="406" spans="1:21" ht="17.100000000000001" customHeight="1" x14ac:dyDescent="0.25">
      <c r="A406" s="20">
        <f>IF(C406="","",COUNTA($C$4:C406))</f>
        <v>403</v>
      </c>
      <c r="B406" s="20" t="str">
        <f t="shared" si="87"/>
        <v>October</v>
      </c>
      <c r="C406" s="45">
        <v>45940</v>
      </c>
      <c r="D406" s="31" t="s">
        <v>1756</v>
      </c>
      <c r="E406" s="105" t="s">
        <v>1757</v>
      </c>
      <c r="F406" s="26" t="s">
        <v>1758</v>
      </c>
      <c r="G406" s="157" t="s">
        <v>746</v>
      </c>
      <c r="H406" s="106" t="s">
        <v>1759</v>
      </c>
      <c r="J406" s="22">
        <v>5760</v>
      </c>
      <c r="K406" s="22">
        <v>107</v>
      </c>
      <c r="L406" s="23">
        <f t="shared" si="95"/>
        <v>616320</v>
      </c>
      <c r="M406" s="23">
        <v>0</v>
      </c>
      <c r="N406" s="23">
        <v>0</v>
      </c>
      <c r="O406" s="112">
        <f t="shared" si="96"/>
        <v>616320</v>
      </c>
      <c r="P406" s="33">
        <v>0.18</v>
      </c>
      <c r="Q406" s="115">
        <v>0</v>
      </c>
      <c r="R406" s="112">
        <f t="shared" si="98"/>
        <v>55468.800000000003</v>
      </c>
      <c r="S406" s="112">
        <f t="shared" si="99"/>
        <v>55468.800000000003</v>
      </c>
      <c r="T406" s="23">
        <v>0</v>
      </c>
      <c r="U406" s="112">
        <f t="shared" si="97"/>
        <v>727257.60000000009</v>
      </c>
    </row>
    <row r="407" spans="1:21" ht="17.100000000000001" customHeight="1" x14ac:dyDescent="0.25">
      <c r="A407" s="20">
        <f>IF(C407="","",COUNTA($C$4:C407))</f>
        <v>404</v>
      </c>
      <c r="B407" s="20" t="str">
        <f t="shared" si="87"/>
        <v>August</v>
      </c>
      <c r="C407" s="45">
        <v>45894</v>
      </c>
      <c r="D407" s="31" t="s">
        <v>1366</v>
      </c>
      <c r="E407" s="105" t="s">
        <v>1367</v>
      </c>
      <c r="F407" s="26" t="s">
        <v>1356</v>
      </c>
      <c r="G407" s="157" t="s">
        <v>502</v>
      </c>
      <c r="H407" s="106" t="s">
        <v>1358</v>
      </c>
      <c r="I407" s="159" t="s">
        <v>160</v>
      </c>
      <c r="J407" s="22">
        <v>5625</v>
      </c>
      <c r="K407" s="22">
        <v>68.5</v>
      </c>
      <c r="L407" s="23">
        <f t="shared" si="95"/>
        <v>385312.5</v>
      </c>
      <c r="M407" s="23">
        <v>0</v>
      </c>
      <c r="N407" s="23">
        <v>0</v>
      </c>
      <c r="O407" s="112">
        <f t="shared" si="96"/>
        <v>385312.5</v>
      </c>
      <c r="P407" s="33">
        <v>0.18</v>
      </c>
      <c r="Q407" s="118">
        <v>0</v>
      </c>
      <c r="R407" s="112">
        <f t="shared" si="98"/>
        <v>34678.125</v>
      </c>
      <c r="S407" s="112">
        <f t="shared" si="99"/>
        <v>34678.125</v>
      </c>
      <c r="T407" s="23">
        <v>0</v>
      </c>
      <c r="U407" s="112">
        <f t="shared" si="97"/>
        <v>454668.75</v>
      </c>
    </row>
    <row r="408" spans="1:21" ht="17.100000000000001" customHeight="1" x14ac:dyDescent="0.25">
      <c r="A408" s="20">
        <f>IF(C408="","",COUNTA($C$4:C408))</f>
        <v>405</v>
      </c>
      <c r="B408" s="20" t="str">
        <f t="shared" si="87"/>
        <v>August</v>
      </c>
      <c r="C408" s="45">
        <v>45894</v>
      </c>
      <c r="D408" s="31" t="s">
        <v>1366</v>
      </c>
      <c r="E408" s="105" t="s">
        <v>1367</v>
      </c>
      <c r="F408" s="26" t="s">
        <v>1356</v>
      </c>
      <c r="G408" s="157" t="s">
        <v>502</v>
      </c>
      <c r="H408" s="106" t="s">
        <v>1358</v>
      </c>
      <c r="I408" s="159" t="s">
        <v>160</v>
      </c>
      <c r="J408" s="22">
        <v>5060</v>
      </c>
      <c r="K408" s="22">
        <v>68.5</v>
      </c>
      <c r="L408" s="23">
        <f t="shared" si="95"/>
        <v>346610</v>
      </c>
      <c r="M408" s="23">
        <v>0</v>
      </c>
      <c r="N408" s="23">
        <v>0</v>
      </c>
      <c r="O408" s="112">
        <f t="shared" si="96"/>
        <v>346610</v>
      </c>
      <c r="P408" s="33">
        <v>0.18</v>
      </c>
      <c r="Q408" s="118">
        <v>0</v>
      </c>
      <c r="R408" s="112">
        <f t="shared" si="98"/>
        <v>31194.9</v>
      </c>
      <c r="S408" s="112">
        <f t="shared" si="99"/>
        <v>31194.9</v>
      </c>
      <c r="T408" s="23">
        <v>0</v>
      </c>
      <c r="U408" s="112">
        <f t="shared" si="97"/>
        <v>408999.80000000005</v>
      </c>
    </row>
    <row r="409" spans="1:21" ht="17.100000000000001" customHeight="1" x14ac:dyDescent="0.25">
      <c r="A409" s="20">
        <f>IF(C409="","",COUNTA($C$4:C409))</f>
        <v>406</v>
      </c>
      <c r="B409" s="20" t="str">
        <f t="shared" si="87"/>
        <v>August</v>
      </c>
      <c r="C409" s="45">
        <v>45899</v>
      </c>
      <c r="D409" s="31" t="s">
        <v>1431</v>
      </c>
      <c r="E409" s="105" t="s">
        <v>1432</v>
      </c>
      <c r="F409" s="26" t="s">
        <v>1356</v>
      </c>
      <c r="G409" s="157" t="s">
        <v>502</v>
      </c>
      <c r="H409" s="106" t="s">
        <v>1358</v>
      </c>
      <c r="I409" s="159" t="s">
        <v>160</v>
      </c>
      <c r="J409" s="22">
        <v>5470</v>
      </c>
      <c r="K409" s="22">
        <v>68.5</v>
      </c>
      <c r="L409" s="23">
        <f t="shared" si="95"/>
        <v>374695</v>
      </c>
      <c r="M409" s="23">
        <v>11500</v>
      </c>
      <c r="N409" s="23">
        <v>0</v>
      </c>
      <c r="O409" s="112">
        <f t="shared" si="96"/>
        <v>386195</v>
      </c>
      <c r="P409" s="33">
        <v>0.18</v>
      </c>
      <c r="Q409" s="118">
        <v>0</v>
      </c>
      <c r="R409" s="114">
        <f t="shared" si="98"/>
        <v>34757.550000000003</v>
      </c>
      <c r="S409" s="112">
        <f t="shared" si="99"/>
        <v>34757.550000000003</v>
      </c>
      <c r="T409" s="23">
        <v>0</v>
      </c>
      <c r="U409" s="112">
        <f t="shared" si="97"/>
        <v>455710.1</v>
      </c>
    </row>
    <row r="410" spans="1:21" ht="17.100000000000001" customHeight="1" x14ac:dyDescent="0.25">
      <c r="A410" s="20">
        <f>IF(C410="","",COUNTA($C$4:C410))</f>
        <v>407</v>
      </c>
      <c r="B410" s="20" t="str">
        <f t="shared" si="87"/>
        <v>August</v>
      </c>
      <c r="C410" s="45">
        <v>45899</v>
      </c>
      <c r="D410" s="31" t="s">
        <v>1431</v>
      </c>
      <c r="E410" s="105" t="s">
        <v>1432</v>
      </c>
      <c r="F410" s="26" t="s">
        <v>1356</v>
      </c>
      <c r="G410" s="157" t="s">
        <v>502</v>
      </c>
      <c r="H410" s="106" t="s">
        <v>1433</v>
      </c>
      <c r="I410" s="159" t="s">
        <v>276</v>
      </c>
      <c r="J410" s="22">
        <v>5830</v>
      </c>
      <c r="K410" s="22">
        <v>68.5</v>
      </c>
      <c r="L410" s="23">
        <f t="shared" si="95"/>
        <v>399355</v>
      </c>
      <c r="M410" s="23">
        <v>0</v>
      </c>
      <c r="N410" s="23">
        <v>0</v>
      </c>
      <c r="O410" s="112">
        <f t="shared" si="96"/>
        <v>399355</v>
      </c>
      <c r="P410" s="33">
        <v>0.18</v>
      </c>
      <c r="Q410" s="118">
        <v>0</v>
      </c>
      <c r="R410" s="112">
        <f t="shared" si="98"/>
        <v>35941.949999999997</v>
      </c>
      <c r="S410" s="112">
        <f t="shared" si="99"/>
        <v>35941.949999999997</v>
      </c>
      <c r="T410" s="23">
        <v>0</v>
      </c>
      <c r="U410" s="112">
        <f t="shared" si="97"/>
        <v>471238.9</v>
      </c>
    </row>
    <row r="411" spans="1:21" ht="17.100000000000001" customHeight="1" x14ac:dyDescent="0.25">
      <c r="A411" s="20">
        <f>IF(C411="","",COUNTA($C$4:C411))</f>
        <v>408</v>
      </c>
      <c r="B411" s="20" t="str">
        <f t="shared" si="87"/>
        <v>August</v>
      </c>
      <c r="C411" s="45">
        <v>45899</v>
      </c>
      <c r="D411" s="31" t="s">
        <v>1431</v>
      </c>
      <c r="E411" s="105" t="s">
        <v>1432</v>
      </c>
      <c r="F411" s="26" t="s">
        <v>1356</v>
      </c>
      <c r="G411" s="157" t="s">
        <v>502</v>
      </c>
      <c r="H411" s="106" t="s">
        <v>1433</v>
      </c>
      <c r="I411" s="159" t="s">
        <v>276</v>
      </c>
      <c r="J411" s="22">
        <v>5920</v>
      </c>
      <c r="K411" s="22">
        <v>68.5</v>
      </c>
      <c r="L411" s="23">
        <f t="shared" si="95"/>
        <v>405520</v>
      </c>
      <c r="M411" s="23">
        <v>0</v>
      </c>
      <c r="N411" s="23">
        <v>0</v>
      </c>
      <c r="O411" s="112">
        <f t="shared" si="96"/>
        <v>405520</v>
      </c>
      <c r="P411" s="33">
        <v>0.18</v>
      </c>
      <c r="Q411" s="118">
        <v>0</v>
      </c>
      <c r="R411" s="112">
        <f t="shared" si="98"/>
        <v>36496.800000000003</v>
      </c>
      <c r="S411" s="112">
        <f t="shared" si="99"/>
        <v>36496.800000000003</v>
      </c>
      <c r="T411" s="23">
        <v>0</v>
      </c>
      <c r="U411" s="112">
        <f t="shared" si="97"/>
        <v>478513.6</v>
      </c>
    </row>
    <row r="412" spans="1:21" ht="17.100000000000001" customHeight="1" x14ac:dyDescent="0.25">
      <c r="A412" s="20">
        <f>IF(C412="","",COUNTA($C$4:C412))</f>
        <v>409</v>
      </c>
      <c r="B412" s="20" t="str">
        <f t="shared" si="87"/>
        <v>August</v>
      </c>
      <c r="C412" s="45">
        <v>45899</v>
      </c>
      <c r="D412" s="31" t="s">
        <v>1431</v>
      </c>
      <c r="E412" s="105" t="s">
        <v>1432</v>
      </c>
      <c r="F412" s="26" t="s">
        <v>1356</v>
      </c>
      <c r="G412" s="157" t="s">
        <v>502</v>
      </c>
      <c r="H412" s="106" t="s">
        <v>1357</v>
      </c>
      <c r="I412" s="159" t="s">
        <v>266</v>
      </c>
      <c r="J412" s="22">
        <v>5840</v>
      </c>
      <c r="K412" s="22">
        <v>70</v>
      </c>
      <c r="L412" s="23">
        <f t="shared" si="95"/>
        <v>408800</v>
      </c>
      <c r="M412" s="23">
        <v>0</v>
      </c>
      <c r="N412" s="23">
        <v>0</v>
      </c>
      <c r="O412" s="112">
        <f t="shared" si="96"/>
        <v>408800</v>
      </c>
      <c r="P412" s="33">
        <v>0.18</v>
      </c>
      <c r="Q412" s="118">
        <v>0</v>
      </c>
      <c r="R412" s="112">
        <f t="shared" si="98"/>
        <v>36792</v>
      </c>
      <c r="S412" s="112">
        <f t="shared" si="99"/>
        <v>36792</v>
      </c>
      <c r="T412" s="23">
        <v>0</v>
      </c>
      <c r="U412" s="112">
        <f t="shared" si="97"/>
        <v>482384</v>
      </c>
    </row>
    <row r="413" spans="1:21" ht="17.100000000000001" customHeight="1" x14ac:dyDescent="0.25">
      <c r="A413" s="20">
        <f>IF(C413="","",COUNTA($C$4:C413))</f>
        <v>410</v>
      </c>
      <c r="B413" s="20" t="str">
        <f t="shared" si="87"/>
        <v>March</v>
      </c>
      <c r="C413" s="45">
        <v>46106</v>
      </c>
      <c r="D413" s="31" t="s">
        <v>2261</v>
      </c>
      <c r="E413" s="105" t="s">
        <v>3063</v>
      </c>
      <c r="F413" s="26" t="s">
        <v>3064</v>
      </c>
      <c r="G413" s="157" t="s">
        <v>746</v>
      </c>
      <c r="H413" s="106" t="s">
        <v>3066</v>
      </c>
      <c r="J413" s="22">
        <v>50</v>
      </c>
      <c r="K413" s="22">
        <v>140</v>
      </c>
      <c r="L413" s="23">
        <f t="shared" si="95"/>
        <v>7000</v>
      </c>
      <c r="M413" s="23">
        <v>0</v>
      </c>
      <c r="N413" s="23">
        <v>0</v>
      </c>
      <c r="O413" s="112">
        <f t="shared" si="96"/>
        <v>7000</v>
      </c>
      <c r="P413" s="33">
        <v>0.18</v>
      </c>
      <c r="Q413" s="115">
        <v>0</v>
      </c>
      <c r="R413" s="112">
        <f t="shared" si="98"/>
        <v>630</v>
      </c>
      <c r="S413" s="112">
        <f t="shared" si="99"/>
        <v>630</v>
      </c>
      <c r="T413" s="23">
        <v>0</v>
      </c>
      <c r="U413" s="112">
        <f t="shared" si="97"/>
        <v>8260</v>
      </c>
    </row>
    <row r="414" spans="1:21" ht="17.100000000000001" customHeight="1" x14ac:dyDescent="0.25">
      <c r="A414" s="20">
        <f>IF(C414="","",COUNTA($C$4:C414))</f>
        <v>411</v>
      </c>
      <c r="B414" s="20" t="str">
        <f t="shared" si="87"/>
        <v>October</v>
      </c>
      <c r="C414" s="45">
        <v>45942</v>
      </c>
      <c r="D414" s="31" t="s">
        <v>1769</v>
      </c>
      <c r="E414" s="105" t="s">
        <v>1770</v>
      </c>
      <c r="F414" s="26"/>
      <c r="G414" s="157" t="s">
        <v>342</v>
      </c>
      <c r="H414" s="106" t="s">
        <v>207</v>
      </c>
      <c r="L414" s="23">
        <v>9605</v>
      </c>
      <c r="M414" s="23">
        <v>0</v>
      </c>
      <c r="N414" s="23">
        <v>0</v>
      </c>
      <c r="O414" s="112">
        <f t="shared" si="96"/>
        <v>9605</v>
      </c>
      <c r="P414" s="33">
        <v>0.18</v>
      </c>
      <c r="Q414" s="115">
        <v>0</v>
      </c>
      <c r="R414" s="112">
        <f t="shared" si="98"/>
        <v>864.45</v>
      </c>
      <c r="S414" s="112">
        <f t="shared" si="99"/>
        <v>864.45</v>
      </c>
      <c r="T414" s="23">
        <v>0</v>
      </c>
      <c r="U414" s="112">
        <f t="shared" si="97"/>
        <v>11333.900000000001</v>
      </c>
    </row>
    <row r="415" spans="1:21" ht="17.100000000000001" customHeight="1" x14ac:dyDescent="0.25">
      <c r="A415" s="20">
        <f>IF(C415="","",COUNTA($C$4:C415))</f>
        <v>412</v>
      </c>
      <c r="B415" s="20" t="str">
        <f t="shared" si="87"/>
        <v>October</v>
      </c>
      <c r="C415" s="45">
        <v>45943</v>
      </c>
      <c r="D415" s="31" t="s">
        <v>1771</v>
      </c>
      <c r="E415" s="105" t="s">
        <v>1772</v>
      </c>
      <c r="F415" s="26"/>
      <c r="G415" s="157" t="s">
        <v>342</v>
      </c>
      <c r="H415" s="106" t="s">
        <v>207</v>
      </c>
      <c r="L415" s="23">
        <v>9490</v>
      </c>
      <c r="M415" s="23">
        <v>0</v>
      </c>
      <c r="N415" s="23">
        <v>0</v>
      </c>
      <c r="O415" s="112">
        <f t="shared" si="96"/>
        <v>9490</v>
      </c>
      <c r="P415" s="33">
        <v>0.18</v>
      </c>
      <c r="Q415" s="115">
        <v>0</v>
      </c>
      <c r="R415" s="112">
        <f t="shared" si="98"/>
        <v>854.1</v>
      </c>
      <c r="S415" s="112">
        <f t="shared" si="99"/>
        <v>854.1</v>
      </c>
      <c r="T415" s="23">
        <v>0</v>
      </c>
      <c r="U415" s="112">
        <f t="shared" si="97"/>
        <v>11198.2</v>
      </c>
    </row>
    <row r="416" spans="1:21" ht="17.100000000000001" customHeight="1" x14ac:dyDescent="0.25">
      <c r="A416" s="20">
        <f>IF(C416="","",COUNTA($C$4:C416))</f>
        <v>413</v>
      </c>
      <c r="B416" s="20" t="str">
        <f t="shared" si="87"/>
        <v>August</v>
      </c>
      <c r="C416" s="45">
        <v>45899</v>
      </c>
      <c r="D416" s="31" t="s">
        <v>1434</v>
      </c>
      <c r="E416" s="105" t="s">
        <v>1435</v>
      </c>
      <c r="F416" s="26" t="s">
        <v>1356</v>
      </c>
      <c r="G416" s="157" t="s">
        <v>502</v>
      </c>
      <c r="H416" s="106" t="s">
        <v>1433</v>
      </c>
      <c r="I416" s="159" t="s">
        <v>276</v>
      </c>
      <c r="J416" s="22">
        <v>5460</v>
      </c>
      <c r="K416" s="22">
        <v>68.5</v>
      </c>
      <c r="L416" s="23">
        <f t="shared" ref="L416:L422" si="100">J416*K416</f>
        <v>374010</v>
      </c>
      <c r="M416" s="23">
        <v>5500</v>
      </c>
      <c r="N416" s="23">
        <v>150</v>
      </c>
      <c r="O416" s="112">
        <f t="shared" si="96"/>
        <v>379660</v>
      </c>
      <c r="P416" s="33">
        <v>0.18</v>
      </c>
      <c r="Q416" s="118">
        <v>0</v>
      </c>
      <c r="R416" s="112">
        <f t="shared" si="98"/>
        <v>34169.4</v>
      </c>
      <c r="S416" s="112">
        <f t="shared" si="99"/>
        <v>34169.4</v>
      </c>
      <c r="T416" s="23">
        <v>0</v>
      </c>
      <c r="U416" s="112">
        <f t="shared" si="97"/>
        <v>447998.80000000005</v>
      </c>
    </row>
    <row r="417" spans="1:21" ht="17.100000000000001" customHeight="1" x14ac:dyDescent="0.25">
      <c r="A417" s="20">
        <f>IF(C417="","",COUNTA($C$4:C417))</f>
        <v>414</v>
      </c>
      <c r="B417" s="20" t="str">
        <f t="shared" si="87"/>
        <v>August</v>
      </c>
      <c r="C417" s="45">
        <v>45899</v>
      </c>
      <c r="D417" s="31" t="s">
        <v>1434</v>
      </c>
      <c r="E417" s="105" t="s">
        <v>1435</v>
      </c>
      <c r="F417" s="26" t="s">
        <v>1356</v>
      </c>
      <c r="G417" s="157" t="s">
        <v>502</v>
      </c>
      <c r="H417" s="106" t="s">
        <v>1357</v>
      </c>
      <c r="I417" s="159" t="s">
        <v>266</v>
      </c>
      <c r="J417" s="22">
        <v>5660</v>
      </c>
      <c r="K417" s="22">
        <v>70</v>
      </c>
      <c r="L417" s="23">
        <f t="shared" si="100"/>
        <v>396200</v>
      </c>
      <c r="M417" s="23">
        <v>0</v>
      </c>
      <c r="N417" s="23">
        <v>0</v>
      </c>
      <c r="O417" s="112">
        <f t="shared" si="96"/>
        <v>396200</v>
      </c>
      <c r="P417" s="33">
        <v>0.18</v>
      </c>
      <c r="Q417" s="118">
        <v>0</v>
      </c>
      <c r="R417" s="112">
        <f t="shared" si="98"/>
        <v>35658</v>
      </c>
      <c r="S417" s="112">
        <f t="shared" si="99"/>
        <v>35658</v>
      </c>
      <c r="T417" s="23">
        <v>0</v>
      </c>
      <c r="U417" s="112">
        <f t="shared" si="97"/>
        <v>467516</v>
      </c>
    </row>
    <row r="418" spans="1:21" ht="17.100000000000001" customHeight="1" x14ac:dyDescent="0.25">
      <c r="A418" s="20">
        <f>IF(C418="","",COUNTA($C$4:C418))</f>
        <v>415</v>
      </c>
      <c r="B418" s="20" t="str">
        <f t="shared" si="87"/>
        <v>October</v>
      </c>
      <c r="C418" s="45">
        <v>45940</v>
      </c>
      <c r="D418" s="31" t="s">
        <v>1760</v>
      </c>
      <c r="E418" s="105" t="s">
        <v>1761</v>
      </c>
      <c r="F418" s="26" t="s">
        <v>1762</v>
      </c>
      <c r="G418" s="157" t="s">
        <v>502</v>
      </c>
      <c r="H418" s="106" t="s">
        <v>506</v>
      </c>
      <c r="I418" s="159" t="s">
        <v>266</v>
      </c>
      <c r="J418" s="22">
        <v>5605</v>
      </c>
      <c r="K418" s="22">
        <v>69</v>
      </c>
      <c r="L418" s="23">
        <f t="shared" si="100"/>
        <v>386745</v>
      </c>
      <c r="M418" s="23">
        <v>5500</v>
      </c>
      <c r="N418" s="23">
        <v>150</v>
      </c>
      <c r="O418" s="112">
        <f t="shared" si="96"/>
        <v>392395</v>
      </c>
      <c r="P418" s="33">
        <v>0.18</v>
      </c>
      <c r="Q418" s="115">
        <v>0</v>
      </c>
      <c r="R418" s="112">
        <f t="shared" si="98"/>
        <v>35315.550000000003</v>
      </c>
      <c r="S418" s="112">
        <f t="shared" si="99"/>
        <v>35315.550000000003</v>
      </c>
      <c r="T418" s="23">
        <v>0</v>
      </c>
      <c r="U418" s="112">
        <f t="shared" si="97"/>
        <v>463026.1</v>
      </c>
    </row>
    <row r="419" spans="1:21" ht="17.100000000000001" customHeight="1" x14ac:dyDescent="0.25">
      <c r="A419" s="20">
        <f>IF(C419="","",COUNTA($C$4:C419))</f>
        <v>416</v>
      </c>
      <c r="B419" s="20" t="str">
        <f t="shared" ref="B419:B482" si="101">IF(C419="","",TEXT(C419,"mmmm"))</f>
        <v>October</v>
      </c>
      <c r="C419" s="45">
        <v>45940</v>
      </c>
      <c r="D419" s="31" t="s">
        <v>1760</v>
      </c>
      <c r="E419" s="105" t="s">
        <v>1761</v>
      </c>
      <c r="F419" s="26" t="s">
        <v>1762</v>
      </c>
      <c r="G419" s="157" t="s">
        <v>502</v>
      </c>
      <c r="H419" s="106" t="s">
        <v>506</v>
      </c>
      <c r="I419" s="159" t="s">
        <v>266</v>
      </c>
      <c r="J419" s="22">
        <v>5625</v>
      </c>
      <c r="K419" s="22">
        <v>69</v>
      </c>
      <c r="L419" s="23">
        <f t="shared" si="100"/>
        <v>388125</v>
      </c>
      <c r="M419" s="23">
        <v>0</v>
      </c>
      <c r="N419" s="23">
        <v>0</v>
      </c>
      <c r="O419" s="112">
        <f t="shared" si="96"/>
        <v>388125</v>
      </c>
      <c r="P419" s="33">
        <v>0.18</v>
      </c>
      <c r="Q419" s="115">
        <v>0</v>
      </c>
      <c r="R419" s="112">
        <f t="shared" si="98"/>
        <v>34931.25</v>
      </c>
      <c r="S419" s="112">
        <f t="shared" si="99"/>
        <v>34931.25</v>
      </c>
      <c r="T419" s="23">
        <v>0</v>
      </c>
      <c r="U419" s="112">
        <f t="shared" si="97"/>
        <v>457987.5</v>
      </c>
    </row>
    <row r="420" spans="1:21" ht="17.100000000000001" customHeight="1" x14ac:dyDescent="0.25">
      <c r="A420" s="20">
        <f>IF(C420="","",COUNTA($C$4:C420))</f>
        <v>417</v>
      </c>
      <c r="B420" s="20" t="str">
        <f t="shared" si="101"/>
        <v>March</v>
      </c>
      <c r="C420" s="45">
        <v>46111</v>
      </c>
      <c r="D420" s="31" t="s">
        <v>3075</v>
      </c>
      <c r="E420" s="105" t="s">
        <v>3076</v>
      </c>
      <c r="F420" s="26" t="s">
        <v>3064</v>
      </c>
      <c r="G420" s="157" t="s">
        <v>746</v>
      </c>
      <c r="H420" s="106" t="s">
        <v>3079</v>
      </c>
      <c r="J420" s="22">
        <v>280</v>
      </c>
      <c r="K420" s="22">
        <v>1196</v>
      </c>
      <c r="L420" s="23">
        <f t="shared" si="100"/>
        <v>334880</v>
      </c>
      <c r="M420" s="23">
        <v>0</v>
      </c>
      <c r="N420" s="23">
        <v>0</v>
      </c>
      <c r="O420" s="112">
        <f t="shared" si="96"/>
        <v>334880</v>
      </c>
      <c r="P420" s="33">
        <v>0.18</v>
      </c>
      <c r="Q420" s="115">
        <v>0</v>
      </c>
      <c r="R420" s="112">
        <f t="shared" si="98"/>
        <v>30139.200000000001</v>
      </c>
      <c r="S420" s="112">
        <f t="shared" si="99"/>
        <v>30139.200000000001</v>
      </c>
      <c r="T420" s="23">
        <v>0</v>
      </c>
      <c r="U420" s="112">
        <f t="shared" si="97"/>
        <v>395158.4</v>
      </c>
    </row>
    <row r="421" spans="1:21" ht="17.100000000000001" customHeight="1" x14ac:dyDescent="0.25">
      <c r="A421" s="20">
        <f>IF(C421="","",COUNTA($C$4:C421))</f>
        <v>418</v>
      </c>
      <c r="B421" s="20" t="str">
        <f t="shared" si="101"/>
        <v>October</v>
      </c>
      <c r="C421" s="45">
        <v>45945</v>
      </c>
      <c r="D421" s="31" t="s">
        <v>1779</v>
      </c>
      <c r="E421" s="105" t="s">
        <v>1780</v>
      </c>
      <c r="F421" s="26" t="s">
        <v>1781</v>
      </c>
      <c r="G421" s="157" t="s">
        <v>1782</v>
      </c>
      <c r="H421" s="106" t="s">
        <v>1614</v>
      </c>
      <c r="J421" s="22">
        <v>599.58000000000004</v>
      </c>
      <c r="K421" s="22">
        <v>127</v>
      </c>
      <c r="L421" s="23">
        <f t="shared" si="100"/>
        <v>76146.66</v>
      </c>
      <c r="M421" s="23">
        <v>0</v>
      </c>
      <c r="N421" s="23">
        <v>0</v>
      </c>
      <c r="O421" s="112">
        <f t="shared" si="96"/>
        <v>76146.66</v>
      </c>
      <c r="P421" s="33">
        <v>0.18</v>
      </c>
      <c r="Q421" s="115">
        <v>0</v>
      </c>
      <c r="R421" s="112">
        <f t="shared" si="98"/>
        <v>6853.1994000000004</v>
      </c>
      <c r="S421" s="112">
        <f t="shared" si="99"/>
        <v>6853.1994000000004</v>
      </c>
      <c r="T421" s="23">
        <v>0</v>
      </c>
      <c r="U421" s="112">
        <f t="shared" si="97"/>
        <v>89853.058799999999</v>
      </c>
    </row>
    <row r="422" spans="1:21" ht="17.100000000000001" customHeight="1" x14ac:dyDescent="0.25">
      <c r="A422" s="20">
        <f>IF(C422="","",COUNTA($C$4:C422))</f>
        <v>419</v>
      </c>
      <c r="B422" s="20" t="str">
        <f t="shared" si="101"/>
        <v>October</v>
      </c>
      <c r="C422" s="45">
        <v>45948</v>
      </c>
      <c r="D422" s="31" t="s">
        <v>1925</v>
      </c>
      <c r="E422" s="105" t="s">
        <v>1926</v>
      </c>
      <c r="F422" s="26" t="s">
        <v>1575</v>
      </c>
      <c r="G422" s="157" t="s">
        <v>260</v>
      </c>
      <c r="H422" s="106" t="s">
        <v>517</v>
      </c>
      <c r="J422" s="22">
        <v>6624</v>
      </c>
      <c r="K422" s="22">
        <v>3.1</v>
      </c>
      <c r="L422" s="23">
        <f t="shared" si="100"/>
        <v>20534.400000000001</v>
      </c>
      <c r="M422" s="23">
        <v>0</v>
      </c>
      <c r="N422" s="23">
        <v>0</v>
      </c>
      <c r="O422" s="112">
        <f t="shared" si="96"/>
        <v>20534.400000000001</v>
      </c>
      <c r="P422" s="33">
        <v>0.18</v>
      </c>
      <c r="Q422" s="115">
        <v>0</v>
      </c>
      <c r="R422" s="112">
        <f t="shared" si="98"/>
        <v>1848.096</v>
      </c>
      <c r="S422" s="112">
        <f t="shared" si="99"/>
        <v>1848.096</v>
      </c>
      <c r="T422" s="23">
        <v>0</v>
      </c>
      <c r="U422" s="112">
        <f t="shared" si="97"/>
        <v>24230.592000000004</v>
      </c>
    </row>
    <row r="423" spans="1:21" ht="17.100000000000001" customHeight="1" x14ac:dyDescent="0.25">
      <c r="A423" s="20">
        <f>IF(C423="","",COUNTA($C$4:C423))</f>
        <v>420</v>
      </c>
      <c r="B423" s="20" t="str">
        <f t="shared" si="101"/>
        <v>October</v>
      </c>
      <c r="C423" s="45">
        <v>45948</v>
      </c>
      <c r="D423" s="31" t="s">
        <v>1927</v>
      </c>
      <c r="E423" s="105" t="s">
        <v>1972</v>
      </c>
      <c r="F423" s="26"/>
      <c r="G423" s="157" t="s">
        <v>206</v>
      </c>
      <c r="H423" s="106" t="s">
        <v>1973</v>
      </c>
      <c r="L423" s="23">
        <v>180335</v>
      </c>
      <c r="M423" s="23">
        <v>0</v>
      </c>
      <c r="N423" s="23">
        <v>0</v>
      </c>
      <c r="O423" s="112">
        <f t="shared" si="96"/>
        <v>180335</v>
      </c>
      <c r="P423" s="33">
        <v>0.18</v>
      </c>
      <c r="Q423" s="115">
        <v>0</v>
      </c>
      <c r="R423" s="112">
        <f t="shared" si="98"/>
        <v>16230.15</v>
      </c>
      <c r="S423" s="112">
        <f t="shared" si="99"/>
        <v>16230.15</v>
      </c>
      <c r="T423" s="23">
        <v>0</v>
      </c>
      <c r="U423" s="112">
        <f t="shared" si="97"/>
        <v>212795.3</v>
      </c>
    </row>
    <row r="424" spans="1:21" ht="17.100000000000001" customHeight="1" x14ac:dyDescent="0.25">
      <c r="A424" s="20">
        <f>IF(C424="","",COUNTA($C$4:C424))</f>
        <v>421</v>
      </c>
      <c r="B424" s="20" t="str">
        <f t="shared" si="101"/>
        <v>October</v>
      </c>
      <c r="C424" s="45">
        <v>45948</v>
      </c>
      <c r="D424" s="31" t="s">
        <v>1928</v>
      </c>
      <c r="E424" s="105" t="s">
        <v>1929</v>
      </c>
      <c r="F424" s="26" t="s">
        <v>1575</v>
      </c>
      <c r="G424" s="157" t="s">
        <v>260</v>
      </c>
      <c r="H424" s="106" t="s">
        <v>1930</v>
      </c>
      <c r="J424" s="22">
        <v>1538</v>
      </c>
      <c r="K424" s="22">
        <v>14.5</v>
      </c>
      <c r="L424" s="23">
        <f t="shared" ref="L424:L448" si="102">J424*K424</f>
        <v>22301</v>
      </c>
      <c r="M424" s="23">
        <v>0</v>
      </c>
      <c r="N424" s="23">
        <v>0</v>
      </c>
      <c r="O424" s="112">
        <f t="shared" si="96"/>
        <v>22301</v>
      </c>
      <c r="P424" s="33">
        <v>0.18</v>
      </c>
      <c r="Q424" s="115">
        <v>0</v>
      </c>
      <c r="R424" s="112">
        <f t="shared" si="98"/>
        <v>2007.09</v>
      </c>
      <c r="S424" s="112">
        <f t="shared" si="99"/>
        <v>2007.09</v>
      </c>
      <c r="T424" s="23">
        <v>0</v>
      </c>
      <c r="U424" s="112">
        <f t="shared" si="97"/>
        <v>26315.18</v>
      </c>
    </row>
    <row r="425" spans="1:21" ht="17.100000000000001" customHeight="1" x14ac:dyDescent="0.25">
      <c r="A425" s="20">
        <f>IF(C425="","",COUNTA($C$4:C425))</f>
        <v>422</v>
      </c>
      <c r="B425" s="20" t="str">
        <f t="shared" si="101"/>
        <v>October</v>
      </c>
      <c r="C425" s="45">
        <v>45948</v>
      </c>
      <c r="D425" s="31" t="s">
        <v>1928</v>
      </c>
      <c r="E425" s="105" t="s">
        <v>1929</v>
      </c>
      <c r="F425" s="26" t="s">
        <v>1575</v>
      </c>
      <c r="G425" s="157" t="s">
        <v>260</v>
      </c>
      <c r="H425" s="106" t="s">
        <v>1933</v>
      </c>
      <c r="J425" s="22">
        <v>800</v>
      </c>
      <c r="K425" s="22">
        <v>16.5</v>
      </c>
      <c r="L425" s="23">
        <f t="shared" si="102"/>
        <v>13200</v>
      </c>
      <c r="M425" s="23">
        <v>0</v>
      </c>
      <c r="N425" s="23">
        <v>0</v>
      </c>
      <c r="O425" s="112">
        <f t="shared" si="96"/>
        <v>13200</v>
      </c>
      <c r="P425" s="33">
        <v>0.18</v>
      </c>
      <c r="Q425" s="115">
        <v>0</v>
      </c>
      <c r="R425" s="112">
        <f t="shared" si="98"/>
        <v>1188</v>
      </c>
      <c r="S425" s="112">
        <f t="shared" si="99"/>
        <v>1188</v>
      </c>
      <c r="T425" s="23">
        <v>0</v>
      </c>
      <c r="U425" s="112">
        <f t="shared" si="97"/>
        <v>15576</v>
      </c>
    </row>
    <row r="426" spans="1:21" ht="17.100000000000001" customHeight="1" x14ac:dyDescent="0.25">
      <c r="A426" s="20">
        <f>IF(C426="","",COUNTA($C$4:C426))</f>
        <v>423</v>
      </c>
      <c r="B426" s="20" t="str">
        <f t="shared" si="101"/>
        <v>October</v>
      </c>
      <c r="C426" s="45">
        <v>45948</v>
      </c>
      <c r="D426" s="31" t="s">
        <v>1928</v>
      </c>
      <c r="E426" s="105" t="s">
        <v>1929</v>
      </c>
      <c r="F426" s="26" t="s">
        <v>1575</v>
      </c>
      <c r="G426" s="157" t="s">
        <v>260</v>
      </c>
      <c r="H426" s="106" t="s">
        <v>1934</v>
      </c>
      <c r="J426" s="22">
        <v>800</v>
      </c>
      <c r="K426" s="22">
        <v>18</v>
      </c>
      <c r="L426" s="23">
        <f t="shared" si="102"/>
        <v>14400</v>
      </c>
      <c r="M426" s="23">
        <v>0</v>
      </c>
      <c r="N426" s="23">
        <v>0</v>
      </c>
      <c r="O426" s="112">
        <f t="shared" si="96"/>
        <v>14400</v>
      </c>
      <c r="P426" s="33">
        <v>0.18</v>
      </c>
      <c r="Q426" s="115">
        <v>0</v>
      </c>
      <c r="R426" s="112">
        <f t="shared" si="98"/>
        <v>1296</v>
      </c>
      <c r="S426" s="112">
        <f t="shared" si="99"/>
        <v>1296</v>
      </c>
      <c r="T426" s="23">
        <v>0</v>
      </c>
      <c r="U426" s="112">
        <f t="shared" ref="U426:U451" si="103">O426+R426+S426</f>
        <v>16992</v>
      </c>
    </row>
    <row r="427" spans="1:21" ht="17.100000000000001" customHeight="1" x14ac:dyDescent="0.25">
      <c r="A427" s="20">
        <f>IF(C427="","",COUNTA($C$4:C427))</f>
        <v>424</v>
      </c>
      <c r="B427" s="20" t="str">
        <f t="shared" si="101"/>
        <v>October</v>
      </c>
      <c r="C427" s="45">
        <v>45948</v>
      </c>
      <c r="D427" s="31" t="s">
        <v>1928</v>
      </c>
      <c r="E427" s="105" t="s">
        <v>1929</v>
      </c>
      <c r="F427" s="26" t="s">
        <v>1575</v>
      </c>
      <c r="G427" s="157" t="s">
        <v>260</v>
      </c>
      <c r="H427" s="106" t="s">
        <v>1935</v>
      </c>
      <c r="J427" s="22">
        <v>428</v>
      </c>
      <c r="K427" s="22">
        <v>20</v>
      </c>
      <c r="L427" s="23">
        <f t="shared" si="102"/>
        <v>8560</v>
      </c>
      <c r="M427" s="23">
        <v>0</v>
      </c>
      <c r="N427" s="23">
        <v>0</v>
      </c>
      <c r="O427" s="112">
        <f t="shared" si="96"/>
        <v>8560</v>
      </c>
      <c r="P427" s="33">
        <v>0.18</v>
      </c>
      <c r="Q427" s="115">
        <v>0</v>
      </c>
      <c r="R427" s="112">
        <f t="shared" si="98"/>
        <v>770.4</v>
      </c>
      <c r="S427" s="112">
        <f t="shared" si="99"/>
        <v>770.4</v>
      </c>
      <c r="T427" s="23">
        <v>0</v>
      </c>
      <c r="U427" s="112">
        <f t="shared" si="103"/>
        <v>10100.799999999999</v>
      </c>
    </row>
    <row r="428" spans="1:21" ht="17.100000000000001" customHeight="1" x14ac:dyDescent="0.25">
      <c r="A428" s="20">
        <f>IF(C428="","",COUNTA($C$4:C428))</f>
        <v>425</v>
      </c>
      <c r="B428" s="20" t="str">
        <f t="shared" si="101"/>
        <v>October</v>
      </c>
      <c r="C428" s="45">
        <v>45948</v>
      </c>
      <c r="D428" s="31" t="s">
        <v>1928</v>
      </c>
      <c r="E428" s="105" t="s">
        <v>1929</v>
      </c>
      <c r="F428" s="26" t="s">
        <v>1575</v>
      </c>
      <c r="G428" s="157" t="s">
        <v>260</v>
      </c>
      <c r="H428" s="106" t="s">
        <v>1936</v>
      </c>
      <c r="J428" s="22">
        <v>1650</v>
      </c>
      <c r="K428" s="22">
        <v>14.5</v>
      </c>
      <c r="L428" s="23">
        <f t="shared" si="102"/>
        <v>23925</v>
      </c>
      <c r="M428" s="23">
        <v>0</v>
      </c>
      <c r="N428" s="23">
        <v>0</v>
      </c>
      <c r="O428" s="112">
        <f t="shared" si="96"/>
        <v>23925</v>
      </c>
      <c r="P428" s="33">
        <v>0.18</v>
      </c>
      <c r="Q428" s="115">
        <v>0</v>
      </c>
      <c r="R428" s="112">
        <f t="shared" si="98"/>
        <v>2153.25</v>
      </c>
      <c r="S428" s="112">
        <f t="shared" si="99"/>
        <v>2153.25</v>
      </c>
      <c r="T428" s="23">
        <v>0</v>
      </c>
      <c r="U428" s="112">
        <f t="shared" si="103"/>
        <v>28231.5</v>
      </c>
    </row>
    <row r="429" spans="1:21" ht="17.100000000000001" customHeight="1" x14ac:dyDescent="0.25">
      <c r="A429" s="20">
        <f>IF(C429="","",COUNTA($C$4:C429))</f>
        <v>426</v>
      </c>
      <c r="B429" s="20" t="str">
        <f t="shared" si="101"/>
        <v>October</v>
      </c>
      <c r="C429" s="45">
        <v>45948</v>
      </c>
      <c r="D429" s="31" t="s">
        <v>1928</v>
      </c>
      <c r="E429" s="105" t="s">
        <v>1929</v>
      </c>
      <c r="F429" s="26" t="s">
        <v>1575</v>
      </c>
      <c r="G429" s="157" t="s">
        <v>260</v>
      </c>
      <c r="H429" s="106" t="s">
        <v>1937</v>
      </c>
      <c r="J429" s="22">
        <v>1753</v>
      </c>
      <c r="K429" s="22">
        <v>16</v>
      </c>
      <c r="L429" s="23">
        <f t="shared" si="102"/>
        <v>28048</v>
      </c>
      <c r="M429" s="23">
        <v>0</v>
      </c>
      <c r="N429" s="23">
        <v>0</v>
      </c>
      <c r="O429" s="112">
        <f t="shared" si="96"/>
        <v>28048</v>
      </c>
      <c r="P429" s="33">
        <v>0.18</v>
      </c>
      <c r="Q429" s="115">
        <v>0</v>
      </c>
      <c r="R429" s="112">
        <f t="shared" ref="R429:R451" si="104">O429*9/100</f>
        <v>2524.3200000000002</v>
      </c>
      <c r="S429" s="112">
        <f t="shared" ref="S429:S451" si="105">O429*9/100</f>
        <v>2524.3200000000002</v>
      </c>
      <c r="T429" s="23">
        <v>0</v>
      </c>
      <c r="U429" s="112">
        <f t="shared" si="103"/>
        <v>33096.639999999999</v>
      </c>
    </row>
    <row r="430" spans="1:21" ht="17.100000000000001" customHeight="1" x14ac:dyDescent="0.25">
      <c r="A430" s="20">
        <f>IF(C430="","",COUNTA($C$4:C430))</f>
        <v>427</v>
      </c>
      <c r="B430" s="20" t="str">
        <f t="shared" si="101"/>
        <v>October</v>
      </c>
      <c r="C430" s="45">
        <v>45948</v>
      </c>
      <c r="D430" s="31" t="s">
        <v>1928</v>
      </c>
      <c r="E430" s="105" t="s">
        <v>1929</v>
      </c>
      <c r="F430" s="26" t="s">
        <v>1575</v>
      </c>
      <c r="G430" s="157" t="s">
        <v>260</v>
      </c>
      <c r="H430" s="106" t="s">
        <v>1938</v>
      </c>
      <c r="J430" s="22">
        <v>1480</v>
      </c>
      <c r="K430" s="22">
        <v>17</v>
      </c>
      <c r="L430" s="23">
        <f t="shared" si="102"/>
        <v>25160</v>
      </c>
      <c r="M430" s="23">
        <v>0</v>
      </c>
      <c r="N430" s="23">
        <v>0</v>
      </c>
      <c r="O430" s="112">
        <f t="shared" si="96"/>
        <v>25160</v>
      </c>
      <c r="P430" s="33">
        <v>0.18</v>
      </c>
      <c r="Q430" s="115">
        <v>0</v>
      </c>
      <c r="R430" s="112">
        <f t="shared" si="104"/>
        <v>2264.4</v>
      </c>
      <c r="S430" s="112">
        <f t="shared" si="105"/>
        <v>2264.4</v>
      </c>
      <c r="T430" s="23">
        <v>0</v>
      </c>
      <c r="U430" s="112">
        <f t="shared" si="103"/>
        <v>29688.800000000003</v>
      </c>
    </row>
    <row r="431" spans="1:21" ht="17.100000000000001" customHeight="1" x14ac:dyDescent="0.25">
      <c r="A431" s="20">
        <f>IF(C431="","",COUNTA($C$4:C431))</f>
        <v>428</v>
      </c>
      <c r="B431" s="20" t="str">
        <f t="shared" si="101"/>
        <v>October</v>
      </c>
      <c r="C431" s="45">
        <v>45948</v>
      </c>
      <c r="D431" s="31" t="s">
        <v>1928</v>
      </c>
      <c r="E431" s="105" t="s">
        <v>1929</v>
      </c>
      <c r="F431" s="26" t="s">
        <v>1575</v>
      </c>
      <c r="G431" s="157" t="s">
        <v>260</v>
      </c>
      <c r="H431" s="106" t="s">
        <v>1939</v>
      </c>
      <c r="J431" s="22">
        <v>250</v>
      </c>
      <c r="K431" s="22">
        <v>19</v>
      </c>
      <c r="L431" s="23">
        <f t="shared" si="102"/>
        <v>4750</v>
      </c>
      <c r="M431" s="23">
        <v>0</v>
      </c>
      <c r="N431" s="23">
        <v>0</v>
      </c>
      <c r="O431" s="112">
        <f t="shared" si="96"/>
        <v>4750</v>
      </c>
      <c r="P431" s="33">
        <v>0.18</v>
      </c>
      <c r="Q431" s="115">
        <v>0</v>
      </c>
      <c r="R431" s="112">
        <f t="shared" si="104"/>
        <v>427.5</v>
      </c>
      <c r="S431" s="112">
        <f t="shared" si="105"/>
        <v>427.5</v>
      </c>
      <c r="T431" s="23">
        <v>0</v>
      </c>
      <c r="U431" s="112">
        <f t="shared" si="103"/>
        <v>5605</v>
      </c>
    </row>
    <row r="432" spans="1:21" ht="17.100000000000001" customHeight="1" x14ac:dyDescent="0.25">
      <c r="A432" s="20">
        <f>IF(C432="","",COUNTA($C$4:C432))</f>
        <v>429</v>
      </c>
      <c r="B432" s="20" t="str">
        <f t="shared" si="101"/>
        <v>October</v>
      </c>
      <c r="C432" s="45">
        <v>45953</v>
      </c>
      <c r="D432" s="31" t="s">
        <v>1931</v>
      </c>
      <c r="E432" s="105" t="s">
        <v>1932</v>
      </c>
      <c r="F432" s="26" t="s">
        <v>1575</v>
      </c>
      <c r="G432" s="157" t="s">
        <v>260</v>
      </c>
      <c r="H432" s="106" t="s">
        <v>1940</v>
      </c>
      <c r="J432" s="22">
        <v>14020</v>
      </c>
      <c r="K432" s="22">
        <v>3.3</v>
      </c>
      <c r="L432" s="23">
        <f t="shared" si="102"/>
        <v>46266</v>
      </c>
      <c r="M432" s="23">
        <v>0</v>
      </c>
      <c r="N432" s="23">
        <v>0</v>
      </c>
      <c r="O432" s="112">
        <f t="shared" si="96"/>
        <v>46266</v>
      </c>
      <c r="P432" s="33">
        <v>0.18</v>
      </c>
      <c r="Q432" s="115">
        <v>0</v>
      </c>
      <c r="R432" s="112">
        <f t="shared" si="104"/>
        <v>4163.9399999999996</v>
      </c>
      <c r="S432" s="112">
        <f t="shared" si="105"/>
        <v>4163.9399999999996</v>
      </c>
      <c r="T432" s="23">
        <v>0</v>
      </c>
      <c r="U432" s="112">
        <f t="shared" si="103"/>
        <v>54593.880000000005</v>
      </c>
    </row>
    <row r="433" spans="1:21" ht="17.100000000000001" customHeight="1" x14ac:dyDescent="0.25">
      <c r="A433" s="20">
        <f>IF(C433="","",COUNTA($C$4:C433))</f>
        <v>430</v>
      </c>
      <c r="B433" s="20" t="str">
        <f t="shared" si="101"/>
        <v>October</v>
      </c>
      <c r="C433" s="45">
        <v>45954</v>
      </c>
      <c r="D433" s="31" t="s">
        <v>1941</v>
      </c>
      <c r="E433" s="105" t="s">
        <v>1942</v>
      </c>
      <c r="F433" s="26" t="s">
        <v>1575</v>
      </c>
      <c r="G433" s="157" t="s">
        <v>260</v>
      </c>
      <c r="H433" s="106" t="s">
        <v>1933</v>
      </c>
      <c r="J433" s="22">
        <v>24</v>
      </c>
      <c r="K433" s="22">
        <v>16.5</v>
      </c>
      <c r="L433" s="23">
        <f t="shared" si="102"/>
        <v>396</v>
      </c>
      <c r="M433" s="23">
        <v>0</v>
      </c>
      <c r="N433" s="23">
        <v>0</v>
      </c>
      <c r="O433" s="112">
        <f t="shared" si="96"/>
        <v>396</v>
      </c>
      <c r="P433" s="33">
        <v>0.18</v>
      </c>
      <c r="Q433" s="115">
        <v>0</v>
      </c>
      <c r="R433" s="112">
        <f t="shared" si="104"/>
        <v>35.64</v>
      </c>
      <c r="S433" s="112">
        <f t="shared" si="105"/>
        <v>35.64</v>
      </c>
      <c r="T433" s="23">
        <v>0</v>
      </c>
      <c r="U433" s="112">
        <f t="shared" si="103"/>
        <v>467.28</v>
      </c>
    </row>
    <row r="434" spans="1:21" ht="17.100000000000001" customHeight="1" x14ac:dyDescent="0.25">
      <c r="A434" s="20">
        <f>IF(C434="","",COUNTA($C$4:C434))</f>
        <v>431</v>
      </c>
      <c r="B434" s="20" t="str">
        <f t="shared" si="101"/>
        <v>October</v>
      </c>
      <c r="C434" s="45">
        <v>45954</v>
      </c>
      <c r="D434" s="31" t="s">
        <v>1941</v>
      </c>
      <c r="E434" s="105" t="s">
        <v>1942</v>
      </c>
      <c r="F434" s="26" t="s">
        <v>1575</v>
      </c>
      <c r="G434" s="157" t="s">
        <v>260</v>
      </c>
      <c r="H434" s="106" t="s">
        <v>1934</v>
      </c>
      <c r="J434" s="22">
        <v>179</v>
      </c>
      <c r="K434" s="22">
        <v>18</v>
      </c>
      <c r="L434" s="23">
        <f t="shared" si="102"/>
        <v>3222</v>
      </c>
      <c r="M434" s="23">
        <v>0</v>
      </c>
      <c r="N434" s="23">
        <v>0</v>
      </c>
      <c r="O434" s="112">
        <f t="shared" si="96"/>
        <v>3222</v>
      </c>
      <c r="P434" s="33">
        <v>0.18</v>
      </c>
      <c r="Q434" s="115">
        <v>0</v>
      </c>
      <c r="R434" s="112">
        <f t="shared" si="104"/>
        <v>289.98</v>
      </c>
      <c r="S434" s="112">
        <f t="shared" si="105"/>
        <v>289.98</v>
      </c>
      <c r="T434" s="23">
        <v>0</v>
      </c>
      <c r="U434" s="112">
        <f t="shared" si="103"/>
        <v>3801.96</v>
      </c>
    </row>
    <row r="435" spans="1:21" ht="17.100000000000001" customHeight="1" x14ac:dyDescent="0.25">
      <c r="A435" s="20">
        <f>IF(C435="","",COUNTA($C$4:C435))</f>
        <v>432</v>
      </c>
      <c r="B435" s="20" t="str">
        <f t="shared" si="101"/>
        <v>October</v>
      </c>
      <c r="C435" s="45">
        <v>45954</v>
      </c>
      <c r="D435" s="31" t="s">
        <v>1941</v>
      </c>
      <c r="E435" s="105" t="s">
        <v>1942</v>
      </c>
      <c r="F435" s="26" t="s">
        <v>1575</v>
      </c>
      <c r="G435" s="157" t="s">
        <v>260</v>
      </c>
      <c r="H435" s="106" t="s">
        <v>1936</v>
      </c>
      <c r="J435" s="22">
        <v>36</v>
      </c>
      <c r="K435" s="22">
        <v>14.5</v>
      </c>
      <c r="L435" s="23">
        <f t="shared" si="102"/>
        <v>522</v>
      </c>
      <c r="M435" s="23">
        <v>0</v>
      </c>
      <c r="N435" s="23">
        <v>0</v>
      </c>
      <c r="O435" s="112">
        <f t="shared" si="96"/>
        <v>522</v>
      </c>
      <c r="P435" s="33">
        <v>0.18</v>
      </c>
      <c r="Q435" s="115">
        <v>0</v>
      </c>
      <c r="R435" s="112">
        <f t="shared" si="104"/>
        <v>46.98</v>
      </c>
      <c r="S435" s="112">
        <f t="shared" si="105"/>
        <v>46.98</v>
      </c>
      <c r="T435" s="23">
        <v>0</v>
      </c>
      <c r="U435" s="112">
        <f t="shared" si="103"/>
        <v>615.96</v>
      </c>
    </row>
    <row r="436" spans="1:21" ht="17.100000000000001" customHeight="1" x14ac:dyDescent="0.25">
      <c r="A436" s="20">
        <f>IF(C436="","",COUNTA($C$4:C436))</f>
        <v>433</v>
      </c>
      <c r="B436" s="20" t="str">
        <f t="shared" si="101"/>
        <v>October</v>
      </c>
      <c r="C436" s="45">
        <v>45954</v>
      </c>
      <c r="D436" s="31" t="s">
        <v>1941</v>
      </c>
      <c r="E436" s="105" t="s">
        <v>1942</v>
      </c>
      <c r="F436" s="26" t="s">
        <v>1575</v>
      </c>
      <c r="G436" s="157" t="s">
        <v>260</v>
      </c>
      <c r="H436" s="106" t="s">
        <v>1939</v>
      </c>
      <c r="J436" s="22">
        <v>37</v>
      </c>
      <c r="K436" s="22">
        <v>19</v>
      </c>
      <c r="L436" s="23">
        <f t="shared" si="102"/>
        <v>703</v>
      </c>
      <c r="M436" s="23">
        <v>0</v>
      </c>
      <c r="N436" s="23">
        <v>0</v>
      </c>
      <c r="O436" s="112">
        <f t="shared" si="96"/>
        <v>703</v>
      </c>
      <c r="P436" s="33">
        <v>0.18</v>
      </c>
      <c r="Q436" s="115">
        <v>0</v>
      </c>
      <c r="R436" s="112">
        <f t="shared" si="104"/>
        <v>63.27</v>
      </c>
      <c r="S436" s="112">
        <f t="shared" si="105"/>
        <v>63.27</v>
      </c>
      <c r="T436" s="23">
        <v>0</v>
      </c>
      <c r="U436" s="112">
        <f t="shared" si="103"/>
        <v>829.54</v>
      </c>
    </row>
    <row r="437" spans="1:21" ht="17.100000000000001" customHeight="1" x14ac:dyDescent="0.25">
      <c r="A437" s="20">
        <f>IF(C437="","",COUNTA($C$4:C437))</f>
        <v>434</v>
      </c>
      <c r="B437" s="20" t="str">
        <f t="shared" si="101"/>
        <v>October</v>
      </c>
      <c r="C437" s="45">
        <v>45954</v>
      </c>
      <c r="D437" s="31" t="s">
        <v>1941</v>
      </c>
      <c r="E437" s="105" t="s">
        <v>1942</v>
      </c>
      <c r="F437" s="26" t="s">
        <v>1575</v>
      </c>
      <c r="G437" s="157" t="s">
        <v>260</v>
      </c>
      <c r="H437" s="106" t="s">
        <v>1943</v>
      </c>
      <c r="J437" s="22">
        <v>36</v>
      </c>
      <c r="K437" s="22">
        <v>20.5</v>
      </c>
      <c r="L437" s="23">
        <f t="shared" si="102"/>
        <v>738</v>
      </c>
      <c r="M437" s="23">
        <v>0</v>
      </c>
      <c r="N437" s="23">
        <v>0</v>
      </c>
      <c r="O437" s="112">
        <f t="shared" si="96"/>
        <v>738</v>
      </c>
      <c r="P437" s="33">
        <v>0.18</v>
      </c>
      <c r="Q437" s="115">
        <v>0</v>
      </c>
      <c r="R437" s="112">
        <f t="shared" si="104"/>
        <v>66.42</v>
      </c>
      <c r="S437" s="112">
        <f t="shared" si="105"/>
        <v>66.42</v>
      </c>
      <c r="T437" s="23">
        <v>0</v>
      </c>
      <c r="U437" s="112">
        <f t="shared" si="103"/>
        <v>870.83999999999992</v>
      </c>
    </row>
    <row r="438" spans="1:21" ht="17.100000000000001" customHeight="1" x14ac:dyDescent="0.25">
      <c r="A438" s="20">
        <f>IF(C438="","",COUNTA($C$4:C438))</f>
        <v>435</v>
      </c>
      <c r="B438" s="20" t="str">
        <f t="shared" si="101"/>
        <v>October</v>
      </c>
      <c r="C438" s="45">
        <v>45952</v>
      </c>
      <c r="D438" s="31" t="s">
        <v>1944</v>
      </c>
      <c r="E438" s="105" t="s">
        <v>1945</v>
      </c>
      <c r="F438" s="26" t="s">
        <v>1946</v>
      </c>
      <c r="G438" s="157" t="s">
        <v>836</v>
      </c>
      <c r="H438" s="106" t="s">
        <v>1947</v>
      </c>
      <c r="J438" s="22">
        <v>8</v>
      </c>
      <c r="K438" s="22">
        <v>2325</v>
      </c>
      <c r="L438" s="23">
        <f t="shared" si="102"/>
        <v>18600</v>
      </c>
      <c r="M438" s="23">
        <v>1300</v>
      </c>
      <c r="N438" s="23">
        <v>0</v>
      </c>
      <c r="O438" s="112">
        <f t="shared" si="96"/>
        <v>19900</v>
      </c>
      <c r="P438" s="33">
        <v>0.18</v>
      </c>
      <c r="Q438" s="115">
        <v>0</v>
      </c>
      <c r="R438" s="112">
        <f t="shared" si="104"/>
        <v>1791</v>
      </c>
      <c r="S438" s="112">
        <f t="shared" si="105"/>
        <v>1791</v>
      </c>
      <c r="T438" s="23">
        <v>0</v>
      </c>
      <c r="U438" s="112">
        <f t="shared" si="103"/>
        <v>23482</v>
      </c>
    </row>
    <row r="439" spans="1:21" ht="17.100000000000001" customHeight="1" x14ac:dyDescent="0.25">
      <c r="A439" s="20">
        <f>IF(C439="","",COUNTA($C$4:C439))</f>
        <v>436</v>
      </c>
      <c r="B439" s="20" t="str">
        <f t="shared" si="101"/>
        <v>October</v>
      </c>
      <c r="C439" s="29">
        <v>45953</v>
      </c>
      <c r="D439" s="31" t="s">
        <v>1948</v>
      </c>
      <c r="E439" s="105" t="s">
        <v>1949</v>
      </c>
      <c r="F439" s="26"/>
      <c r="G439" s="157" t="s">
        <v>735</v>
      </c>
      <c r="H439" s="26" t="s">
        <v>1279</v>
      </c>
      <c r="J439" s="22">
        <v>25000</v>
      </c>
      <c r="K439" s="22">
        <v>4</v>
      </c>
      <c r="L439" s="23">
        <f t="shared" si="102"/>
        <v>100000</v>
      </c>
      <c r="M439" s="23">
        <v>0</v>
      </c>
      <c r="N439" s="23">
        <v>0</v>
      </c>
      <c r="O439" s="112">
        <f t="shared" si="96"/>
        <v>100000</v>
      </c>
      <c r="P439" s="33">
        <v>0.18</v>
      </c>
      <c r="Q439" s="115">
        <v>0</v>
      </c>
      <c r="R439" s="112">
        <f t="shared" si="104"/>
        <v>9000</v>
      </c>
      <c r="S439" s="112">
        <f t="shared" si="105"/>
        <v>9000</v>
      </c>
      <c r="T439" s="23">
        <v>0</v>
      </c>
      <c r="U439" s="112">
        <f t="shared" si="103"/>
        <v>118000</v>
      </c>
    </row>
    <row r="440" spans="1:21" ht="17.100000000000001" customHeight="1" x14ac:dyDescent="0.25">
      <c r="A440" s="20">
        <f>IF(C440="","",COUNTA($C$4:C440))</f>
        <v>437</v>
      </c>
      <c r="B440" s="20" t="str">
        <f t="shared" si="101"/>
        <v>October</v>
      </c>
      <c r="C440" s="45">
        <v>45940</v>
      </c>
      <c r="D440" s="31" t="s">
        <v>1763</v>
      </c>
      <c r="E440" s="105" t="s">
        <v>1764</v>
      </c>
      <c r="F440" s="26" t="s">
        <v>1762</v>
      </c>
      <c r="G440" s="157" t="s">
        <v>502</v>
      </c>
      <c r="H440" s="106" t="s">
        <v>506</v>
      </c>
      <c r="I440" s="159" t="s">
        <v>266</v>
      </c>
      <c r="J440" s="22">
        <v>5090</v>
      </c>
      <c r="K440" s="22">
        <v>69</v>
      </c>
      <c r="L440" s="23">
        <f t="shared" si="102"/>
        <v>351210</v>
      </c>
      <c r="M440" s="23">
        <v>10500</v>
      </c>
      <c r="N440" s="23">
        <v>0</v>
      </c>
      <c r="O440" s="112">
        <f t="shared" si="96"/>
        <v>361710</v>
      </c>
      <c r="P440" s="33">
        <v>0.18</v>
      </c>
      <c r="Q440" s="115">
        <v>0</v>
      </c>
      <c r="R440" s="112">
        <f t="shared" si="104"/>
        <v>32553.9</v>
      </c>
      <c r="S440" s="112">
        <f t="shared" si="105"/>
        <v>32553.9</v>
      </c>
      <c r="T440" s="23">
        <v>0</v>
      </c>
      <c r="U440" s="112">
        <f t="shared" si="103"/>
        <v>426817.80000000005</v>
      </c>
    </row>
    <row r="441" spans="1:21" ht="17.100000000000001" customHeight="1" x14ac:dyDescent="0.25">
      <c r="A441" s="20">
        <f>IF(C441="","",COUNTA($C$4:C441))</f>
        <v>438</v>
      </c>
      <c r="B441" s="20" t="str">
        <f t="shared" si="101"/>
        <v>October</v>
      </c>
      <c r="C441" s="45">
        <v>45940</v>
      </c>
      <c r="D441" s="31" t="s">
        <v>1763</v>
      </c>
      <c r="E441" s="105" t="s">
        <v>1764</v>
      </c>
      <c r="F441" s="26" t="s">
        <v>1762</v>
      </c>
      <c r="G441" s="157" t="s">
        <v>502</v>
      </c>
      <c r="H441" s="106" t="s">
        <v>506</v>
      </c>
      <c r="I441" s="159" t="s">
        <v>266</v>
      </c>
      <c r="J441" s="22">
        <v>5060</v>
      </c>
      <c r="K441" s="22">
        <v>69</v>
      </c>
      <c r="L441" s="23">
        <f t="shared" si="102"/>
        <v>349140</v>
      </c>
      <c r="M441" s="23">
        <v>0</v>
      </c>
      <c r="N441" s="23">
        <v>0</v>
      </c>
      <c r="O441" s="112">
        <f t="shared" si="96"/>
        <v>349140</v>
      </c>
      <c r="P441" s="33">
        <v>0.18</v>
      </c>
      <c r="Q441" s="115">
        <v>0</v>
      </c>
      <c r="R441" s="112">
        <f t="shared" si="104"/>
        <v>31422.6</v>
      </c>
      <c r="S441" s="112">
        <f t="shared" si="105"/>
        <v>31422.6</v>
      </c>
      <c r="T441" s="23">
        <v>0</v>
      </c>
      <c r="U441" s="112">
        <f t="shared" si="103"/>
        <v>411985.19999999995</v>
      </c>
    </row>
    <row r="442" spans="1:21" ht="17.100000000000001" customHeight="1" x14ac:dyDescent="0.25">
      <c r="A442" s="20">
        <f>IF(C442="","",COUNTA($C$4:C442))</f>
        <v>439</v>
      </c>
      <c r="B442" s="20" t="str">
        <f t="shared" si="101"/>
        <v>October</v>
      </c>
      <c r="C442" s="45">
        <v>45940</v>
      </c>
      <c r="D442" s="31" t="s">
        <v>1763</v>
      </c>
      <c r="E442" s="105" t="s">
        <v>1764</v>
      </c>
      <c r="F442" s="26" t="s">
        <v>1762</v>
      </c>
      <c r="G442" s="157" t="s">
        <v>502</v>
      </c>
      <c r="H442" s="106" t="s">
        <v>503</v>
      </c>
      <c r="I442" s="159" t="s">
        <v>160</v>
      </c>
      <c r="J442" s="22">
        <v>5350</v>
      </c>
      <c r="K442" s="22">
        <v>68</v>
      </c>
      <c r="L442" s="23">
        <f t="shared" si="102"/>
        <v>363800</v>
      </c>
      <c r="M442" s="23">
        <v>0</v>
      </c>
      <c r="N442" s="23">
        <v>0</v>
      </c>
      <c r="O442" s="112">
        <f t="shared" si="96"/>
        <v>363800</v>
      </c>
      <c r="P442" s="33">
        <v>0.18</v>
      </c>
      <c r="Q442" s="115">
        <v>0</v>
      </c>
      <c r="R442" s="112">
        <f t="shared" si="104"/>
        <v>32742</v>
      </c>
      <c r="S442" s="112">
        <f t="shared" si="105"/>
        <v>32742</v>
      </c>
      <c r="T442" s="23">
        <v>0</v>
      </c>
      <c r="U442" s="112">
        <f t="shared" si="103"/>
        <v>429284</v>
      </c>
    </row>
    <row r="443" spans="1:21" ht="17.100000000000001" customHeight="1" x14ac:dyDescent="0.25">
      <c r="A443" s="20">
        <f>IF(C443="","",COUNTA($C$4:C443))</f>
        <v>440</v>
      </c>
      <c r="B443" s="20" t="str">
        <f t="shared" si="101"/>
        <v>October</v>
      </c>
      <c r="C443" s="45">
        <v>45955</v>
      </c>
      <c r="D443" s="31" t="s">
        <v>1956</v>
      </c>
      <c r="E443" s="105" t="s">
        <v>1957</v>
      </c>
      <c r="F443" s="26" t="s">
        <v>1958</v>
      </c>
      <c r="G443" s="157" t="s">
        <v>415</v>
      </c>
      <c r="H443" s="106" t="s">
        <v>1959</v>
      </c>
      <c r="J443" s="22">
        <v>1</v>
      </c>
      <c r="K443" s="22">
        <v>14786</v>
      </c>
      <c r="L443" s="23">
        <f t="shared" si="102"/>
        <v>14786</v>
      </c>
      <c r="M443" s="23">
        <v>1800</v>
      </c>
      <c r="N443" s="23">
        <v>0</v>
      </c>
      <c r="O443" s="112">
        <f t="shared" si="96"/>
        <v>16586</v>
      </c>
      <c r="P443" s="33">
        <v>0.18</v>
      </c>
      <c r="Q443" s="115">
        <v>0</v>
      </c>
      <c r="R443" s="112">
        <f t="shared" si="104"/>
        <v>1492.74</v>
      </c>
      <c r="S443" s="112">
        <f t="shared" si="105"/>
        <v>1492.74</v>
      </c>
      <c r="T443" s="23">
        <v>0</v>
      </c>
      <c r="U443" s="112">
        <f t="shared" si="103"/>
        <v>19571.480000000003</v>
      </c>
    </row>
    <row r="444" spans="1:21" ht="17.100000000000001" customHeight="1" x14ac:dyDescent="0.25">
      <c r="A444" s="20">
        <f>IF(C444="","",COUNTA($C$4:C444))</f>
        <v>441</v>
      </c>
      <c r="B444" s="20" t="str">
        <f t="shared" si="101"/>
        <v>October</v>
      </c>
      <c r="C444" s="45">
        <v>45955</v>
      </c>
      <c r="D444" s="31" t="s">
        <v>1956</v>
      </c>
      <c r="E444" s="105" t="s">
        <v>1957</v>
      </c>
      <c r="F444" s="26" t="s">
        <v>1958</v>
      </c>
      <c r="G444" s="157" t="s">
        <v>415</v>
      </c>
      <c r="H444" s="106" t="s">
        <v>1960</v>
      </c>
      <c r="J444" s="22">
        <v>4</v>
      </c>
      <c r="K444" s="22">
        <v>528</v>
      </c>
      <c r="L444" s="23">
        <f t="shared" si="102"/>
        <v>2112</v>
      </c>
      <c r="M444" s="23">
        <v>0</v>
      </c>
      <c r="N444" s="23">
        <v>0</v>
      </c>
      <c r="O444" s="112">
        <f t="shared" si="96"/>
        <v>2112</v>
      </c>
      <c r="P444" s="33">
        <v>0.18</v>
      </c>
      <c r="Q444" s="115">
        <v>0</v>
      </c>
      <c r="R444" s="112">
        <f t="shared" si="104"/>
        <v>190.08</v>
      </c>
      <c r="S444" s="112">
        <f t="shared" si="105"/>
        <v>190.08</v>
      </c>
      <c r="T444" s="23">
        <v>0</v>
      </c>
      <c r="U444" s="112">
        <f t="shared" si="103"/>
        <v>2492.16</v>
      </c>
    </row>
    <row r="445" spans="1:21" ht="17.100000000000001" customHeight="1" x14ac:dyDescent="0.25">
      <c r="A445" s="20">
        <f>IF(C445="","",COUNTA($C$4:C445))</f>
        <v>442</v>
      </c>
      <c r="B445" s="20" t="str">
        <f t="shared" si="101"/>
        <v>October</v>
      </c>
      <c r="C445" s="45">
        <v>45940</v>
      </c>
      <c r="D445" s="31" t="s">
        <v>1763</v>
      </c>
      <c r="E445" s="105" t="s">
        <v>1764</v>
      </c>
      <c r="F445" s="26" t="s">
        <v>1762</v>
      </c>
      <c r="G445" s="157" t="s">
        <v>502</v>
      </c>
      <c r="H445" s="106" t="s">
        <v>503</v>
      </c>
      <c r="I445" s="159" t="s">
        <v>160</v>
      </c>
      <c r="J445" s="22">
        <v>5280</v>
      </c>
      <c r="K445" s="22">
        <v>68</v>
      </c>
      <c r="L445" s="23">
        <f t="shared" si="102"/>
        <v>359040</v>
      </c>
      <c r="M445" s="23">
        <v>0</v>
      </c>
      <c r="N445" s="23">
        <v>0</v>
      </c>
      <c r="O445" s="112">
        <f t="shared" si="96"/>
        <v>359040</v>
      </c>
      <c r="P445" s="33">
        <v>0.18</v>
      </c>
      <c r="Q445" s="115">
        <v>0</v>
      </c>
      <c r="R445" s="112">
        <f t="shared" si="104"/>
        <v>32313.599999999999</v>
      </c>
      <c r="S445" s="112">
        <f t="shared" si="105"/>
        <v>32313.599999999999</v>
      </c>
      <c r="T445" s="23">
        <v>0</v>
      </c>
      <c r="U445" s="112">
        <f t="shared" si="103"/>
        <v>423667.19999999995</v>
      </c>
    </row>
    <row r="446" spans="1:21" ht="17.100000000000001" customHeight="1" x14ac:dyDescent="0.25">
      <c r="A446" s="20">
        <f>IF(C446="","",COUNTA($C$4:C446))</f>
        <v>443</v>
      </c>
      <c r="B446" s="20" t="str">
        <f t="shared" si="101"/>
        <v>October</v>
      </c>
      <c r="C446" s="45">
        <v>45944</v>
      </c>
      <c r="D446" s="31" t="s">
        <v>1773</v>
      </c>
      <c r="E446" s="105" t="s">
        <v>1774</v>
      </c>
      <c r="F446" s="26" t="s">
        <v>1762</v>
      </c>
      <c r="G446" s="157" t="s">
        <v>502</v>
      </c>
      <c r="H446" s="106" t="s">
        <v>506</v>
      </c>
      <c r="I446" s="159" t="s">
        <v>266</v>
      </c>
      <c r="J446" s="22">
        <v>5925</v>
      </c>
      <c r="K446" s="22">
        <v>69</v>
      </c>
      <c r="L446" s="23">
        <f t="shared" si="102"/>
        <v>408825</v>
      </c>
      <c r="M446" s="23">
        <v>10650</v>
      </c>
      <c r="N446" s="23">
        <v>150</v>
      </c>
      <c r="O446" s="112">
        <f t="shared" si="96"/>
        <v>419625</v>
      </c>
      <c r="P446" s="33">
        <v>0.18</v>
      </c>
      <c r="Q446" s="115">
        <v>0</v>
      </c>
      <c r="R446" s="112">
        <f t="shared" si="104"/>
        <v>37766.25</v>
      </c>
      <c r="S446" s="112">
        <f t="shared" si="105"/>
        <v>37766.25</v>
      </c>
      <c r="T446" s="23">
        <v>0</v>
      </c>
      <c r="U446" s="112">
        <f t="shared" si="103"/>
        <v>495157.5</v>
      </c>
    </row>
    <row r="447" spans="1:21" ht="17.100000000000001" customHeight="1" x14ac:dyDescent="0.25">
      <c r="A447" s="20">
        <f>IF(C447="","",COUNTA($C$4:C447))</f>
        <v>444</v>
      </c>
      <c r="B447" s="20" t="str">
        <f t="shared" si="101"/>
        <v>October</v>
      </c>
      <c r="C447" s="45">
        <v>45944</v>
      </c>
      <c r="D447" s="31" t="s">
        <v>1773</v>
      </c>
      <c r="E447" s="105" t="s">
        <v>1774</v>
      </c>
      <c r="F447" s="26" t="s">
        <v>1762</v>
      </c>
      <c r="G447" s="157" t="s">
        <v>502</v>
      </c>
      <c r="H447" s="106" t="s">
        <v>506</v>
      </c>
      <c r="I447" s="159" t="s">
        <v>266</v>
      </c>
      <c r="J447" s="22">
        <v>5950</v>
      </c>
      <c r="K447" s="22">
        <v>69</v>
      </c>
      <c r="L447" s="23">
        <f t="shared" si="102"/>
        <v>410550</v>
      </c>
      <c r="M447" s="23">
        <v>0</v>
      </c>
      <c r="N447" s="23">
        <v>0</v>
      </c>
      <c r="O447" s="112">
        <f t="shared" si="96"/>
        <v>410550</v>
      </c>
      <c r="P447" s="33">
        <v>0.18</v>
      </c>
      <c r="Q447" s="115">
        <v>0</v>
      </c>
      <c r="R447" s="112">
        <f t="shared" si="104"/>
        <v>36949.5</v>
      </c>
      <c r="S447" s="112">
        <f t="shared" si="105"/>
        <v>36949.5</v>
      </c>
      <c r="T447" s="23">
        <v>0</v>
      </c>
      <c r="U447" s="112">
        <f t="shared" si="103"/>
        <v>484449</v>
      </c>
    </row>
    <row r="448" spans="1:21" ht="17.100000000000001" customHeight="1" x14ac:dyDescent="0.25">
      <c r="A448" s="20">
        <f>IF(C448="","",COUNTA($C$4:C448))</f>
        <v>445</v>
      </c>
      <c r="B448" s="20" t="str">
        <f t="shared" si="101"/>
        <v>October</v>
      </c>
      <c r="C448" s="45">
        <v>45944</v>
      </c>
      <c r="D448" s="31" t="s">
        <v>1773</v>
      </c>
      <c r="E448" s="105" t="s">
        <v>1774</v>
      </c>
      <c r="F448" s="26" t="s">
        <v>1762</v>
      </c>
      <c r="G448" s="157" t="s">
        <v>502</v>
      </c>
      <c r="H448" s="106" t="s">
        <v>506</v>
      </c>
      <c r="I448" s="159" t="s">
        <v>266</v>
      </c>
      <c r="J448" s="22">
        <v>5340</v>
      </c>
      <c r="K448" s="22">
        <v>69</v>
      </c>
      <c r="L448" s="23">
        <f t="shared" si="102"/>
        <v>368460</v>
      </c>
      <c r="M448" s="23">
        <v>0</v>
      </c>
      <c r="N448" s="23">
        <v>0</v>
      </c>
      <c r="O448" s="112">
        <f t="shared" si="96"/>
        <v>368460</v>
      </c>
      <c r="P448" s="33">
        <v>0.18</v>
      </c>
      <c r="Q448" s="115">
        <v>0</v>
      </c>
      <c r="R448" s="112">
        <f t="shared" si="104"/>
        <v>33161.4</v>
      </c>
      <c r="S448" s="112">
        <f t="shared" si="105"/>
        <v>33161.4</v>
      </c>
      <c r="T448" s="23">
        <v>0</v>
      </c>
      <c r="U448" s="112">
        <f t="shared" si="103"/>
        <v>434782.80000000005</v>
      </c>
    </row>
    <row r="449" spans="1:21" ht="17.100000000000001" customHeight="1" x14ac:dyDescent="0.25">
      <c r="A449" s="20">
        <f>IF(C449="","",COUNTA($C$4:C449))</f>
        <v>446</v>
      </c>
      <c r="B449" s="20" t="str">
        <f t="shared" si="101"/>
        <v>October</v>
      </c>
      <c r="C449" s="45">
        <v>45955</v>
      </c>
      <c r="D449" s="31" t="s">
        <v>1968</v>
      </c>
      <c r="E449" s="105" t="s">
        <v>1969</v>
      </c>
      <c r="F449" s="26"/>
      <c r="G449" s="157" t="s">
        <v>342</v>
      </c>
      <c r="H449" s="106" t="s">
        <v>207</v>
      </c>
      <c r="L449" s="23">
        <v>8605</v>
      </c>
      <c r="M449" s="23">
        <v>0</v>
      </c>
      <c r="N449" s="23">
        <v>0</v>
      </c>
      <c r="O449" s="112">
        <f t="shared" si="96"/>
        <v>8605</v>
      </c>
      <c r="P449" s="33">
        <v>0.18</v>
      </c>
      <c r="Q449" s="115">
        <v>0</v>
      </c>
      <c r="R449" s="112">
        <f t="shared" si="104"/>
        <v>774.45</v>
      </c>
      <c r="S449" s="112">
        <f t="shared" si="105"/>
        <v>774.45</v>
      </c>
      <c r="T449" s="23">
        <v>0</v>
      </c>
      <c r="U449" s="112">
        <f t="shared" si="103"/>
        <v>10153.900000000001</v>
      </c>
    </row>
    <row r="450" spans="1:21" ht="17.100000000000001" customHeight="1" x14ac:dyDescent="0.25">
      <c r="A450" s="20">
        <f>IF(C450="","",COUNTA($C$4:C450))</f>
        <v>447</v>
      </c>
      <c r="B450" s="20" t="str">
        <f t="shared" si="101"/>
        <v>October</v>
      </c>
      <c r="C450" s="45">
        <v>45955</v>
      </c>
      <c r="D450" s="31" t="s">
        <v>1970</v>
      </c>
      <c r="E450" s="105" t="s">
        <v>1971</v>
      </c>
      <c r="F450" s="26"/>
      <c r="G450" s="157" t="s">
        <v>342</v>
      </c>
      <c r="H450" s="106" t="s">
        <v>207</v>
      </c>
      <c r="L450" s="23">
        <v>16600</v>
      </c>
      <c r="M450" s="23">
        <v>0</v>
      </c>
      <c r="N450" s="23">
        <v>0</v>
      </c>
      <c r="O450" s="112">
        <f t="shared" si="96"/>
        <v>16600</v>
      </c>
      <c r="P450" s="33">
        <v>0.18</v>
      </c>
      <c r="Q450" s="115">
        <v>0</v>
      </c>
      <c r="R450" s="112">
        <f t="shared" si="104"/>
        <v>1494</v>
      </c>
      <c r="S450" s="112">
        <f t="shared" si="105"/>
        <v>1494</v>
      </c>
      <c r="T450" s="23">
        <v>0</v>
      </c>
      <c r="U450" s="112">
        <f t="shared" si="103"/>
        <v>19588</v>
      </c>
    </row>
    <row r="451" spans="1:21" ht="17.100000000000001" customHeight="1" x14ac:dyDescent="0.25">
      <c r="A451" s="20">
        <f>IF(C451="","",COUNTA($C$4:C451))</f>
        <v>448</v>
      </c>
      <c r="B451" s="20" t="str">
        <f t="shared" si="101"/>
        <v>October</v>
      </c>
      <c r="C451" s="45">
        <v>45958</v>
      </c>
      <c r="D451" s="31" t="s">
        <v>1993</v>
      </c>
      <c r="E451" s="105" t="s">
        <v>1994</v>
      </c>
      <c r="F451" s="26"/>
      <c r="G451" s="157" t="s">
        <v>415</v>
      </c>
      <c r="H451" s="106" t="s">
        <v>207</v>
      </c>
      <c r="L451" s="23">
        <v>1473.6</v>
      </c>
      <c r="M451" s="23">
        <v>0</v>
      </c>
      <c r="N451" s="23">
        <v>0</v>
      </c>
      <c r="O451" s="112">
        <f t="shared" si="96"/>
        <v>1473.6</v>
      </c>
      <c r="P451" s="33">
        <v>0.18</v>
      </c>
      <c r="Q451" s="115">
        <v>0</v>
      </c>
      <c r="R451" s="112">
        <f t="shared" si="104"/>
        <v>132.624</v>
      </c>
      <c r="S451" s="112">
        <f t="shared" si="105"/>
        <v>132.624</v>
      </c>
      <c r="T451" s="23">
        <v>0</v>
      </c>
      <c r="U451" s="112">
        <f t="shared" si="103"/>
        <v>1738.848</v>
      </c>
    </row>
    <row r="452" spans="1:21" ht="17.100000000000001" customHeight="1" x14ac:dyDescent="0.25">
      <c r="A452" s="20">
        <f>IF(C452="","",COUNTA($C$4:C452))</f>
        <v>449</v>
      </c>
      <c r="B452" s="20" t="str">
        <f t="shared" si="101"/>
        <v>April</v>
      </c>
      <c r="C452" s="29">
        <v>45755</v>
      </c>
      <c r="D452" s="31" t="s">
        <v>90</v>
      </c>
      <c r="E452" s="106" t="s">
        <v>91</v>
      </c>
      <c r="F452" s="25" t="s">
        <v>92</v>
      </c>
      <c r="G452" s="158" t="s">
        <v>93</v>
      </c>
      <c r="H452" s="106" t="s">
        <v>94</v>
      </c>
      <c r="J452" s="22">
        <v>1776</v>
      </c>
      <c r="K452" s="64">
        <v>101</v>
      </c>
      <c r="L452" s="23">
        <f>J452*K452</f>
        <v>179376</v>
      </c>
      <c r="M452" s="23">
        <v>0</v>
      </c>
      <c r="N452" s="23">
        <v>0</v>
      </c>
      <c r="O452" s="112">
        <f t="shared" si="96"/>
        <v>179376</v>
      </c>
      <c r="P452" s="33">
        <v>0.18</v>
      </c>
      <c r="Q452" s="119">
        <f>O452*18/100</f>
        <v>32287.68</v>
      </c>
      <c r="R452" s="115">
        <v>0</v>
      </c>
      <c r="S452" s="115">
        <v>0</v>
      </c>
      <c r="T452" s="23">
        <v>0</v>
      </c>
      <c r="U452" s="112">
        <f>O452+Q452</f>
        <v>211663.68</v>
      </c>
    </row>
    <row r="453" spans="1:21" ht="17.100000000000001" customHeight="1" x14ac:dyDescent="0.25">
      <c r="A453" s="20">
        <f>IF(C453="","",COUNTA($C$4:C453))</f>
        <v>450</v>
      </c>
      <c r="B453" s="20" t="str">
        <f t="shared" si="101"/>
        <v>April</v>
      </c>
      <c r="C453" s="29">
        <v>45757</v>
      </c>
      <c r="D453" s="31" t="s">
        <v>102</v>
      </c>
      <c r="E453" s="106" t="s">
        <v>103</v>
      </c>
      <c r="F453" s="26" t="s">
        <v>104</v>
      </c>
      <c r="G453" s="158" t="s">
        <v>93</v>
      </c>
      <c r="H453" s="106" t="s">
        <v>105</v>
      </c>
      <c r="J453" s="22">
        <v>1504</v>
      </c>
      <c r="K453" s="64">
        <v>555</v>
      </c>
      <c r="L453" s="23">
        <f>J453*K453</f>
        <v>834720</v>
      </c>
      <c r="M453" s="23">
        <v>0</v>
      </c>
      <c r="N453" s="23">
        <v>0</v>
      </c>
      <c r="O453" s="112">
        <f t="shared" si="96"/>
        <v>834720</v>
      </c>
      <c r="P453" s="33">
        <v>0.18</v>
      </c>
      <c r="Q453" s="118">
        <f>O453*18/100</f>
        <v>150249.60000000001</v>
      </c>
      <c r="R453" s="115">
        <v>0</v>
      </c>
      <c r="S453" s="115">
        <v>0</v>
      </c>
      <c r="T453" s="23">
        <v>0</v>
      </c>
      <c r="U453" s="112">
        <f>O453+Q453</f>
        <v>984969.6</v>
      </c>
    </row>
    <row r="454" spans="1:21" ht="17.100000000000001" customHeight="1" x14ac:dyDescent="0.25">
      <c r="A454" s="20">
        <f>IF(C454="","",COUNTA($C$4:C454))</f>
        <v>451</v>
      </c>
      <c r="B454" s="20" t="str">
        <f t="shared" si="101"/>
        <v>April</v>
      </c>
      <c r="C454" s="45">
        <v>45768</v>
      </c>
      <c r="D454" s="31" t="s">
        <v>186</v>
      </c>
      <c r="E454" s="105" t="s">
        <v>188</v>
      </c>
      <c r="F454" s="26" t="s">
        <v>104</v>
      </c>
      <c r="G454" s="157" t="s">
        <v>93</v>
      </c>
      <c r="H454" s="106" t="s">
        <v>189</v>
      </c>
      <c r="J454" s="22">
        <v>3384</v>
      </c>
      <c r="K454" s="64">
        <v>101</v>
      </c>
      <c r="L454" s="23">
        <f>J454*K454</f>
        <v>341784</v>
      </c>
      <c r="M454" s="23">
        <v>0</v>
      </c>
      <c r="N454" s="23">
        <v>0</v>
      </c>
      <c r="O454" s="112">
        <f t="shared" si="96"/>
        <v>341784</v>
      </c>
      <c r="P454" s="33">
        <v>0.18</v>
      </c>
      <c r="Q454" s="118">
        <f>O454*18/100</f>
        <v>61521.120000000003</v>
      </c>
      <c r="R454" s="115">
        <v>0</v>
      </c>
      <c r="S454" s="115">
        <v>0</v>
      </c>
      <c r="T454" s="23">
        <v>0</v>
      </c>
      <c r="U454" s="112">
        <f>O454+Q454</f>
        <v>403305.12</v>
      </c>
    </row>
    <row r="455" spans="1:21" ht="17.100000000000001" customHeight="1" x14ac:dyDescent="0.25">
      <c r="A455" s="20">
        <f>IF(C455="","",COUNTA($C$4:C455))</f>
        <v>452</v>
      </c>
      <c r="B455" s="20" t="str">
        <f t="shared" si="101"/>
        <v>October</v>
      </c>
      <c r="C455" s="45">
        <v>45959</v>
      </c>
      <c r="D455" s="31" t="s">
        <v>2001</v>
      </c>
      <c r="E455" s="105" t="s">
        <v>2002</v>
      </c>
      <c r="F455" s="26" t="s">
        <v>2003</v>
      </c>
      <c r="G455" s="157" t="s">
        <v>836</v>
      </c>
      <c r="H455" s="106" t="s">
        <v>207</v>
      </c>
      <c r="L455" s="23">
        <v>47731.88</v>
      </c>
      <c r="M455" s="23">
        <v>3850</v>
      </c>
      <c r="N455" s="23">
        <v>0</v>
      </c>
      <c r="O455" s="112">
        <f t="shared" ref="O455:O518" si="106">L455+M455+N455</f>
        <v>51581.88</v>
      </c>
      <c r="P455" s="33">
        <v>0.18</v>
      </c>
      <c r="Q455" s="119">
        <v>0</v>
      </c>
      <c r="R455" s="112">
        <f>O455*9/100</f>
        <v>4642.3692000000001</v>
      </c>
      <c r="S455" s="112">
        <f>O455*9/100</f>
        <v>4642.3692000000001</v>
      </c>
      <c r="T455" s="23">
        <v>0</v>
      </c>
      <c r="U455" s="112">
        <f>O455+R455+S455</f>
        <v>60866.618399999999</v>
      </c>
    </row>
    <row r="456" spans="1:21" ht="17.100000000000001" customHeight="1" x14ac:dyDescent="0.25">
      <c r="A456" s="20">
        <f>IF(C456="","",COUNTA($C$4:C456))</f>
        <v>453</v>
      </c>
      <c r="B456" s="20" t="str">
        <f t="shared" si="101"/>
        <v>October</v>
      </c>
      <c r="C456" s="45">
        <v>45959</v>
      </c>
      <c r="D456" s="31" t="s">
        <v>2004</v>
      </c>
      <c r="E456" s="105" t="s">
        <v>2005</v>
      </c>
      <c r="F456" s="26" t="s">
        <v>1600</v>
      </c>
      <c r="G456" s="157" t="s">
        <v>254</v>
      </c>
      <c r="H456" s="106" t="s">
        <v>1597</v>
      </c>
      <c r="J456" s="22">
        <v>13950</v>
      </c>
      <c r="K456" s="22">
        <v>6.5</v>
      </c>
      <c r="L456" s="23">
        <f>J456*K456</f>
        <v>90675</v>
      </c>
      <c r="M456" s="23">
        <v>0</v>
      </c>
      <c r="N456" s="23">
        <v>0</v>
      </c>
      <c r="O456" s="112">
        <f t="shared" si="106"/>
        <v>90675</v>
      </c>
      <c r="P456" s="33">
        <v>0.18</v>
      </c>
      <c r="Q456" s="119">
        <v>0</v>
      </c>
      <c r="R456" s="112">
        <f>O456*9/100</f>
        <v>8160.75</v>
      </c>
      <c r="S456" s="112">
        <f>O456*9/100</f>
        <v>8160.75</v>
      </c>
      <c r="T456" s="23">
        <v>0</v>
      </c>
      <c r="U456" s="112">
        <f>O456+R456+S456</f>
        <v>106996.5</v>
      </c>
    </row>
    <row r="457" spans="1:21" ht="17.100000000000001" customHeight="1" x14ac:dyDescent="0.25">
      <c r="A457" s="20">
        <f>IF(C457="","",COUNTA($C$4:C457))</f>
        <v>454</v>
      </c>
      <c r="B457" s="20" t="str">
        <f t="shared" si="101"/>
        <v>October</v>
      </c>
      <c r="C457" s="45">
        <v>45960</v>
      </c>
      <c r="D457" s="31" t="s">
        <v>2006</v>
      </c>
      <c r="E457" s="105" t="s">
        <v>2007</v>
      </c>
      <c r="F457" s="26" t="s">
        <v>1575</v>
      </c>
      <c r="G457" s="157" t="s">
        <v>260</v>
      </c>
      <c r="H457" s="106" t="s">
        <v>667</v>
      </c>
      <c r="J457" s="22">
        <v>62</v>
      </c>
      <c r="K457" s="22">
        <v>18</v>
      </c>
      <c r="L457" s="23">
        <f>J457*K457</f>
        <v>1116</v>
      </c>
      <c r="M457" s="23">
        <v>0</v>
      </c>
      <c r="N457" s="23">
        <v>0</v>
      </c>
      <c r="O457" s="112">
        <f t="shared" si="106"/>
        <v>1116</v>
      </c>
      <c r="P457" s="33">
        <v>0.18</v>
      </c>
      <c r="Q457" s="115">
        <v>0</v>
      </c>
      <c r="R457" s="112">
        <f>O457*9/100</f>
        <v>100.44</v>
      </c>
      <c r="S457" s="112">
        <f>O457*9/100</f>
        <v>100.44</v>
      </c>
      <c r="T457" s="23">
        <v>0</v>
      </c>
      <c r="U457" s="112">
        <f>O457+R457+S457</f>
        <v>1316.88</v>
      </c>
    </row>
    <row r="458" spans="1:21" ht="17.100000000000001" customHeight="1" x14ac:dyDescent="0.25">
      <c r="A458" s="20">
        <f>IF(C458="","",COUNTA($C$4:C458))</f>
        <v>455</v>
      </c>
      <c r="B458" s="20" t="str">
        <f t="shared" si="101"/>
        <v>October</v>
      </c>
      <c r="C458" s="45">
        <v>45960</v>
      </c>
      <c r="D458" s="31" t="s">
        <v>2006</v>
      </c>
      <c r="E458" s="105" t="s">
        <v>2007</v>
      </c>
      <c r="F458" s="26" t="s">
        <v>1575</v>
      </c>
      <c r="G458" s="157" t="s">
        <v>260</v>
      </c>
      <c r="H458" s="106" t="s">
        <v>1746</v>
      </c>
      <c r="J458" s="22">
        <v>5</v>
      </c>
      <c r="K458" s="22">
        <v>14.5</v>
      </c>
      <c r="L458" s="23">
        <f>J458*K458</f>
        <v>72.5</v>
      </c>
      <c r="M458" s="23">
        <v>0</v>
      </c>
      <c r="N458" s="23"/>
      <c r="O458" s="112">
        <f t="shared" si="106"/>
        <v>72.5</v>
      </c>
      <c r="P458" s="33">
        <v>0.18</v>
      </c>
      <c r="Q458" s="115">
        <v>0</v>
      </c>
      <c r="R458" s="112">
        <f>O458*9/100</f>
        <v>6.5250000000000004</v>
      </c>
      <c r="S458" s="112">
        <f>O458*9/100</f>
        <v>6.5250000000000004</v>
      </c>
      <c r="T458" s="23">
        <v>0</v>
      </c>
      <c r="U458" s="112">
        <f>O458+R458+S458</f>
        <v>85.550000000000011</v>
      </c>
    </row>
    <row r="459" spans="1:21" ht="17.100000000000001" customHeight="1" x14ac:dyDescent="0.25">
      <c r="A459" s="20">
        <f>IF(C459="","",COUNTA($C$4:C459))</f>
        <v>456</v>
      </c>
      <c r="B459" s="20" t="str">
        <f t="shared" si="101"/>
        <v>October</v>
      </c>
      <c r="C459" s="45">
        <v>45960</v>
      </c>
      <c r="D459" s="31" t="s">
        <v>2008</v>
      </c>
      <c r="E459" s="105" t="s">
        <v>2009</v>
      </c>
      <c r="F459" s="26" t="s">
        <v>2010</v>
      </c>
      <c r="G459" s="157" t="s">
        <v>2011</v>
      </c>
      <c r="H459" s="106" t="s">
        <v>2012</v>
      </c>
      <c r="J459" s="22">
        <v>1.35</v>
      </c>
      <c r="K459" s="22">
        <v>3000</v>
      </c>
      <c r="L459" s="23">
        <f>J459*K459</f>
        <v>4050.0000000000005</v>
      </c>
      <c r="M459" s="23">
        <v>0</v>
      </c>
      <c r="N459" s="23">
        <v>0</v>
      </c>
      <c r="O459" s="112">
        <f t="shared" si="106"/>
        <v>4050.0000000000005</v>
      </c>
      <c r="P459" s="33">
        <v>0.18</v>
      </c>
      <c r="Q459" s="115">
        <v>0</v>
      </c>
      <c r="R459" s="112">
        <f>O459*9/100</f>
        <v>364.50000000000006</v>
      </c>
      <c r="S459" s="112">
        <f>O459*9/100</f>
        <v>364.50000000000006</v>
      </c>
      <c r="T459" s="23">
        <v>0</v>
      </c>
      <c r="U459" s="112">
        <f>O459+R459+S459</f>
        <v>4779.0000000000009</v>
      </c>
    </row>
    <row r="460" spans="1:21" ht="17.100000000000001" customHeight="1" x14ac:dyDescent="0.25">
      <c r="A460" s="20">
        <f>IF(C460="","",COUNTA($C$4:C460))</f>
        <v>457</v>
      </c>
      <c r="B460" s="20" t="str">
        <f t="shared" si="101"/>
        <v>October</v>
      </c>
      <c r="C460" s="45">
        <v>45961</v>
      </c>
      <c r="D460" s="31" t="s">
        <v>2013</v>
      </c>
      <c r="E460" s="105" t="s">
        <v>2014</v>
      </c>
      <c r="F460" s="26" t="s">
        <v>2015</v>
      </c>
      <c r="G460" s="157" t="s">
        <v>2016</v>
      </c>
      <c r="H460" s="106" t="s">
        <v>2017</v>
      </c>
      <c r="J460" s="22">
        <v>2</v>
      </c>
      <c r="K460" s="22">
        <v>29080</v>
      </c>
      <c r="L460" s="23">
        <f>J460*K460-12992</f>
        <v>45168</v>
      </c>
      <c r="M460" s="23">
        <v>0</v>
      </c>
      <c r="N460" s="23">
        <v>0</v>
      </c>
      <c r="O460" s="112">
        <f t="shared" si="106"/>
        <v>45168</v>
      </c>
      <c r="P460" s="33">
        <v>0.18</v>
      </c>
      <c r="Q460" s="118">
        <f>O460*18/100</f>
        <v>8130.24</v>
      </c>
      <c r="R460" s="115">
        <v>0</v>
      </c>
      <c r="S460" s="115">
        <v>0</v>
      </c>
      <c r="T460" s="23">
        <v>0</v>
      </c>
      <c r="U460" s="112">
        <f>O460+Q460</f>
        <v>53298.239999999998</v>
      </c>
    </row>
    <row r="461" spans="1:21" ht="17.100000000000001" customHeight="1" x14ac:dyDescent="0.25">
      <c r="A461" s="20">
        <f>IF(C461="","",COUNTA($C$4:C461))</f>
        <v>458</v>
      </c>
      <c r="B461" s="20" t="str">
        <f t="shared" si="101"/>
        <v>October</v>
      </c>
      <c r="C461" s="45">
        <v>45961</v>
      </c>
      <c r="D461" s="31" t="s">
        <v>2013</v>
      </c>
      <c r="E461" s="105" t="s">
        <v>2014</v>
      </c>
      <c r="F461" s="26" t="s">
        <v>2015</v>
      </c>
      <c r="G461" s="157" t="s">
        <v>2016</v>
      </c>
      <c r="H461" s="106" t="s">
        <v>2018</v>
      </c>
      <c r="J461" s="22">
        <v>2</v>
      </c>
      <c r="K461" s="22">
        <v>21630</v>
      </c>
      <c r="L461" s="23">
        <f>J461*K461-9660</f>
        <v>33600</v>
      </c>
      <c r="M461" s="23">
        <v>0</v>
      </c>
      <c r="N461" s="23">
        <v>0</v>
      </c>
      <c r="O461" s="112">
        <f t="shared" si="106"/>
        <v>33600</v>
      </c>
      <c r="P461" s="33">
        <v>0.18</v>
      </c>
      <c r="Q461" s="118">
        <f>O461*18/100</f>
        <v>6048</v>
      </c>
      <c r="R461" s="115">
        <v>0</v>
      </c>
      <c r="S461" s="115">
        <v>0</v>
      </c>
      <c r="T461" s="23">
        <v>0</v>
      </c>
      <c r="U461" s="112">
        <f>O461+Q461</f>
        <v>39648</v>
      </c>
    </row>
    <row r="462" spans="1:21" ht="17.100000000000001" customHeight="1" x14ac:dyDescent="0.25">
      <c r="A462" s="20">
        <f>IF(C462="","",COUNTA($C$4:C462))</f>
        <v>459</v>
      </c>
      <c r="B462" s="20" t="str">
        <f t="shared" si="101"/>
        <v>October</v>
      </c>
      <c r="C462" s="45">
        <v>45961</v>
      </c>
      <c r="D462" s="31" t="s">
        <v>2019</v>
      </c>
      <c r="E462" s="105" t="s">
        <v>2020</v>
      </c>
      <c r="F462" s="26" t="s">
        <v>2021</v>
      </c>
      <c r="G462" s="157" t="s">
        <v>1733</v>
      </c>
      <c r="H462" s="106" t="s">
        <v>2022</v>
      </c>
      <c r="J462" s="22">
        <v>1</v>
      </c>
      <c r="K462" s="22">
        <v>13543</v>
      </c>
      <c r="L462" s="23">
        <f>J462*K462</f>
        <v>13543</v>
      </c>
      <c r="M462" s="23">
        <v>0</v>
      </c>
      <c r="N462" s="23">
        <v>0</v>
      </c>
      <c r="O462" s="112">
        <f t="shared" si="106"/>
        <v>13543</v>
      </c>
      <c r="P462" s="33">
        <v>0.18</v>
      </c>
      <c r="Q462" s="115">
        <v>0</v>
      </c>
      <c r="R462" s="112">
        <f>O462*9/100</f>
        <v>1218.8699999999999</v>
      </c>
      <c r="S462" s="112">
        <f>O462*9/100</f>
        <v>1218.8699999999999</v>
      </c>
      <c r="T462" s="23">
        <v>0</v>
      </c>
      <c r="U462" s="112">
        <f>O462+R462+S462</f>
        <v>15980.739999999998</v>
      </c>
    </row>
    <row r="463" spans="1:21" ht="17.100000000000001" customHeight="1" x14ac:dyDescent="0.25">
      <c r="A463" s="20">
        <f>IF(C463="","",COUNTA($C$4:C463))</f>
        <v>460</v>
      </c>
      <c r="B463" s="20" t="str">
        <f t="shared" si="101"/>
        <v>October</v>
      </c>
      <c r="C463" s="45">
        <v>45961</v>
      </c>
      <c r="D463" s="31" t="s">
        <v>2023</v>
      </c>
      <c r="E463" s="105" t="s">
        <v>2024</v>
      </c>
      <c r="F463" s="26" t="s">
        <v>2025</v>
      </c>
      <c r="G463" s="157" t="s">
        <v>836</v>
      </c>
      <c r="H463" s="106" t="s">
        <v>207</v>
      </c>
      <c r="L463" s="23">
        <v>4430</v>
      </c>
      <c r="M463" s="23">
        <v>950</v>
      </c>
      <c r="N463" s="23">
        <v>0</v>
      </c>
      <c r="O463" s="112">
        <f t="shared" si="106"/>
        <v>5380</v>
      </c>
      <c r="P463" s="33">
        <v>0.18</v>
      </c>
      <c r="Q463" s="115">
        <v>0</v>
      </c>
      <c r="R463" s="112">
        <f>O463*9/100</f>
        <v>484.2</v>
      </c>
      <c r="S463" s="112">
        <f>O463*9/100</f>
        <v>484.2</v>
      </c>
      <c r="T463" s="23">
        <v>0</v>
      </c>
      <c r="U463" s="112">
        <f>O463+R463+S463</f>
        <v>6348.4</v>
      </c>
    </row>
    <row r="464" spans="1:21" ht="17.100000000000001" customHeight="1" x14ac:dyDescent="0.25">
      <c r="A464" s="20">
        <f>IF(C464="","",COUNTA($C$4:C464))</f>
        <v>461</v>
      </c>
      <c r="B464" s="20" t="str">
        <f t="shared" si="101"/>
        <v>October</v>
      </c>
      <c r="C464" s="45">
        <v>45961</v>
      </c>
      <c r="D464" s="31" t="s">
        <v>2071</v>
      </c>
      <c r="E464" s="105" t="s">
        <v>2072</v>
      </c>
      <c r="F464" s="26" t="s">
        <v>2073</v>
      </c>
      <c r="G464" s="157" t="s">
        <v>254</v>
      </c>
      <c r="H464" s="106" t="s">
        <v>2074</v>
      </c>
      <c r="J464" s="22">
        <v>15300</v>
      </c>
      <c r="K464" s="22">
        <v>7.5</v>
      </c>
      <c r="L464" s="23">
        <f>J464*K464</f>
        <v>114750</v>
      </c>
      <c r="M464" s="23">
        <v>0</v>
      </c>
      <c r="N464" s="23">
        <v>0</v>
      </c>
      <c r="O464" s="112">
        <f t="shared" si="106"/>
        <v>114750</v>
      </c>
      <c r="P464" s="33">
        <v>0.18</v>
      </c>
      <c r="Q464" s="115">
        <v>0</v>
      </c>
      <c r="R464" s="112">
        <f>O464*9/100</f>
        <v>10327.5</v>
      </c>
      <c r="S464" s="112">
        <f>O464*9/100</f>
        <v>10327.5</v>
      </c>
      <c r="T464" s="23">
        <v>0</v>
      </c>
      <c r="U464" s="112">
        <f>O464+R464+S464</f>
        <v>135405</v>
      </c>
    </row>
    <row r="465" spans="1:21" ht="17.100000000000001" customHeight="1" x14ac:dyDescent="0.25">
      <c r="A465" s="20">
        <f>IF(C465="","",COUNTA($C$4:C465))</f>
        <v>462</v>
      </c>
      <c r="B465" s="20" t="str">
        <f t="shared" si="101"/>
        <v>April</v>
      </c>
      <c r="C465" s="45">
        <v>45770</v>
      </c>
      <c r="D465" s="31" t="s">
        <v>236</v>
      </c>
      <c r="E465" s="105" t="s">
        <v>237</v>
      </c>
      <c r="F465" s="26" t="s">
        <v>184</v>
      </c>
      <c r="G465" s="157" t="s">
        <v>93</v>
      </c>
      <c r="H465" s="106" t="s">
        <v>238</v>
      </c>
      <c r="J465" s="22">
        <v>1200</v>
      </c>
      <c r="K465" s="64">
        <v>279</v>
      </c>
      <c r="L465" s="23">
        <f>J465*K465</f>
        <v>334800</v>
      </c>
      <c r="M465" s="23">
        <v>0</v>
      </c>
      <c r="N465" s="23">
        <v>0</v>
      </c>
      <c r="O465" s="112">
        <f t="shared" si="106"/>
        <v>334800</v>
      </c>
      <c r="P465" s="33">
        <v>0.18</v>
      </c>
      <c r="Q465" s="118">
        <f>O465*18/100</f>
        <v>60264</v>
      </c>
      <c r="R465" s="115">
        <v>0</v>
      </c>
      <c r="S465" s="115">
        <v>0</v>
      </c>
      <c r="T465" s="23">
        <v>0</v>
      </c>
      <c r="U465" s="112">
        <f>O465+Q465</f>
        <v>395064</v>
      </c>
    </row>
    <row r="466" spans="1:21" ht="17.100000000000001" customHeight="1" x14ac:dyDescent="0.25">
      <c r="A466" s="20">
        <f>IF(C466="","",COUNTA($C$4:C466))</f>
        <v>463</v>
      </c>
      <c r="B466" s="20" t="str">
        <f t="shared" si="101"/>
        <v>April</v>
      </c>
      <c r="C466" s="45">
        <v>45770</v>
      </c>
      <c r="D466" s="31" t="s">
        <v>236</v>
      </c>
      <c r="E466" s="105" t="s">
        <v>237</v>
      </c>
      <c r="F466" s="26" t="s">
        <v>184</v>
      </c>
      <c r="G466" s="157" t="s">
        <v>93</v>
      </c>
      <c r="H466" s="106" t="s">
        <v>239</v>
      </c>
      <c r="J466" s="22">
        <v>672</v>
      </c>
      <c r="K466" s="64">
        <v>304</v>
      </c>
      <c r="L466" s="23">
        <f>J466*K466</f>
        <v>204288</v>
      </c>
      <c r="M466" s="23">
        <v>0</v>
      </c>
      <c r="N466" s="23">
        <v>0</v>
      </c>
      <c r="O466" s="112">
        <f t="shared" si="106"/>
        <v>204288</v>
      </c>
      <c r="P466" s="33">
        <v>0.18</v>
      </c>
      <c r="Q466" s="118">
        <f>O466*18/100</f>
        <v>36771.839999999997</v>
      </c>
      <c r="R466" s="115">
        <v>0</v>
      </c>
      <c r="S466" s="115">
        <v>0</v>
      </c>
      <c r="T466" s="23">
        <v>0</v>
      </c>
      <c r="U466" s="112">
        <f>O466+Q466</f>
        <v>241059.84</v>
      </c>
    </row>
    <row r="467" spans="1:21" ht="17.100000000000001" customHeight="1" x14ac:dyDescent="0.25">
      <c r="A467" s="20">
        <f>IF(C467="","",COUNTA($C$4:C467))</f>
        <v>464</v>
      </c>
      <c r="B467" s="20" t="str">
        <f t="shared" si="101"/>
        <v>November</v>
      </c>
      <c r="C467" s="45">
        <v>45973</v>
      </c>
      <c r="D467" s="31" t="s">
        <v>2132</v>
      </c>
      <c r="E467" s="105" t="s">
        <v>2133</v>
      </c>
      <c r="F467" s="26" t="s">
        <v>2134</v>
      </c>
      <c r="G467" s="157" t="s">
        <v>2135</v>
      </c>
      <c r="H467" s="106" t="s">
        <v>2136</v>
      </c>
      <c r="J467" s="22">
        <v>5</v>
      </c>
      <c r="K467" s="22">
        <v>700</v>
      </c>
      <c r="L467" s="23">
        <f>J467*K467</f>
        <v>3500</v>
      </c>
      <c r="M467" s="23">
        <v>0</v>
      </c>
      <c r="N467" s="23">
        <v>0</v>
      </c>
      <c r="O467" s="112">
        <f t="shared" si="106"/>
        <v>3500</v>
      </c>
      <c r="P467" s="33">
        <v>0.18</v>
      </c>
      <c r="Q467" s="119">
        <v>0</v>
      </c>
      <c r="R467" s="112">
        <f>O467*9/100</f>
        <v>315</v>
      </c>
      <c r="S467" s="112">
        <f>O467*9/100</f>
        <v>315</v>
      </c>
      <c r="T467" s="23">
        <v>0</v>
      </c>
      <c r="U467" s="112">
        <f t="shared" ref="U467:U472" si="107">O467+R467+S467</f>
        <v>4130</v>
      </c>
    </row>
    <row r="468" spans="1:21" ht="17.100000000000001" customHeight="1" x14ac:dyDescent="0.25">
      <c r="A468" s="20">
        <f>IF(C468="","",COUNTA($C$4:C468))</f>
        <v>465</v>
      </c>
      <c r="B468" s="20" t="str">
        <f t="shared" si="101"/>
        <v>November</v>
      </c>
      <c r="C468" s="45">
        <v>45973</v>
      </c>
      <c r="D468" s="31" t="s">
        <v>2137</v>
      </c>
      <c r="E468" s="105" t="s">
        <v>2138</v>
      </c>
      <c r="F468" s="26" t="s">
        <v>2073</v>
      </c>
      <c r="G468" s="157" t="s">
        <v>254</v>
      </c>
      <c r="H468" s="106" t="s">
        <v>2074</v>
      </c>
      <c r="J468" s="22">
        <v>26100</v>
      </c>
      <c r="K468" s="22">
        <v>7.5</v>
      </c>
      <c r="L468" s="23">
        <f>J468*K468</f>
        <v>195750</v>
      </c>
      <c r="M468" s="23">
        <v>0</v>
      </c>
      <c r="N468" s="23">
        <v>0</v>
      </c>
      <c r="O468" s="112">
        <f t="shared" si="106"/>
        <v>195750</v>
      </c>
      <c r="P468" s="33">
        <v>0.18</v>
      </c>
      <c r="Q468" s="119">
        <v>0</v>
      </c>
      <c r="R468" s="112">
        <f>O468*9/100</f>
        <v>17617.5</v>
      </c>
      <c r="S468" s="112">
        <f>O468*9/100</f>
        <v>17617.5</v>
      </c>
      <c r="T468" s="23">
        <v>0</v>
      </c>
      <c r="U468" s="112">
        <f t="shared" si="107"/>
        <v>230985</v>
      </c>
    </row>
    <row r="469" spans="1:21" ht="17.100000000000001" customHeight="1" x14ac:dyDescent="0.25">
      <c r="A469" s="20">
        <f>IF(C469="","",COUNTA($C$4:C469))</f>
        <v>466</v>
      </c>
      <c r="B469" s="20" t="str">
        <f t="shared" si="101"/>
        <v>November</v>
      </c>
      <c r="C469" s="45">
        <v>45974</v>
      </c>
      <c r="D469" s="31" t="s">
        <v>2139</v>
      </c>
      <c r="E469" s="105" t="s">
        <v>2140</v>
      </c>
      <c r="F469" s="26" t="s">
        <v>2141</v>
      </c>
      <c r="G469" s="157" t="s">
        <v>60</v>
      </c>
      <c r="H469" s="106" t="s">
        <v>2142</v>
      </c>
      <c r="L469" s="23">
        <v>139775</v>
      </c>
      <c r="M469" s="23">
        <v>0</v>
      </c>
      <c r="N469" s="23">
        <v>0</v>
      </c>
      <c r="O469" s="112">
        <f t="shared" si="106"/>
        <v>139775</v>
      </c>
      <c r="P469" s="33">
        <v>0.18</v>
      </c>
      <c r="Q469" s="115">
        <v>0</v>
      </c>
      <c r="R469" s="112">
        <f>O469*9/100</f>
        <v>12579.75</v>
      </c>
      <c r="S469" s="112">
        <f>O469*9/100</f>
        <v>12579.75</v>
      </c>
      <c r="T469" s="23">
        <v>0</v>
      </c>
      <c r="U469" s="112">
        <f t="shared" si="107"/>
        <v>164934.5</v>
      </c>
    </row>
    <row r="470" spans="1:21" ht="17.100000000000001" customHeight="1" x14ac:dyDescent="0.25">
      <c r="A470" s="20">
        <f>IF(C470="","",COUNTA($C$4:C470))</f>
        <v>467</v>
      </c>
      <c r="B470" s="20" t="str">
        <f t="shared" si="101"/>
        <v>November</v>
      </c>
      <c r="C470" s="45">
        <v>45974</v>
      </c>
      <c r="D470" s="31" t="s">
        <v>2143</v>
      </c>
      <c r="E470" s="105" t="s">
        <v>2144</v>
      </c>
      <c r="F470" s="26" t="s">
        <v>2145</v>
      </c>
      <c r="G470" s="157" t="s">
        <v>965</v>
      </c>
      <c r="H470" s="106" t="s">
        <v>2146</v>
      </c>
      <c r="L470" s="23">
        <v>89585</v>
      </c>
      <c r="M470" s="23">
        <v>0</v>
      </c>
      <c r="N470" s="23">
        <v>0</v>
      </c>
      <c r="O470" s="112">
        <f t="shared" si="106"/>
        <v>89585</v>
      </c>
      <c r="P470" s="33">
        <v>0.18</v>
      </c>
      <c r="Q470" s="115">
        <v>0</v>
      </c>
      <c r="R470" s="112">
        <f>O470*9/100</f>
        <v>8062.65</v>
      </c>
      <c r="S470" s="112">
        <f>O470*9/100</f>
        <v>8062.65</v>
      </c>
      <c r="T470" s="23">
        <v>0</v>
      </c>
      <c r="U470" s="112">
        <f t="shared" si="107"/>
        <v>105710.29999999999</v>
      </c>
    </row>
    <row r="471" spans="1:21" ht="17.100000000000001" customHeight="1" x14ac:dyDescent="0.25">
      <c r="A471" s="20">
        <f>IF(C471="","",COUNTA($C$4:C471))</f>
        <v>468</v>
      </c>
      <c r="B471" s="20" t="str">
        <f t="shared" si="101"/>
        <v>November</v>
      </c>
      <c r="C471" s="45">
        <v>45974</v>
      </c>
      <c r="D471" s="31" t="s">
        <v>2147</v>
      </c>
      <c r="E471" s="105" t="s">
        <v>2148</v>
      </c>
      <c r="F471" s="26" t="s">
        <v>2149</v>
      </c>
      <c r="G471" s="157" t="s">
        <v>965</v>
      </c>
      <c r="H471" s="106" t="s">
        <v>2150</v>
      </c>
      <c r="J471" s="22">
        <v>1</v>
      </c>
      <c r="K471" s="22">
        <v>76989.899999999994</v>
      </c>
      <c r="L471" s="23">
        <f t="shared" ref="L471:L479" si="108">J471*K471</f>
        <v>76989.899999999994</v>
      </c>
      <c r="M471" s="23">
        <v>0</v>
      </c>
      <c r="N471" s="23">
        <v>0</v>
      </c>
      <c r="O471" s="112">
        <f t="shared" si="106"/>
        <v>76989.899999999994</v>
      </c>
      <c r="P471" s="33">
        <v>0.18</v>
      </c>
      <c r="Q471" s="115">
        <v>0</v>
      </c>
      <c r="R471" s="112">
        <f>O471*9/100</f>
        <v>6929.0909999999994</v>
      </c>
      <c r="S471" s="112">
        <f>O471*9/100</f>
        <v>6929.0909999999994</v>
      </c>
      <c r="T471" s="23">
        <v>0</v>
      </c>
      <c r="U471" s="112">
        <f t="shared" si="107"/>
        <v>90848.081999999995</v>
      </c>
    </row>
    <row r="472" spans="1:21" ht="17.100000000000001" customHeight="1" x14ac:dyDescent="0.25">
      <c r="A472" s="20">
        <f>IF(C472="","",COUNTA($C$4:C472))</f>
        <v>469</v>
      </c>
      <c r="B472" s="20" t="str">
        <f t="shared" si="101"/>
        <v>November</v>
      </c>
      <c r="C472" s="45">
        <v>45976</v>
      </c>
      <c r="D472" s="31" t="s">
        <v>2151</v>
      </c>
      <c r="E472" s="105" t="s">
        <v>2152</v>
      </c>
      <c r="F472" s="26"/>
      <c r="G472" s="157" t="s">
        <v>248</v>
      </c>
      <c r="H472" s="106" t="s">
        <v>1210</v>
      </c>
      <c r="J472" s="22">
        <v>500</v>
      </c>
      <c r="K472" s="22">
        <v>11</v>
      </c>
      <c r="L472" s="23">
        <f t="shared" si="108"/>
        <v>5500</v>
      </c>
      <c r="M472" s="23">
        <v>0</v>
      </c>
      <c r="N472" s="23">
        <v>0</v>
      </c>
      <c r="O472" s="112">
        <f t="shared" si="106"/>
        <v>5500</v>
      </c>
      <c r="P472" s="33">
        <v>0.05</v>
      </c>
      <c r="Q472" s="115">
        <v>0</v>
      </c>
      <c r="R472" s="112">
        <f>O472*2.5/100</f>
        <v>137.5</v>
      </c>
      <c r="S472" s="112">
        <f>O472*2.5/100</f>
        <v>137.5</v>
      </c>
      <c r="T472" s="23">
        <v>0</v>
      </c>
      <c r="U472" s="112">
        <f t="shared" si="107"/>
        <v>5775</v>
      </c>
    </row>
    <row r="473" spans="1:21" ht="17.100000000000001" customHeight="1" x14ac:dyDescent="0.25">
      <c r="A473" s="20">
        <f>IF(C473="","",COUNTA($C$4:C473))</f>
        <v>470</v>
      </c>
      <c r="B473" s="20" t="str">
        <f t="shared" si="101"/>
        <v>November</v>
      </c>
      <c r="C473" s="45">
        <v>45982</v>
      </c>
      <c r="D473" s="31" t="s">
        <v>2153</v>
      </c>
      <c r="E473" s="105" t="s">
        <v>2154</v>
      </c>
      <c r="F473" s="26" t="s">
        <v>2155</v>
      </c>
      <c r="G473" s="157" t="s">
        <v>810</v>
      </c>
      <c r="H473" s="106" t="s">
        <v>811</v>
      </c>
      <c r="J473" s="22">
        <v>100</v>
      </c>
      <c r="K473" s="22">
        <v>180</v>
      </c>
      <c r="L473" s="23">
        <f t="shared" si="108"/>
        <v>18000</v>
      </c>
      <c r="M473" s="23">
        <v>0</v>
      </c>
      <c r="N473" s="23">
        <v>0</v>
      </c>
      <c r="O473" s="112">
        <f t="shared" si="106"/>
        <v>18000</v>
      </c>
      <c r="P473" s="33">
        <v>0.18</v>
      </c>
      <c r="Q473" s="118">
        <f>O473*18/100</f>
        <v>3240</v>
      </c>
      <c r="R473" s="115">
        <v>0</v>
      </c>
      <c r="S473" s="115">
        <v>0</v>
      </c>
      <c r="T473" s="23">
        <v>0</v>
      </c>
      <c r="U473" s="112">
        <f>O473+Q473</f>
        <v>21240</v>
      </c>
    </row>
    <row r="474" spans="1:21" ht="17.100000000000001" customHeight="1" x14ac:dyDescent="0.25">
      <c r="A474" s="20">
        <f>IF(C474="","",COUNTA($C$4:C474))</f>
        <v>471</v>
      </c>
      <c r="B474" s="20" t="str">
        <f t="shared" si="101"/>
        <v>October</v>
      </c>
      <c r="C474" s="45">
        <v>45944</v>
      </c>
      <c r="D474" s="31" t="s">
        <v>1773</v>
      </c>
      <c r="E474" s="105" t="s">
        <v>1774</v>
      </c>
      <c r="F474" s="26" t="s">
        <v>1762</v>
      </c>
      <c r="G474" s="157" t="s">
        <v>502</v>
      </c>
      <c r="H474" s="106" t="s">
        <v>506</v>
      </c>
      <c r="I474" s="159" t="s">
        <v>266</v>
      </c>
      <c r="J474" s="22">
        <v>4100</v>
      </c>
      <c r="K474" s="22">
        <v>69</v>
      </c>
      <c r="L474" s="23">
        <f t="shared" si="108"/>
        <v>282900</v>
      </c>
      <c r="M474" s="23">
        <v>0</v>
      </c>
      <c r="N474" s="23">
        <v>0</v>
      </c>
      <c r="O474" s="112">
        <f t="shared" si="106"/>
        <v>282900</v>
      </c>
      <c r="P474" s="33">
        <v>0.18</v>
      </c>
      <c r="Q474" s="115">
        <v>0</v>
      </c>
      <c r="R474" s="112">
        <f t="shared" ref="R474:R482" si="109">O474*9/100</f>
        <v>25461</v>
      </c>
      <c r="S474" s="112">
        <f t="shared" ref="S474:S482" si="110">O474*9/100</f>
        <v>25461</v>
      </c>
      <c r="T474" s="23">
        <v>0</v>
      </c>
      <c r="U474" s="112">
        <f t="shared" ref="U474:U482" si="111">O474+R474+S474</f>
        <v>333822</v>
      </c>
    </row>
    <row r="475" spans="1:21" ht="17.100000000000001" customHeight="1" x14ac:dyDescent="0.25">
      <c r="A475" s="20">
        <f>IF(C475="","",COUNTA($C$4:C475))</f>
        <v>472</v>
      </c>
      <c r="B475" s="20" t="str">
        <f t="shared" si="101"/>
        <v>January</v>
      </c>
      <c r="C475" s="45">
        <v>46035</v>
      </c>
      <c r="D475" s="31" t="s">
        <v>2570</v>
      </c>
      <c r="E475" s="105" t="s">
        <v>2571</v>
      </c>
      <c r="F475" s="26" t="s">
        <v>2572</v>
      </c>
      <c r="G475" s="157" t="s">
        <v>502</v>
      </c>
      <c r="H475" s="106" t="s">
        <v>2573</v>
      </c>
      <c r="I475" s="159" t="s">
        <v>160</v>
      </c>
      <c r="J475" s="22">
        <v>5000</v>
      </c>
      <c r="K475" s="22">
        <v>68.5</v>
      </c>
      <c r="L475" s="23">
        <f t="shared" si="108"/>
        <v>342500</v>
      </c>
      <c r="M475" s="23">
        <v>4900</v>
      </c>
      <c r="N475" s="23">
        <v>0</v>
      </c>
      <c r="O475" s="112">
        <f t="shared" si="106"/>
        <v>347400</v>
      </c>
      <c r="P475" s="33">
        <v>0.18</v>
      </c>
      <c r="Q475" s="119">
        <v>0</v>
      </c>
      <c r="R475" s="112">
        <f t="shared" si="109"/>
        <v>31266</v>
      </c>
      <c r="S475" s="112">
        <f t="shared" si="110"/>
        <v>31266</v>
      </c>
      <c r="T475" s="23"/>
      <c r="U475" s="112">
        <f t="shared" si="111"/>
        <v>409932</v>
      </c>
    </row>
    <row r="476" spans="1:21" ht="17.100000000000001" customHeight="1" x14ac:dyDescent="0.25">
      <c r="A476" s="20">
        <f>IF(C476="","",COUNTA($C$4:C476))</f>
        <v>473</v>
      </c>
      <c r="B476" s="20" t="str">
        <f t="shared" si="101"/>
        <v>January</v>
      </c>
      <c r="C476" s="45">
        <v>46035</v>
      </c>
      <c r="D476" s="31" t="s">
        <v>2570</v>
      </c>
      <c r="E476" s="105" t="s">
        <v>2571</v>
      </c>
      <c r="F476" s="26" t="s">
        <v>2572</v>
      </c>
      <c r="G476" s="157" t="s">
        <v>502</v>
      </c>
      <c r="H476" s="106" t="s">
        <v>2573</v>
      </c>
      <c r="I476" s="159" t="s">
        <v>160</v>
      </c>
      <c r="J476" s="22">
        <v>4824</v>
      </c>
      <c r="K476" s="22">
        <v>68.5</v>
      </c>
      <c r="L476" s="23">
        <f t="shared" si="108"/>
        <v>330444</v>
      </c>
      <c r="M476" s="23">
        <v>0</v>
      </c>
      <c r="N476" s="23">
        <v>0</v>
      </c>
      <c r="O476" s="112">
        <f t="shared" si="106"/>
        <v>330444</v>
      </c>
      <c r="P476" s="33">
        <v>0.18</v>
      </c>
      <c r="Q476" s="119">
        <v>0</v>
      </c>
      <c r="R476" s="112">
        <f t="shared" si="109"/>
        <v>29739.96</v>
      </c>
      <c r="S476" s="112">
        <f t="shared" si="110"/>
        <v>29739.96</v>
      </c>
      <c r="T476" s="23"/>
      <c r="U476" s="112">
        <f t="shared" si="111"/>
        <v>389923.92000000004</v>
      </c>
    </row>
    <row r="477" spans="1:21" ht="17.100000000000001" customHeight="1" x14ac:dyDescent="0.25">
      <c r="A477" s="20">
        <f>IF(C477="","",COUNTA($C$4:C477))</f>
        <v>474</v>
      </c>
      <c r="B477" s="20" t="str">
        <f t="shared" si="101"/>
        <v>January</v>
      </c>
      <c r="C477" s="45">
        <v>46035</v>
      </c>
      <c r="D477" s="31" t="s">
        <v>2574</v>
      </c>
      <c r="E477" s="105" t="s">
        <v>2575</v>
      </c>
      <c r="F477" s="26" t="s">
        <v>2572</v>
      </c>
      <c r="G477" s="157" t="s">
        <v>502</v>
      </c>
      <c r="H477" s="106" t="s">
        <v>2576</v>
      </c>
      <c r="I477" s="159" t="s">
        <v>2349</v>
      </c>
      <c r="J477" s="22">
        <v>5810</v>
      </c>
      <c r="K477" s="22">
        <v>71.5</v>
      </c>
      <c r="L477" s="23">
        <f t="shared" si="108"/>
        <v>415415</v>
      </c>
      <c r="M477" s="23">
        <v>8300</v>
      </c>
      <c r="N477" s="23">
        <v>0</v>
      </c>
      <c r="O477" s="112">
        <f t="shared" si="106"/>
        <v>423715</v>
      </c>
      <c r="P477" s="33">
        <v>0.18</v>
      </c>
      <c r="Q477" s="119">
        <v>0</v>
      </c>
      <c r="R477" s="112">
        <f t="shared" si="109"/>
        <v>38134.35</v>
      </c>
      <c r="S477" s="112">
        <f t="shared" si="110"/>
        <v>38134.35</v>
      </c>
      <c r="T477" s="23">
        <v>0</v>
      </c>
      <c r="U477" s="112">
        <f t="shared" si="111"/>
        <v>499983.69999999995</v>
      </c>
    </row>
    <row r="478" spans="1:21" ht="17.100000000000001" customHeight="1" x14ac:dyDescent="0.25">
      <c r="A478" s="20">
        <f>IF(C478="","",COUNTA($C$4:C478))</f>
        <v>475</v>
      </c>
      <c r="B478" s="20" t="str">
        <f t="shared" si="101"/>
        <v>November</v>
      </c>
      <c r="C478" s="45">
        <v>45985</v>
      </c>
      <c r="D478" s="31" t="s">
        <v>2214</v>
      </c>
      <c r="E478" s="105" t="s">
        <v>2215</v>
      </c>
      <c r="F478" s="26" t="s">
        <v>2216</v>
      </c>
      <c r="G478" s="157" t="s">
        <v>254</v>
      </c>
      <c r="H478" s="106" t="s">
        <v>2217</v>
      </c>
      <c r="J478" s="22">
        <v>9265</v>
      </c>
      <c r="K478" s="22">
        <v>4.5</v>
      </c>
      <c r="L478" s="23">
        <f t="shared" si="108"/>
        <v>41692.5</v>
      </c>
      <c r="M478" s="23">
        <v>0</v>
      </c>
      <c r="N478" s="23">
        <v>0</v>
      </c>
      <c r="O478" s="112">
        <f t="shared" si="106"/>
        <v>41692.5</v>
      </c>
      <c r="P478" s="33">
        <v>0.18</v>
      </c>
      <c r="Q478" s="115">
        <v>0</v>
      </c>
      <c r="R478" s="112">
        <f t="shared" si="109"/>
        <v>3752.3249999999998</v>
      </c>
      <c r="S478" s="112">
        <f t="shared" si="110"/>
        <v>3752.3249999999998</v>
      </c>
      <c r="T478" s="23">
        <v>0</v>
      </c>
      <c r="U478" s="112">
        <f t="shared" si="111"/>
        <v>49197.149999999994</v>
      </c>
    </row>
    <row r="479" spans="1:21" ht="17.100000000000001" customHeight="1" x14ac:dyDescent="0.25">
      <c r="A479" s="20">
        <f>IF(C479="","",COUNTA($C$4:C479))</f>
        <v>476</v>
      </c>
      <c r="B479" s="20" t="str">
        <f t="shared" si="101"/>
        <v>November</v>
      </c>
      <c r="C479" s="45">
        <v>45985</v>
      </c>
      <c r="D479" s="31" t="s">
        <v>2218</v>
      </c>
      <c r="E479" s="105" t="s">
        <v>2219</v>
      </c>
      <c r="F479" s="26" t="s">
        <v>2073</v>
      </c>
      <c r="G479" s="157" t="s">
        <v>254</v>
      </c>
      <c r="H479" s="106" t="s">
        <v>2074</v>
      </c>
      <c r="J479" s="22">
        <v>17100</v>
      </c>
      <c r="K479" s="22">
        <v>7.5</v>
      </c>
      <c r="L479" s="23">
        <f t="shared" si="108"/>
        <v>128250</v>
      </c>
      <c r="M479" s="23">
        <v>0</v>
      </c>
      <c r="N479" s="23">
        <v>0</v>
      </c>
      <c r="O479" s="112">
        <f t="shared" si="106"/>
        <v>128250</v>
      </c>
      <c r="P479" s="33">
        <v>0.18</v>
      </c>
      <c r="Q479" s="115">
        <v>0</v>
      </c>
      <c r="R479" s="112">
        <f t="shared" si="109"/>
        <v>11542.5</v>
      </c>
      <c r="S479" s="112">
        <f t="shared" si="110"/>
        <v>11542.5</v>
      </c>
      <c r="T479" s="23">
        <v>0</v>
      </c>
      <c r="U479" s="112">
        <f t="shared" si="111"/>
        <v>151335</v>
      </c>
    </row>
    <row r="480" spans="1:21" ht="17.100000000000001" customHeight="1" x14ac:dyDescent="0.25">
      <c r="A480" s="20">
        <f>IF(C480="","",COUNTA($C$4:C480))</f>
        <v>477</v>
      </c>
      <c r="B480" s="20" t="str">
        <f t="shared" si="101"/>
        <v>November</v>
      </c>
      <c r="C480" s="45">
        <v>45985</v>
      </c>
      <c r="D480" s="31" t="s">
        <v>2220</v>
      </c>
      <c r="E480" s="105" t="s">
        <v>2221</v>
      </c>
      <c r="F480" s="26"/>
      <c r="G480" s="157" t="s">
        <v>206</v>
      </c>
      <c r="H480" s="106" t="s">
        <v>1973</v>
      </c>
      <c r="L480" s="23">
        <v>170530</v>
      </c>
      <c r="M480" s="23">
        <v>0</v>
      </c>
      <c r="N480" s="23">
        <v>0</v>
      </c>
      <c r="O480" s="112">
        <f t="shared" si="106"/>
        <v>170530</v>
      </c>
      <c r="P480" s="33">
        <v>0.18</v>
      </c>
      <c r="Q480" s="115">
        <v>0</v>
      </c>
      <c r="R480" s="112">
        <f t="shared" si="109"/>
        <v>15347.7</v>
      </c>
      <c r="S480" s="112">
        <f t="shared" si="110"/>
        <v>15347.7</v>
      </c>
      <c r="T480" s="23">
        <v>0</v>
      </c>
      <c r="U480" s="112">
        <f t="shared" si="111"/>
        <v>201225.40000000002</v>
      </c>
    </row>
    <row r="481" spans="1:21" ht="17.100000000000001" customHeight="1" x14ac:dyDescent="0.25">
      <c r="A481" s="20">
        <f>IF(C481="","",COUNTA($C$4:C481))</f>
        <v>478</v>
      </c>
      <c r="B481" s="20" t="str">
        <f t="shared" si="101"/>
        <v>November</v>
      </c>
      <c r="C481" s="45">
        <v>45985</v>
      </c>
      <c r="D481" s="31" t="s">
        <v>2222</v>
      </c>
      <c r="E481" s="105" t="s">
        <v>2223</v>
      </c>
      <c r="F481" s="26"/>
      <c r="G481" s="157" t="s">
        <v>206</v>
      </c>
      <c r="H481" s="106" t="s">
        <v>2224</v>
      </c>
      <c r="J481" s="22">
        <v>2</v>
      </c>
      <c r="K481" s="22">
        <v>975</v>
      </c>
      <c r="L481" s="23">
        <f>J481*K481</f>
        <v>1950</v>
      </c>
      <c r="M481" s="23">
        <v>0</v>
      </c>
      <c r="N481" s="23">
        <v>0</v>
      </c>
      <c r="O481" s="112">
        <f t="shared" si="106"/>
        <v>1950</v>
      </c>
      <c r="P481" s="33">
        <v>0</v>
      </c>
      <c r="Q481" s="115">
        <v>0</v>
      </c>
      <c r="R481" s="112">
        <f t="shared" si="109"/>
        <v>175.5</v>
      </c>
      <c r="S481" s="112">
        <f t="shared" si="110"/>
        <v>175.5</v>
      </c>
      <c r="T481" s="23">
        <v>0</v>
      </c>
      <c r="U481" s="112">
        <f t="shared" si="111"/>
        <v>2301</v>
      </c>
    </row>
    <row r="482" spans="1:21" ht="17.100000000000001" customHeight="1" x14ac:dyDescent="0.25">
      <c r="A482" s="20">
        <f>IF(C482="","",COUNTA($C$4:C482))</f>
        <v>479</v>
      </c>
      <c r="B482" s="20" t="str">
        <f t="shared" si="101"/>
        <v>November</v>
      </c>
      <c r="C482" s="45">
        <v>45985</v>
      </c>
      <c r="D482" s="31" t="s">
        <v>2225</v>
      </c>
      <c r="E482" s="105" t="s">
        <v>2226</v>
      </c>
      <c r="F482" s="26" t="s">
        <v>2227</v>
      </c>
      <c r="G482" s="157" t="s">
        <v>1751</v>
      </c>
      <c r="H482" s="106" t="s">
        <v>2228</v>
      </c>
      <c r="J482" s="22">
        <v>5</v>
      </c>
      <c r="K482" s="22">
        <v>1525</v>
      </c>
      <c r="L482" s="23">
        <f>J482*K482</f>
        <v>7625</v>
      </c>
      <c r="M482" s="23">
        <v>0</v>
      </c>
      <c r="N482" s="23">
        <v>0</v>
      </c>
      <c r="O482" s="112">
        <f t="shared" si="106"/>
        <v>7625</v>
      </c>
      <c r="P482" s="33">
        <v>0</v>
      </c>
      <c r="Q482" s="115">
        <v>0</v>
      </c>
      <c r="R482" s="112">
        <f t="shared" si="109"/>
        <v>686.25</v>
      </c>
      <c r="S482" s="112">
        <f t="shared" si="110"/>
        <v>686.25</v>
      </c>
      <c r="T482" s="23">
        <v>0</v>
      </c>
      <c r="U482" s="112">
        <f t="shared" si="111"/>
        <v>8997.5</v>
      </c>
    </row>
    <row r="483" spans="1:21" ht="17.100000000000001" customHeight="1" x14ac:dyDescent="0.25">
      <c r="A483" s="20">
        <f>IF(C483="","",COUNTA($C$4:C483))</f>
        <v>480</v>
      </c>
      <c r="B483" s="20" t="str">
        <f t="shared" ref="B483:B546" si="112">IF(C483="","",TEXT(C483,"mmmm"))</f>
        <v>April</v>
      </c>
      <c r="C483" s="45">
        <v>45770</v>
      </c>
      <c r="D483" s="31" t="s">
        <v>236</v>
      </c>
      <c r="E483" s="105" t="s">
        <v>237</v>
      </c>
      <c r="F483" s="26" t="s">
        <v>184</v>
      </c>
      <c r="G483" s="157" t="s">
        <v>93</v>
      </c>
      <c r="H483" s="106" t="s">
        <v>240</v>
      </c>
      <c r="J483" s="22">
        <v>1368</v>
      </c>
      <c r="K483" s="64">
        <v>375</v>
      </c>
      <c r="L483" s="23">
        <f>J483*K483</f>
        <v>513000</v>
      </c>
      <c r="M483" s="23">
        <v>0</v>
      </c>
      <c r="N483" s="23">
        <v>0</v>
      </c>
      <c r="O483" s="112">
        <f t="shared" si="106"/>
        <v>513000</v>
      </c>
      <c r="P483" s="33">
        <v>0.18</v>
      </c>
      <c r="Q483" s="118">
        <f>O483*18/100</f>
        <v>92340</v>
      </c>
      <c r="R483" s="115">
        <v>0</v>
      </c>
      <c r="S483" s="115">
        <v>0</v>
      </c>
      <c r="T483" s="23">
        <v>0</v>
      </c>
      <c r="U483" s="112">
        <f>O483+Q483</f>
        <v>605340</v>
      </c>
    </row>
    <row r="484" spans="1:21" ht="17.100000000000001" customHeight="1" x14ac:dyDescent="0.25">
      <c r="A484" s="20">
        <f>IF(C484="","",COUNTA($C$4:C484))</f>
        <v>481</v>
      </c>
      <c r="B484" s="20" t="str">
        <f t="shared" si="112"/>
        <v>April</v>
      </c>
      <c r="C484" s="45">
        <v>45776</v>
      </c>
      <c r="D484" s="31" t="s">
        <v>311</v>
      </c>
      <c r="E484" s="105" t="s">
        <v>305</v>
      </c>
      <c r="F484" s="26" t="s">
        <v>184</v>
      </c>
      <c r="G484" s="157" t="s">
        <v>93</v>
      </c>
      <c r="H484" s="106" t="s">
        <v>306</v>
      </c>
      <c r="J484" s="22">
        <v>672</v>
      </c>
      <c r="K484" s="64">
        <v>279</v>
      </c>
      <c r="L484" s="23">
        <f>J484*K484</f>
        <v>187488</v>
      </c>
      <c r="M484" s="23">
        <v>0</v>
      </c>
      <c r="N484" s="23">
        <v>0</v>
      </c>
      <c r="O484" s="112">
        <f t="shared" si="106"/>
        <v>187488</v>
      </c>
      <c r="P484" s="33">
        <v>0.18</v>
      </c>
      <c r="Q484" s="118">
        <f>O484*18/100</f>
        <v>33747.839999999997</v>
      </c>
      <c r="R484" s="115">
        <v>0</v>
      </c>
      <c r="S484" s="115">
        <v>0</v>
      </c>
      <c r="T484" s="23">
        <v>0</v>
      </c>
      <c r="U484" s="112">
        <f>O484+Q484</f>
        <v>221235.84</v>
      </c>
    </row>
    <row r="485" spans="1:21" ht="17.100000000000001" customHeight="1" x14ac:dyDescent="0.25">
      <c r="A485" s="20">
        <f>IF(C485="","",COUNTA($C$4:C485))</f>
        <v>482</v>
      </c>
      <c r="B485" s="20" t="str">
        <f t="shared" si="112"/>
        <v>November</v>
      </c>
      <c r="C485" s="45">
        <v>45988</v>
      </c>
      <c r="D485" s="31" t="s">
        <v>2236</v>
      </c>
      <c r="E485" s="105" t="s">
        <v>2237</v>
      </c>
      <c r="F485" s="26"/>
      <c r="G485" s="157" t="s">
        <v>342</v>
      </c>
      <c r="H485" s="106" t="s">
        <v>2238</v>
      </c>
      <c r="L485" s="23">
        <v>5470</v>
      </c>
      <c r="M485" s="23">
        <v>0</v>
      </c>
      <c r="N485" s="23">
        <v>0</v>
      </c>
      <c r="O485" s="112">
        <f t="shared" si="106"/>
        <v>5470</v>
      </c>
      <c r="P485" s="33">
        <v>0.18</v>
      </c>
      <c r="Q485" s="115">
        <v>0</v>
      </c>
      <c r="R485" s="112">
        <f t="shared" ref="R485:R496" si="113">O485*9/100</f>
        <v>492.3</v>
      </c>
      <c r="S485" s="112">
        <f t="shared" ref="S485:S496" si="114">O485*9/100</f>
        <v>492.3</v>
      </c>
      <c r="T485" s="23">
        <v>0</v>
      </c>
      <c r="U485" s="112">
        <f t="shared" ref="U485:U496" si="115">O485+R485+S485</f>
        <v>6454.6</v>
      </c>
    </row>
    <row r="486" spans="1:21" ht="17.100000000000001" customHeight="1" x14ac:dyDescent="0.25">
      <c r="A486" s="20">
        <f>IF(C486="","",COUNTA($C$4:C486))</f>
        <v>483</v>
      </c>
      <c r="B486" s="20" t="str">
        <f t="shared" si="112"/>
        <v>November</v>
      </c>
      <c r="C486" s="45">
        <v>45988</v>
      </c>
      <c r="D486" s="31" t="s">
        <v>2239</v>
      </c>
      <c r="E486" s="105" t="s">
        <v>2240</v>
      </c>
      <c r="F486" s="26"/>
      <c r="G486" s="157" t="s">
        <v>342</v>
      </c>
      <c r="H486" s="106" t="s">
        <v>2238</v>
      </c>
      <c r="L486" s="23">
        <v>15345</v>
      </c>
      <c r="M486" s="23">
        <v>0</v>
      </c>
      <c r="N486" s="23">
        <v>0</v>
      </c>
      <c r="O486" s="112">
        <f t="shared" si="106"/>
        <v>15345</v>
      </c>
      <c r="P486" s="33">
        <v>0.18</v>
      </c>
      <c r="Q486" s="115">
        <v>0</v>
      </c>
      <c r="R486" s="112">
        <f t="shared" si="113"/>
        <v>1381.05</v>
      </c>
      <c r="S486" s="112">
        <f t="shared" si="114"/>
        <v>1381.05</v>
      </c>
      <c r="T486" s="23">
        <v>0</v>
      </c>
      <c r="U486" s="112">
        <f t="shared" si="115"/>
        <v>18107.099999999999</v>
      </c>
    </row>
    <row r="487" spans="1:21" ht="17.100000000000001" customHeight="1" x14ac:dyDescent="0.25">
      <c r="A487" s="20">
        <f>IF(C487="","",COUNTA($C$4:C487))</f>
        <v>484</v>
      </c>
      <c r="B487" s="20" t="str">
        <f t="shared" si="112"/>
        <v>November</v>
      </c>
      <c r="C487" s="45">
        <v>45988</v>
      </c>
      <c r="D487" s="31" t="s">
        <v>2241</v>
      </c>
      <c r="E487" s="105" t="s">
        <v>2242</v>
      </c>
      <c r="F487" s="26"/>
      <c r="G487" s="157" t="s">
        <v>342</v>
      </c>
      <c r="H487" s="106" t="s">
        <v>2238</v>
      </c>
      <c r="L487" s="23">
        <v>6550</v>
      </c>
      <c r="M487" s="23">
        <v>0</v>
      </c>
      <c r="N487" s="23">
        <v>0</v>
      </c>
      <c r="O487" s="112">
        <f t="shared" si="106"/>
        <v>6550</v>
      </c>
      <c r="P487" s="33">
        <v>0.18</v>
      </c>
      <c r="Q487" s="115">
        <v>0</v>
      </c>
      <c r="R487" s="112">
        <f t="shared" si="113"/>
        <v>589.5</v>
      </c>
      <c r="S487" s="112">
        <f t="shared" si="114"/>
        <v>589.5</v>
      </c>
      <c r="T487" s="23">
        <v>0</v>
      </c>
      <c r="U487" s="112">
        <f t="shared" si="115"/>
        <v>7729</v>
      </c>
    </row>
    <row r="488" spans="1:21" ht="17.100000000000001" customHeight="1" x14ac:dyDescent="0.25">
      <c r="A488" s="20">
        <f>IF(C488="","",COUNTA($C$4:C488))</f>
        <v>485</v>
      </c>
      <c r="B488" s="20" t="str">
        <f t="shared" si="112"/>
        <v>November</v>
      </c>
      <c r="C488" s="45">
        <v>45988</v>
      </c>
      <c r="D488" s="31" t="s">
        <v>2243</v>
      </c>
      <c r="E488" s="105" t="s">
        <v>2244</v>
      </c>
      <c r="F488" s="26"/>
      <c r="G488" s="157" t="s">
        <v>342</v>
      </c>
      <c r="H488" s="106" t="s">
        <v>2238</v>
      </c>
      <c r="L488" s="23">
        <v>4396</v>
      </c>
      <c r="M488" s="23">
        <v>0</v>
      </c>
      <c r="N488" s="23">
        <v>0</v>
      </c>
      <c r="O488" s="112">
        <f t="shared" si="106"/>
        <v>4396</v>
      </c>
      <c r="P488" s="33">
        <v>0.18</v>
      </c>
      <c r="Q488" s="115">
        <v>0</v>
      </c>
      <c r="R488" s="112">
        <f t="shared" si="113"/>
        <v>395.64</v>
      </c>
      <c r="S488" s="112">
        <f t="shared" si="114"/>
        <v>395.64</v>
      </c>
      <c r="T488" s="23">
        <v>0</v>
      </c>
      <c r="U488" s="112">
        <f t="shared" si="115"/>
        <v>5187.2800000000007</v>
      </c>
    </row>
    <row r="489" spans="1:21" ht="17.100000000000001" customHeight="1" x14ac:dyDescent="0.25">
      <c r="A489" s="20">
        <f>IF(C489="","",COUNTA($C$4:C489))</f>
        <v>486</v>
      </c>
      <c r="B489" s="20" t="str">
        <f t="shared" si="112"/>
        <v>January</v>
      </c>
      <c r="C489" s="45">
        <v>46035</v>
      </c>
      <c r="D489" s="31" t="s">
        <v>2574</v>
      </c>
      <c r="E489" s="105" t="s">
        <v>2575</v>
      </c>
      <c r="F489" s="26" t="s">
        <v>2572</v>
      </c>
      <c r="G489" s="157" t="s">
        <v>502</v>
      </c>
      <c r="H489" s="106" t="s">
        <v>2576</v>
      </c>
      <c r="I489" s="159" t="s">
        <v>2349</v>
      </c>
      <c r="J489" s="22">
        <v>5810</v>
      </c>
      <c r="K489" s="22">
        <v>71.5</v>
      </c>
      <c r="L489" s="23">
        <f>J489*K489</f>
        <v>415415</v>
      </c>
      <c r="M489" s="23">
        <v>0</v>
      </c>
      <c r="N489" s="23">
        <v>0</v>
      </c>
      <c r="O489" s="112">
        <f t="shared" si="106"/>
        <v>415415</v>
      </c>
      <c r="P489" s="33">
        <v>0.18</v>
      </c>
      <c r="Q489" s="119">
        <v>0</v>
      </c>
      <c r="R489" s="112">
        <f t="shared" si="113"/>
        <v>37387.35</v>
      </c>
      <c r="S489" s="112">
        <f t="shared" si="114"/>
        <v>37387.35</v>
      </c>
      <c r="T489" s="23"/>
      <c r="U489" s="112">
        <f t="shared" si="115"/>
        <v>490189.69999999995</v>
      </c>
    </row>
    <row r="490" spans="1:21" ht="17.100000000000001" customHeight="1" x14ac:dyDescent="0.25">
      <c r="A490" s="20">
        <f>IF(C490="","",COUNTA($C$4:C490))</f>
        <v>487</v>
      </c>
      <c r="B490" s="20" t="str">
        <f t="shared" si="112"/>
        <v>January</v>
      </c>
      <c r="C490" s="45">
        <v>46035</v>
      </c>
      <c r="D490" s="31" t="s">
        <v>2574</v>
      </c>
      <c r="E490" s="105" t="s">
        <v>2575</v>
      </c>
      <c r="F490" s="26" t="s">
        <v>2572</v>
      </c>
      <c r="G490" s="157" t="s">
        <v>502</v>
      </c>
      <c r="H490" s="106" t="s">
        <v>506</v>
      </c>
      <c r="I490" s="159" t="s">
        <v>266</v>
      </c>
      <c r="J490" s="22">
        <v>5005</v>
      </c>
      <c r="K490" s="22">
        <v>70.5</v>
      </c>
      <c r="L490" s="23">
        <f>J490*K490</f>
        <v>352852.5</v>
      </c>
      <c r="M490" s="23">
        <v>0</v>
      </c>
      <c r="N490" s="23">
        <v>0</v>
      </c>
      <c r="O490" s="112">
        <f t="shared" si="106"/>
        <v>352852.5</v>
      </c>
      <c r="P490" s="33">
        <v>0.18</v>
      </c>
      <c r="Q490" s="119">
        <v>0</v>
      </c>
      <c r="R490" s="112">
        <f t="shared" si="113"/>
        <v>31756.724999999999</v>
      </c>
      <c r="S490" s="112">
        <f t="shared" si="114"/>
        <v>31756.724999999999</v>
      </c>
      <c r="T490" s="23">
        <v>0</v>
      </c>
      <c r="U490" s="112">
        <f t="shared" si="115"/>
        <v>416365.94999999995</v>
      </c>
    </row>
    <row r="491" spans="1:21" ht="17.100000000000001" customHeight="1" x14ac:dyDescent="0.25">
      <c r="A491" s="20">
        <f>IF(C491="","",COUNTA($C$4:C491))</f>
        <v>488</v>
      </c>
      <c r="B491" s="20" t="str">
        <f t="shared" si="112"/>
        <v>December</v>
      </c>
      <c r="C491" s="45">
        <v>45994</v>
      </c>
      <c r="D491" s="31" t="s">
        <v>2330</v>
      </c>
      <c r="E491" s="105" t="s">
        <v>2331</v>
      </c>
      <c r="F491" s="26"/>
      <c r="G491" s="157" t="s">
        <v>206</v>
      </c>
      <c r="H491" s="106" t="s">
        <v>2332</v>
      </c>
      <c r="J491" s="22">
        <v>1</v>
      </c>
      <c r="K491" s="22">
        <v>18200</v>
      </c>
      <c r="L491" s="23">
        <f>J491*K491</f>
        <v>18200</v>
      </c>
      <c r="M491" s="23">
        <v>0</v>
      </c>
      <c r="N491" s="23">
        <v>0</v>
      </c>
      <c r="O491" s="112">
        <f t="shared" si="106"/>
        <v>18200</v>
      </c>
      <c r="P491" s="33">
        <v>0.18</v>
      </c>
      <c r="Q491" s="119"/>
      <c r="R491" s="112">
        <f t="shared" si="113"/>
        <v>1638</v>
      </c>
      <c r="S491" s="112">
        <f t="shared" si="114"/>
        <v>1638</v>
      </c>
      <c r="T491" s="23">
        <v>0</v>
      </c>
      <c r="U491" s="112">
        <f t="shared" si="115"/>
        <v>21476</v>
      </c>
    </row>
    <row r="492" spans="1:21" ht="17.100000000000001" customHeight="1" x14ac:dyDescent="0.25">
      <c r="A492" s="20">
        <f>IF(C492="","",COUNTA($C$4:C492))</f>
        <v>489</v>
      </c>
      <c r="B492" s="20" t="str">
        <f t="shared" si="112"/>
        <v>December</v>
      </c>
      <c r="C492" s="45">
        <v>45997</v>
      </c>
      <c r="D492" s="31" t="s">
        <v>2333</v>
      </c>
      <c r="E492" s="105" t="s">
        <v>2334</v>
      </c>
      <c r="F492" s="26"/>
      <c r="G492" s="157" t="s">
        <v>206</v>
      </c>
      <c r="H492" s="106" t="s">
        <v>2335</v>
      </c>
      <c r="J492" s="22">
        <v>2</v>
      </c>
      <c r="K492" s="22">
        <v>1500</v>
      </c>
      <c r="L492" s="23">
        <f>J492*K492</f>
        <v>3000</v>
      </c>
      <c r="M492" s="23">
        <v>0</v>
      </c>
      <c r="N492" s="23">
        <v>0</v>
      </c>
      <c r="O492" s="112">
        <f t="shared" si="106"/>
        <v>3000</v>
      </c>
      <c r="P492" s="33">
        <v>0.18</v>
      </c>
      <c r="Q492" s="119"/>
      <c r="R492" s="112">
        <f t="shared" si="113"/>
        <v>270</v>
      </c>
      <c r="S492" s="112">
        <f t="shared" si="114"/>
        <v>270</v>
      </c>
      <c r="T492" s="23">
        <v>0</v>
      </c>
      <c r="U492" s="112">
        <f t="shared" si="115"/>
        <v>3540</v>
      </c>
    </row>
    <row r="493" spans="1:21" ht="17.100000000000001" customHeight="1" x14ac:dyDescent="0.25">
      <c r="A493" s="20">
        <f>IF(C493="","",COUNTA($C$4:C493))</f>
        <v>490</v>
      </c>
      <c r="B493" s="20" t="str">
        <f t="shared" si="112"/>
        <v>December</v>
      </c>
      <c r="C493" s="45">
        <v>46000</v>
      </c>
      <c r="D493" s="31" t="s">
        <v>2336</v>
      </c>
      <c r="E493" s="105" t="s">
        <v>2337</v>
      </c>
      <c r="F493" s="26" t="s">
        <v>2338</v>
      </c>
      <c r="G493" s="157" t="s">
        <v>415</v>
      </c>
      <c r="H493" s="106" t="s">
        <v>2339</v>
      </c>
      <c r="L493" s="23">
        <v>12666</v>
      </c>
      <c r="M493" s="23">
        <v>0</v>
      </c>
      <c r="N493" s="23">
        <v>0</v>
      </c>
      <c r="O493" s="112">
        <f t="shared" si="106"/>
        <v>12666</v>
      </c>
      <c r="P493" s="33">
        <v>0.18</v>
      </c>
      <c r="Q493" s="119"/>
      <c r="R493" s="112">
        <f t="shared" si="113"/>
        <v>1139.94</v>
      </c>
      <c r="S493" s="112">
        <f t="shared" si="114"/>
        <v>1139.94</v>
      </c>
      <c r="T493" s="23">
        <v>0</v>
      </c>
      <c r="U493" s="112">
        <f t="shared" si="115"/>
        <v>14945.880000000001</v>
      </c>
    </row>
    <row r="494" spans="1:21" ht="17.100000000000001" customHeight="1" x14ac:dyDescent="0.25">
      <c r="A494" s="20">
        <f>IF(C494="","",COUNTA($C$4:C494))</f>
        <v>491</v>
      </c>
      <c r="B494" s="20" t="str">
        <f t="shared" si="112"/>
        <v>December</v>
      </c>
      <c r="C494" s="45">
        <v>46001</v>
      </c>
      <c r="D494" s="31" t="s">
        <v>2340</v>
      </c>
      <c r="E494" s="105" t="s">
        <v>2341</v>
      </c>
      <c r="F494" s="26" t="s">
        <v>2342</v>
      </c>
      <c r="G494" s="157" t="s">
        <v>254</v>
      </c>
      <c r="H494" s="106" t="s">
        <v>2343</v>
      </c>
      <c r="J494" s="22">
        <v>1300</v>
      </c>
      <c r="K494" s="22">
        <v>34</v>
      </c>
      <c r="L494" s="23">
        <f t="shared" ref="L494:L499" si="116">J494*K494</f>
        <v>44200</v>
      </c>
      <c r="M494" s="23">
        <v>0</v>
      </c>
      <c r="N494" s="23">
        <v>0</v>
      </c>
      <c r="O494" s="112">
        <f t="shared" si="106"/>
        <v>44200</v>
      </c>
      <c r="P494" s="33">
        <v>0.18</v>
      </c>
      <c r="Q494" s="119"/>
      <c r="R494" s="112">
        <f t="shared" si="113"/>
        <v>3978</v>
      </c>
      <c r="S494" s="112">
        <f t="shared" si="114"/>
        <v>3978</v>
      </c>
      <c r="T494" s="23">
        <v>0</v>
      </c>
      <c r="U494" s="112">
        <f t="shared" si="115"/>
        <v>52156</v>
      </c>
    </row>
    <row r="495" spans="1:21" ht="17.100000000000001" customHeight="1" x14ac:dyDescent="0.25">
      <c r="A495" s="20">
        <f>IF(C495="","",COUNTA($C$4:C495))</f>
        <v>492</v>
      </c>
      <c r="B495" s="20" t="str">
        <f t="shared" si="112"/>
        <v>December</v>
      </c>
      <c r="C495" s="45">
        <v>46001</v>
      </c>
      <c r="D495" s="31" t="s">
        <v>2344</v>
      </c>
      <c r="E495" s="105" t="s">
        <v>2345</v>
      </c>
      <c r="F495" s="26" t="s">
        <v>2216</v>
      </c>
      <c r="G495" s="157" t="s">
        <v>254</v>
      </c>
      <c r="H495" s="106" t="s">
        <v>2346</v>
      </c>
      <c r="J495" s="22">
        <v>21150</v>
      </c>
      <c r="K495" s="22">
        <v>6.5</v>
      </c>
      <c r="L495" s="23">
        <f t="shared" si="116"/>
        <v>137475</v>
      </c>
      <c r="M495" s="23">
        <v>0</v>
      </c>
      <c r="N495" s="23">
        <v>0</v>
      </c>
      <c r="O495" s="112">
        <f t="shared" si="106"/>
        <v>137475</v>
      </c>
      <c r="P495" s="33">
        <v>0.18</v>
      </c>
      <c r="Q495" s="119">
        <v>0</v>
      </c>
      <c r="R495" s="112">
        <f t="shared" si="113"/>
        <v>12372.75</v>
      </c>
      <c r="S495" s="112">
        <f t="shared" si="114"/>
        <v>12372.75</v>
      </c>
      <c r="T495" s="23">
        <v>0</v>
      </c>
      <c r="U495" s="112">
        <f t="shared" si="115"/>
        <v>162220.5</v>
      </c>
    </row>
    <row r="496" spans="1:21" ht="17.100000000000001" customHeight="1" x14ac:dyDescent="0.25">
      <c r="A496" s="20">
        <f>IF(C496="","",COUNTA($C$4:C496))</f>
        <v>493</v>
      </c>
      <c r="B496" s="20" t="str">
        <f t="shared" si="112"/>
        <v>January</v>
      </c>
      <c r="C496" s="45">
        <v>46039</v>
      </c>
      <c r="D496" s="31" t="s">
        <v>2594</v>
      </c>
      <c r="E496" s="105" t="s">
        <v>2595</v>
      </c>
      <c r="F496" s="26" t="s">
        <v>2596</v>
      </c>
      <c r="G496" s="157" t="s">
        <v>502</v>
      </c>
      <c r="H496" s="106" t="s">
        <v>2597</v>
      </c>
      <c r="I496" s="159" t="s">
        <v>278</v>
      </c>
      <c r="J496" s="22">
        <v>5385</v>
      </c>
      <c r="K496" s="22">
        <v>69.5</v>
      </c>
      <c r="L496" s="23">
        <f t="shared" si="116"/>
        <v>374257.5</v>
      </c>
      <c r="M496" s="23">
        <v>13500</v>
      </c>
      <c r="N496" s="23">
        <v>0</v>
      </c>
      <c r="O496" s="112">
        <f t="shared" si="106"/>
        <v>387757.5</v>
      </c>
      <c r="P496" s="33">
        <v>0.18</v>
      </c>
      <c r="Q496" s="119">
        <v>0</v>
      </c>
      <c r="R496" s="112">
        <f t="shared" si="113"/>
        <v>34898.175000000003</v>
      </c>
      <c r="S496" s="112">
        <f t="shared" si="114"/>
        <v>34898.175000000003</v>
      </c>
      <c r="T496" s="23">
        <v>0</v>
      </c>
      <c r="U496" s="112">
        <f t="shared" si="115"/>
        <v>457553.85</v>
      </c>
    </row>
    <row r="497" spans="1:21" ht="17.100000000000001" customHeight="1" x14ac:dyDescent="0.25">
      <c r="A497" s="20">
        <f>IF(C497="","",COUNTA($C$4:C497))</f>
        <v>494</v>
      </c>
      <c r="B497" s="20" t="str">
        <f t="shared" si="112"/>
        <v>April</v>
      </c>
      <c r="C497" s="45">
        <v>45776</v>
      </c>
      <c r="D497" s="31" t="s">
        <v>311</v>
      </c>
      <c r="E497" s="105" t="s">
        <v>305</v>
      </c>
      <c r="F497" s="26" t="s">
        <v>184</v>
      </c>
      <c r="G497" s="157" t="s">
        <v>93</v>
      </c>
      <c r="H497" s="106" t="s">
        <v>307</v>
      </c>
      <c r="J497" s="22">
        <v>2133.6</v>
      </c>
      <c r="K497" s="64">
        <v>304</v>
      </c>
      <c r="L497" s="23">
        <f t="shared" si="116"/>
        <v>648614.40000000002</v>
      </c>
      <c r="M497" s="23">
        <v>0</v>
      </c>
      <c r="N497" s="23">
        <v>0</v>
      </c>
      <c r="O497" s="112">
        <f t="shared" si="106"/>
        <v>648614.40000000002</v>
      </c>
      <c r="P497" s="33">
        <v>0.18</v>
      </c>
      <c r="Q497" s="118">
        <f>O497*18/100</f>
        <v>116750.592</v>
      </c>
      <c r="R497" s="115">
        <v>0</v>
      </c>
      <c r="S497" s="115">
        <v>0</v>
      </c>
      <c r="T497" s="23">
        <v>0</v>
      </c>
      <c r="U497" s="112">
        <f>O497+Q497</f>
        <v>765364.99200000009</v>
      </c>
    </row>
    <row r="498" spans="1:21" ht="17.100000000000001" customHeight="1" x14ac:dyDescent="0.25">
      <c r="A498" s="20">
        <f>IF(C498="","",COUNTA($C$4:C498))</f>
        <v>495</v>
      </c>
      <c r="B498" s="20" t="str">
        <f t="shared" si="112"/>
        <v>December</v>
      </c>
      <c r="C498" s="45">
        <v>46006</v>
      </c>
      <c r="D498" s="31" t="s">
        <v>2355</v>
      </c>
      <c r="E498" s="105" t="s">
        <v>2356</v>
      </c>
      <c r="F498" s="26"/>
      <c r="G498" s="157" t="s">
        <v>2357</v>
      </c>
      <c r="H498" s="106" t="s">
        <v>2358</v>
      </c>
      <c r="J498" s="22">
        <v>1</v>
      </c>
      <c r="K498" s="22">
        <v>1400</v>
      </c>
      <c r="L498" s="23">
        <f t="shared" si="116"/>
        <v>1400</v>
      </c>
      <c r="M498" s="23">
        <v>0</v>
      </c>
      <c r="N498" s="23">
        <v>0</v>
      </c>
      <c r="O498" s="112">
        <f t="shared" si="106"/>
        <v>1400</v>
      </c>
      <c r="P498" s="33">
        <v>0.18</v>
      </c>
      <c r="Q498" s="119">
        <v>0</v>
      </c>
      <c r="R498" s="112">
        <f t="shared" ref="R498:R504" si="117">O498*9/100</f>
        <v>126</v>
      </c>
      <c r="S498" s="112">
        <f t="shared" ref="S498:S504" si="118">O498*9/100</f>
        <v>126</v>
      </c>
      <c r="T498" s="23">
        <v>0</v>
      </c>
      <c r="U498" s="112">
        <f t="shared" ref="U498:U504" si="119">O498+R498+S498</f>
        <v>1652</v>
      </c>
    </row>
    <row r="499" spans="1:21" ht="17.100000000000001" customHeight="1" x14ac:dyDescent="0.25">
      <c r="A499" s="20">
        <f>IF(C499="","",COUNTA($C$4:C499))</f>
        <v>496</v>
      </c>
      <c r="B499" s="20" t="str">
        <f t="shared" si="112"/>
        <v>December</v>
      </c>
      <c r="C499" s="45">
        <v>46008</v>
      </c>
      <c r="D499" s="31" t="s">
        <v>2359</v>
      </c>
      <c r="E499" s="105" t="s">
        <v>2360</v>
      </c>
      <c r="F499" s="26" t="s">
        <v>2361</v>
      </c>
      <c r="G499" s="157" t="s">
        <v>2362</v>
      </c>
      <c r="H499" s="106" t="s">
        <v>2363</v>
      </c>
      <c r="J499" s="22">
        <v>6</v>
      </c>
      <c r="K499" s="22">
        <v>4725</v>
      </c>
      <c r="L499" s="23">
        <f t="shared" si="116"/>
        <v>28350</v>
      </c>
      <c r="M499" s="23">
        <v>0</v>
      </c>
      <c r="N499" s="23">
        <v>0</v>
      </c>
      <c r="O499" s="112">
        <f t="shared" si="106"/>
        <v>28350</v>
      </c>
      <c r="P499" s="33">
        <v>0.18</v>
      </c>
      <c r="Q499" s="119">
        <v>0</v>
      </c>
      <c r="R499" s="112">
        <f t="shared" si="117"/>
        <v>2551.5</v>
      </c>
      <c r="S499" s="112">
        <f t="shared" si="118"/>
        <v>2551.5</v>
      </c>
      <c r="T499" s="23">
        <v>0</v>
      </c>
      <c r="U499" s="112">
        <f t="shared" si="119"/>
        <v>33453</v>
      </c>
    </row>
    <row r="500" spans="1:21" ht="17.100000000000001" customHeight="1" x14ac:dyDescent="0.25">
      <c r="A500" s="20">
        <f>IF(C500="","",COUNTA($C$4:C500))</f>
        <v>497</v>
      </c>
      <c r="B500" s="20" t="str">
        <f t="shared" si="112"/>
        <v>December</v>
      </c>
      <c r="C500" s="45">
        <v>46009</v>
      </c>
      <c r="D500" s="31" t="s">
        <v>2364</v>
      </c>
      <c r="E500" s="105" t="s">
        <v>2365</v>
      </c>
      <c r="F500" s="26"/>
      <c r="G500" s="157" t="s">
        <v>1001</v>
      </c>
      <c r="H500" s="106" t="s">
        <v>2366</v>
      </c>
      <c r="L500" s="23">
        <v>9831</v>
      </c>
      <c r="M500" s="23">
        <v>0</v>
      </c>
      <c r="N500" s="23">
        <v>0</v>
      </c>
      <c r="O500" s="112">
        <f t="shared" si="106"/>
        <v>9831</v>
      </c>
      <c r="P500" s="33">
        <v>0.18</v>
      </c>
      <c r="Q500" s="119">
        <v>0</v>
      </c>
      <c r="R500" s="112">
        <f t="shared" si="117"/>
        <v>884.79</v>
      </c>
      <c r="S500" s="112">
        <f t="shared" si="118"/>
        <v>884.79</v>
      </c>
      <c r="T500" s="23">
        <v>0</v>
      </c>
      <c r="U500" s="112">
        <f t="shared" si="119"/>
        <v>11600.580000000002</v>
      </c>
    </row>
    <row r="501" spans="1:21" ht="17.100000000000001" customHeight="1" x14ac:dyDescent="0.25">
      <c r="A501" s="20">
        <f>IF(C501="","",COUNTA($C$4:C501))</f>
        <v>498</v>
      </c>
      <c r="B501" s="20" t="str">
        <f t="shared" si="112"/>
        <v>December</v>
      </c>
      <c r="C501" s="45">
        <v>46009</v>
      </c>
      <c r="D501" s="31" t="s">
        <v>2367</v>
      </c>
      <c r="E501" s="105" t="s">
        <v>2368</v>
      </c>
      <c r="F501" s="26" t="s">
        <v>2369</v>
      </c>
      <c r="G501" s="157" t="s">
        <v>415</v>
      </c>
      <c r="H501" s="106" t="s">
        <v>2370</v>
      </c>
      <c r="J501" s="22">
        <v>22</v>
      </c>
      <c r="K501" s="22">
        <v>1652</v>
      </c>
      <c r="L501" s="23">
        <f>J501*K501</f>
        <v>36344</v>
      </c>
      <c r="M501" s="23">
        <v>0</v>
      </c>
      <c r="N501" s="23">
        <v>0</v>
      </c>
      <c r="O501" s="112">
        <f t="shared" si="106"/>
        <v>36344</v>
      </c>
      <c r="P501" s="33">
        <v>0.18</v>
      </c>
      <c r="Q501" s="119">
        <v>0</v>
      </c>
      <c r="R501" s="112">
        <f t="shared" si="117"/>
        <v>3270.96</v>
      </c>
      <c r="S501" s="112">
        <f t="shared" si="118"/>
        <v>3270.96</v>
      </c>
      <c r="T501" s="23">
        <v>0</v>
      </c>
      <c r="U501" s="112">
        <f t="shared" si="119"/>
        <v>42885.919999999998</v>
      </c>
    </row>
    <row r="502" spans="1:21" ht="17.100000000000001" customHeight="1" x14ac:dyDescent="0.25">
      <c r="A502" s="20">
        <f>IF(C502="","",COUNTA($C$4:C502))</f>
        <v>499</v>
      </c>
      <c r="B502" s="20" t="str">
        <f t="shared" si="112"/>
        <v>December</v>
      </c>
      <c r="C502" s="45">
        <v>46010</v>
      </c>
      <c r="D502" s="31" t="s">
        <v>1844</v>
      </c>
      <c r="E502" s="105" t="s">
        <v>2371</v>
      </c>
      <c r="F502" s="26" t="s">
        <v>2372</v>
      </c>
      <c r="G502" s="157" t="s">
        <v>850</v>
      </c>
      <c r="H502" s="106" t="s">
        <v>1541</v>
      </c>
      <c r="J502" s="22">
        <v>1</v>
      </c>
      <c r="K502" s="22">
        <v>18073.16</v>
      </c>
      <c r="L502" s="23">
        <f>J502*K502</f>
        <v>18073.16</v>
      </c>
      <c r="M502" s="23">
        <v>0</v>
      </c>
      <c r="N502" s="23">
        <v>0</v>
      </c>
      <c r="O502" s="112">
        <f t="shared" si="106"/>
        <v>18073.16</v>
      </c>
      <c r="P502" s="33">
        <v>0.18</v>
      </c>
      <c r="Q502" s="119">
        <v>0</v>
      </c>
      <c r="R502" s="112">
        <f t="shared" si="117"/>
        <v>1626.5844</v>
      </c>
      <c r="S502" s="112">
        <f t="shared" si="118"/>
        <v>1626.5844</v>
      </c>
      <c r="T502" s="23"/>
      <c r="U502" s="112">
        <f t="shared" si="119"/>
        <v>21326.328799999999</v>
      </c>
    </row>
    <row r="503" spans="1:21" ht="17.100000000000001" customHeight="1" x14ac:dyDescent="0.25">
      <c r="A503" s="20">
        <f>IF(C503="","",COUNTA($C$4:C503))</f>
        <v>500</v>
      </c>
      <c r="B503" s="20" t="str">
        <f t="shared" si="112"/>
        <v>December</v>
      </c>
      <c r="C503" s="45">
        <v>46011</v>
      </c>
      <c r="D503" s="31" t="s">
        <v>2373</v>
      </c>
      <c r="E503" s="105" t="s">
        <v>2374</v>
      </c>
      <c r="F503" s="26" t="s">
        <v>2375</v>
      </c>
      <c r="G503" s="157" t="s">
        <v>260</v>
      </c>
      <c r="H503" s="106" t="s">
        <v>2376</v>
      </c>
      <c r="L503" s="23">
        <v>85644.83</v>
      </c>
      <c r="M503" s="23">
        <v>0</v>
      </c>
      <c r="N503" s="23">
        <v>0</v>
      </c>
      <c r="O503" s="112">
        <f t="shared" si="106"/>
        <v>85644.83</v>
      </c>
      <c r="P503" s="33">
        <v>0.18</v>
      </c>
      <c r="Q503" s="119">
        <v>0</v>
      </c>
      <c r="R503" s="112">
        <f t="shared" si="117"/>
        <v>7708.0347000000002</v>
      </c>
      <c r="S503" s="112">
        <f t="shared" si="118"/>
        <v>7708.0347000000002</v>
      </c>
      <c r="T503" s="23"/>
      <c r="U503" s="112">
        <f t="shared" si="119"/>
        <v>101060.89940000001</v>
      </c>
    </row>
    <row r="504" spans="1:21" ht="17.100000000000001" customHeight="1" x14ac:dyDescent="0.25">
      <c r="A504" s="20">
        <f>IF(C504="","",COUNTA($C$4:C504))</f>
        <v>501</v>
      </c>
      <c r="B504" s="20" t="str">
        <f t="shared" si="112"/>
        <v>December</v>
      </c>
      <c r="C504" s="45">
        <v>46010</v>
      </c>
      <c r="D504" s="31" t="s">
        <v>2377</v>
      </c>
      <c r="E504" s="105" t="s">
        <v>2378</v>
      </c>
      <c r="F504" s="26" t="s">
        <v>2379</v>
      </c>
      <c r="G504" s="157" t="s">
        <v>334</v>
      </c>
      <c r="H504" s="106" t="s">
        <v>2380</v>
      </c>
      <c r="L504" s="23">
        <v>33400</v>
      </c>
      <c r="M504" s="23">
        <v>0</v>
      </c>
      <c r="N504" s="23">
        <v>0</v>
      </c>
      <c r="O504" s="112">
        <f t="shared" si="106"/>
        <v>33400</v>
      </c>
      <c r="P504" s="33">
        <v>0.18</v>
      </c>
      <c r="Q504" s="119">
        <v>0</v>
      </c>
      <c r="R504" s="112">
        <f t="shared" si="117"/>
        <v>3006</v>
      </c>
      <c r="S504" s="112">
        <f t="shared" si="118"/>
        <v>3006</v>
      </c>
      <c r="T504" s="23">
        <v>0</v>
      </c>
      <c r="U504" s="112">
        <f t="shared" si="119"/>
        <v>39412</v>
      </c>
    </row>
    <row r="505" spans="1:21" ht="17.100000000000001" customHeight="1" x14ac:dyDescent="0.25">
      <c r="A505" s="20">
        <f>IF(C505="","",COUNTA($C$4:C505))</f>
        <v>502</v>
      </c>
      <c r="B505" s="20" t="str">
        <f t="shared" si="112"/>
        <v>December</v>
      </c>
      <c r="C505" s="45">
        <v>45997</v>
      </c>
      <c r="D505" s="131" t="s">
        <v>2388</v>
      </c>
      <c r="E505" s="105" t="s">
        <v>2389</v>
      </c>
      <c r="F505" s="26" t="s">
        <v>2390</v>
      </c>
      <c r="G505" s="157" t="s">
        <v>2391</v>
      </c>
      <c r="H505" s="106" t="s">
        <v>2392</v>
      </c>
      <c r="L505" s="23">
        <v>35370</v>
      </c>
      <c r="M505" s="23">
        <v>0</v>
      </c>
      <c r="N505" s="23">
        <v>0</v>
      </c>
      <c r="O505" s="112">
        <f t="shared" si="106"/>
        <v>35370</v>
      </c>
      <c r="P505" s="33">
        <v>0.18</v>
      </c>
      <c r="Q505" s="118">
        <f>O505*18/100</f>
        <v>6366.6</v>
      </c>
      <c r="R505" s="115">
        <v>0</v>
      </c>
      <c r="S505" s="115">
        <v>0</v>
      </c>
      <c r="T505" s="23">
        <v>0</v>
      </c>
      <c r="U505" s="112">
        <f>O505+Q505</f>
        <v>41736.6</v>
      </c>
    </row>
    <row r="506" spans="1:21" ht="17.100000000000001" customHeight="1" x14ac:dyDescent="0.25">
      <c r="A506" s="20">
        <f>IF(C506="","",COUNTA($C$4:C506))</f>
        <v>503</v>
      </c>
      <c r="B506" s="20" t="str">
        <f t="shared" si="112"/>
        <v>December</v>
      </c>
      <c r="C506" s="45">
        <v>46016</v>
      </c>
      <c r="D506" s="131" t="s">
        <v>2393</v>
      </c>
      <c r="E506" s="105">
        <v>0</v>
      </c>
      <c r="F506" s="26"/>
      <c r="G506" s="157" t="s">
        <v>559</v>
      </c>
      <c r="H506" s="106" t="s">
        <v>2394</v>
      </c>
      <c r="L506" s="23">
        <v>95725</v>
      </c>
      <c r="M506" s="23">
        <v>4000</v>
      </c>
      <c r="N506" s="23">
        <v>0</v>
      </c>
      <c r="O506" s="112">
        <f t="shared" si="106"/>
        <v>99725</v>
      </c>
      <c r="P506" s="33">
        <v>0.18</v>
      </c>
      <c r="Q506" s="118">
        <f>O506*18/100</f>
        <v>17950.5</v>
      </c>
      <c r="R506" s="115">
        <v>0</v>
      </c>
      <c r="S506" s="115">
        <v>0</v>
      </c>
      <c r="T506" s="23">
        <v>0</v>
      </c>
      <c r="U506" s="112">
        <f>O506+Q506</f>
        <v>117675.5</v>
      </c>
    </row>
    <row r="507" spans="1:21" ht="17.100000000000001" customHeight="1" x14ac:dyDescent="0.25">
      <c r="A507" s="20">
        <f>IF(C507="","",COUNTA($C$4:C507))</f>
        <v>504</v>
      </c>
      <c r="B507" s="20" t="str">
        <f t="shared" si="112"/>
        <v>December</v>
      </c>
      <c r="C507" s="45">
        <v>46014</v>
      </c>
      <c r="D507" s="131" t="s">
        <v>2395</v>
      </c>
      <c r="E507" s="105" t="s">
        <v>2396</v>
      </c>
      <c r="F507" s="26" t="s">
        <v>2397</v>
      </c>
      <c r="G507" s="157" t="s">
        <v>2398</v>
      </c>
      <c r="H507" s="106" t="s">
        <v>269</v>
      </c>
      <c r="J507" s="22">
        <v>4</v>
      </c>
      <c r="K507" s="22">
        <v>880.52</v>
      </c>
      <c r="L507" s="23">
        <f t="shared" ref="L507:L514" si="120">J507*K507</f>
        <v>3522.08</v>
      </c>
      <c r="M507" s="23">
        <v>0</v>
      </c>
      <c r="N507" s="23">
        <v>0</v>
      </c>
      <c r="O507" s="112">
        <f t="shared" si="106"/>
        <v>3522.08</v>
      </c>
      <c r="P507" s="33">
        <v>0.18</v>
      </c>
      <c r="Q507" s="119">
        <v>0</v>
      </c>
      <c r="R507" s="112">
        <f>O507*9/100</f>
        <v>316.98720000000003</v>
      </c>
      <c r="S507" s="112">
        <f>O507*9/100</f>
        <v>316.98720000000003</v>
      </c>
      <c r="T507" s="23">
        <v>0</v>
      </c>
      <c r="U507" s="112">
        <f>O507+R507+S507</f>
        <v>4156.0544</v>
      </c>
    </row>
    <row r="508" spans="1:21" ht="17.100000000000001" customHeight="1" x14ac:dyDescent="0.25">
      <c r="A508" s="20">
        <f>IF(C508="","",COUNTA($C$4:C508))</f>
        <v>505</v>
      </c>
      <c r="B508" s="20" t="str">
        <f t="shared" si="112"/>
        <v>April</v>
      </c>
      <c r="C508" s="45">
        <v>45776</v>
      </c>
      <c r="D508" s="31" t="s">
        <v>311</v>
      </c>
      <c r="E508" s="105" t="s">
        <v>305</v>
      </c>
      <c r="F508" s="26" t="s">
        <v>184</v>
      </c>
      <c r="G508" s="157" t="s">
        <v>93</v>
      </c>
      <c r="H508" s="106" t="s">
        <v>308</v>
      </c>
      <c r="J508" s="22">
        <v>936</v>
      </c>
      <c r="K508" s="64">
        <v>375</v>
      </c>
      <c r="L508" s="23">
        <f t="shared" si="120"/>
        <v>351000</v>
      </c>
      <c r="M508" s="23">
        <v>0</v>
      </c>
      <c r="N508" s="23">
        <v>0</v>
      </c>
      <c r="O508" s="112">
        <f t="shared" si="106"/>
        <v>351000</v>
      </c>
      <c r="P508" s="33">
        <v>0.18</v>
      </c>
      <c r="Q508" s="118">
        <f>O508*18/100</f>
        <v>63180</v>
      </c>
      <c r="R508" s="115">
        <v>0</v>
      </c>
      <c r="S508" s="115">
        <v>0</v>
      </c>
      <c r="T508" s="23">
        <v>0</v>
      </c>
      <c r="U508" s="112">
        <f>O508+Q508</f>
        <v>414180</v>
      </c>
    </row>
    <row r="509" spans="1:21" ht="17.100000000000001" customHeight="1" x14ac:dyDescent="0.25">
      <c r="A509" s="20">
        <f>IF(C509="","",COUNTA($C$4:C509))</f>
        <v>506</v>
      </c>
      <c r="B509" s="20" t="str">
        <f t="shared" si="112"/>
        <v>January</v>
      </c>
      <c r="C509" s="45">
        <v>46039</v>
      </c>
      <c r="D509" s="31" t="s">
        <v>2594</v>
      </c>
      <c r="E509" s="105" t="s">
        <v>2595</v>
      </c>
      <c r="F509" s="26" t="s">
        <v>2596</v>
      </c>
      <c r="G509" s="157" t="s">
        <v>502</v>
      </c>
      <c r="H509" s="106" t="s">
        <v>2598</v>
      </c>
      <c r="I509" s="159" t="s">
        <v>276</v>
      </c>
      <c r="J509" s="22">
        <v>6085</v>
      </c>
      <c r="K509" s="22">
        <v>68.5</v>
      </c>
      <c r="L509" s="23">
        <f t="shared" si="120"/>
        <v>416822.5</v>
      </c>
      <c r="M509" s="23">
        <v>0</v>
      </c>
      <c r="N509" s="23">
        <v>0</v>
      </c>
      <c r="O509" s="112">
        <f t="shared" si="106"/>
        <v>416822.5</v>
      </c>
      <c r="P509" s="33">
        <v>0.18</v>
      </c>
      <c r="Q509" s="119">
        <v>0</v>
      </c>
      <c r="R509" s="112">
        <f>O509*9/100</f>
        <v>37514.025000000001</v>
      </c>
      <c r="S509" s="112">
        <f>O509*9/100</f>
        <v>37514.025000000001</v>
      </c>
      <c r="T509" s="23">
        <v>0</v>
      </c>
      <c r="U509" s="112">
        <f>O509+R509+S509</f>
        <v>491850.55000000005</v>
      </c>
    </row>
    <row r="510" spans="1:21" ht="17.100000000000001" customHeight="1" x14ac:dyDescent="0.25">
      <c r="A510" s="20">
        <f>IF(C510="","",COUNTA($C$4:C510))</f>
        <v>507</v>
      </c>
      <c r="B510" s="20" t="str">
        <f t="shared" si="112"/>
        <v>May</v>
      </c>
      <c r="C510" s="45">
        <v>45787</v>
      </c>
      <c r="D510" s="31" t="s">
        <v>436</v>
      </c>
      <c r="E510" s="105" t="s">
        <v>437</v>
      </c>
      <c r="F510" s="26" t="s">
        <v>438</v>
      </c>
      <c r="G510" s="157" t="s">
        <v>93</v>
      </c>
      <c r="H510" s="106" t="s">
        <v>439</v>
      </c>
      <c r="J510" s="22">
        <v>520</v>
      </c>
      <c r="K510" s="64">
        <v>555</v>
      </c>
      <c r="L510" s="23">
        <f t="shared" si="120"/>
        <v>288600</v>
      </c>
      <c r="M510" s="23">
        <v>0</v>
      </c>
      <c r="N510" s="23">
        <v>0</v>
      </c>
      <c r="O510" s="112">
        <f t="shared" si="106"/>
        <v>288600</v>
      </c>
      <c r="P510" s="33">
        <v>0.18</v>
      </c>
      <c r="Q510" s="118">
        <f>O510*18/100</f>
        <v>51948</v>
      </c>
      <c r="R510" s="115">
        <v>0</v>
      </c>
      <c r="S510" s="115">
        <v>0</v>
      </c>
      <c r="T510" s="23">
        <v>0</v>
      </c>
      <c r="U510" s="112">
        <f>O510+Q510</f>
        <v>340548</v>
      </c>
    </row>
    <row r="511" spans="1:21" ht="17.100000000000001" customHeight="1" x14ac:dyDescent="0.25">
      <c r="A511" s="20">
        <f>IF(C511="","",COUNTA($C$4:C511))</f>
        <v>508</v>
      </c>
      <c r="B511" s="20" t="str">
        <f t="shared" si="112"/>
        <v>December</v>
      </c>
      <c r="C511" s="45">
        <v>46016</v>
      </c>
      <c r="D511" s="131" t="s">
        <v>2410</v>
      </c>
      <c r="E511" s="105" t="s">
        <v>2411</v>
      </c>
      <c r="F511" s="26" t="s">
        <v>2375</v>
      </c>
      <c r="G511" s="157" t="s">
        <v>260</v>
      </c>
      <c r="H511" s="106" t="s">
        <v>2412</v>
      </c>
      <c r="J511" s="22">
        <v>199</v>
      </c>
      <c r="K511" s="22">
        <v>18</v>
      </c>
      <c r="L511" s="23">
        <f t="shared" si="120"/>
        <v>3582</v>
      </c>
      <c r="M511" s="23">
        <v>0</v>
      </c>
      <c r="N511" s="23">
        <v>0</v>
      </c>
      <c r="O511" s="112">
        <f t="shared" si="106"/>
        <v>3582</v>
      </c>
      <c r="P511" s="33">
        <v>0.18</v>
      </c>
      <c r="Q511" s="119">
        <v>0</v>
      </c>
      <c r="R511" s="112">
        <f t="shared" ref="R511:R519" si="121">O511*9/100</f>
        <v>322.38</v>
      </c>
      <c r="S511" s="112">
        <f t="shared" ref="S511:S519" si="122">O511*9/100</f>
        <v>322.38</v>
      </c>
      <c r="T511" s="23">
        <v>0</v>
      </c>
      <c r="U511" s="112">
        <f t="shared" ref="U511:U519" si="123">O511+R511+S511</f>
        <v>4226.76</v>
      </c>
    </row>
    <row r="512" spans="1:21" ht="17.100000000000001" customHeight="1" x14ac:dyDescent="0.25">
      <c r="A512" s="20">
        <f>IF(C512="","",COUNTA($C$4:C512))</f>
        <v>509</v>
      </c>
      <c r="B512" s="20" t="str">
        <f t="shared" si="112"/>
        <v>December</v>
      </c>
      <c r="C512" s="45">
        <v>46016</v>
      </c>
      <c r="D512" s="131" t="s">
        <v>2410</v>
      </c>
      <c r="E512" s="105" t="s">
        <v>2411</v>
      </c>
      <c r="F512" s="26" t="s">
        <v>2375</v>
      </c>
      <c r="G512" s="157" t="s">
        <v>260</v>
      </c>
      <c r="H512" s="106" t="s">
        <v>2414</v>
      </c>
      <c r="J512" s="22">
        <v>381</v>
      </c>
      <c r="K512" s="22">
        <v>17</v>
      </c>
      <c r="L512" s="23">
        <f t="shared" si="120"/>
        <v>6477</v>
      </c>
      <c r="M512" s="23">
        <v>0</v>
      </c>
      <c r="N512" s="23">
        <v>0</v>
      </c>
      <c r="O512" s="112">
        <f t="shared" si="106"/>
        <v>6477</v>
      </c>
      <c r="P512" s="33">
        <v>0.18</v>
      </c>
      <c r="Q512" s="119">
        <v>0</v>
      </c>
      <c r="R512" s="112">
        <f t="shared" si="121"/>
        <v>582.92999999999995</v>
      </c>
      <c r="S512" s="112">
        <f t="shared" si="122"/>
        <v>582.92999999999995</v>
      </c>
      <c r="T512" s="23">
        <v>0</v>
      </c>
      <c r="U512" s="112">
        <f t="shared" si="123"/>
        <v>7642.8600000000006</v>
      </c>
    </row>
    <row r="513" spans="1:21" ht="17.100000000000001" customHeight="1" x14ac:dyDescent="0.25">
      <c r="A513" s="20">
        <f>IF(C513="","",COUNTA($C$4:C513))</f>
        <v>510</v>
      </c>
      <c r="B513" s="20" t="str">
        <f t="shared" si="112"/>
        <v>December</v>
      </c>
      <c r="C513" s="45">
        <v>46016</v>
      </c>
      <c r="D513" s="131" t="s">
        <v>2410</v>
      </c>
      <c r="E513" s="105" t="s">
        <v>2411</v>
      </c>
      <c r="F513" s="26" t="s">
        <v>2375</v>
      </c>
      <c r="G513" s="157" t="s">
        <v>260</v>
      </c>
      <c r="H513" s="106" t="s">
        <v>2415</v>
      </c>
      <c r="J513" s="22">
        <v>917</v>
      </c>
      <c r="K513" s="22">
        <v>19</v>
      </c>
      <c r="L513" s="23">
        <f t="shared" si="120"/>
        <v>17423</v>
      </c>
      <c r="M513" s="23">
        <v>0</v>
      </c>
      <c r="N513" s="23">
        <v>0</v>
      </c>
      <c r="O513" s="112">
        <f t="shared" si="106"/>
        <v>17423</v>
      </c>
      <c r="P513" s="33">
        <v>0.18</v>
      </c>
      <c r="Q513" s="119">
        <v>0</v>
      </c>
      <c r="R513" s="112">
        <f t="shared" si="121"/>
        <v>1568.07</v>
      </c>
      <c r="S513" s="112">
        <f t="shared" si="122"/>
        <v>1568.07</v>
      </c>
      <c r="T513" s="23">
        <v>0</v>
      </c>
      <c r="U513" s="112">
        <f t="shared" si="123"/>
        <v>20559.14</v>
      </c>
    </row>
    <row r="514" spans="1:21" ht="17.100000000000001" customHeight="1" x14ac:dyDescent="0.25">
      <c r="A514" s="20">
        <f>IF(C514="","",COUNTA($C$4:C514))</f>
        <v>511</v>
      </c>
      <c r="B514" s="20" t="str">
        <f t="shared" si="112"/>
        <v>December</v>
      </c>
      <c r="C514" s="45">
        <v>46016</v>
      </c>
      <c r="D514" s="131" t="s">
        <v>2410</v>
      </c>
      <c r="E514" s="105" t="s">
        <v>2411</v>
      </c>
      <c r="F514" s="26" t="s">
        <v>2375</v>
      </c>
      <c r="G514" s="157" t="s">
        <v>260</v>
      </c>
      <c r="H514" s="106" t="s">
        <v>2416</v>
      </c>
      <c r="J514" s="22">
        <v>994</v>
      </c>
      <c r="K514" s="22">
        <v>20.5</v>
      </c>
      <c r="L514" s="23">
        <f t="shared" si="120"/>
        <v>20377</v>
      </c>
      <c r="M514" s="23">
        <v>0</v>
      </c>
      <c r="N514" s="23">
        <v>0</v>
      </c>
      <c r="O514" s="112">
        <f t="shared" si="106"/>
        <v>20377</v>
      </c>
      <c r="P514" s="33">
        <v>0.18</v>
      </c>
      <c r="Q514" s="119">
        <v>0</v>
      </c>
      <c r="R514" s="112">
        <f t="shared" si="121"/>
        <v>1833.93</v>
      </c>
      <c r="S514" s="112">
        <f t="shared" si="122"/>
        <v>1833.93</v>
      </c>
      <c r="T514" s="23">
        <v>0</v>
      </c>
      <c r="U514" s="112">
        <f t="shared" si="123"/>
        <v>24044.86</v>
      </c>
    </row>
    <row r="515" spans="1:21" ht="17.100000000000001" customHeight="1" x14ac:dyDescent="0.25">
      <c r="A515" s="20">
        <f>IF(C515="","",COUNTA($C$4:C515))</f>
        <v>512</v>
      </c>
      <c r="B515" s="20" t="str">
        <f t="shared" si="112"/>
        <v>December</v>
      </c>
      <c r="C515" s="45">
        <v>46017</v>
      </c>
      <c r="D515" s="131" t="s">
        <v>2417</v>
      </c>
      <c r="E515" s="105" t="s">
        <v>2418</v>
      </c>
      <c r="F515" s="26" t="s">
        <v>2419</v>
      </c>
      <c r="G515" s="157" t="s">
        <v>965</v>
      </c>
      <c r="H515" s="106" t="s">
        <v>2420</v>
      </c>
      <c r="L515" s="23">
        <v>93100</v>
      </c>
      <c r="M515" s="23">
        <v>0</v>
      </c>
      <c r="N515" s="23">
        <v>0</v>
      </c>
      <c r="O515" s="112">
        <f t="shared" si="106"/>
        <v>93100</v>
      </c>
      <c r="P515" s="33">
        <v>0.18</v>
      </c>
      <c r="Q515" s="119">
        <v>0</v>
      </c>
      <c r="R515" s="112">
        <f t="shared" si="121"/>
        <v>8379</v>
      </c>
      <c r="S515" s="112">
        <f t="shared" si="122"/>
        <v>8379</v>
      </c>
      <c r="T515" s="23">
        <v>0</v>
      </c>
      <c r="U515" s="112">
        <f t="shared" si="123"/>
        <v>109858</v>
      </c>
    </row>
    <row r="516" spans="1:21" ht="17.100000000000001" customHeight="1" x14ac:dyDescent="0.25">
      <c r="A516" s="20">
        <f>IF(C516="","",COUNTA($C$4:C516))</f>
        <v>513</v>
      </c>
      <c r="B516" s="20" t="str">
        <f t="shared" si="112"/>
        <v>December</v>
      </c>
      <c r="C516" s="45">
        <v>46017</v>
      </c>
      <c r="D516" s="131" t="s">
        <v>2421</v>
      </c>
      <c r="E516" s="105" t="s">
        <v>2422</v>
      </c>
      <c r="F516" s="26" t="s">
        <v>2423</v>
      </c>
      <c r="G516" s="157" t="s">
        <v>965</v>
      </c>
      <c r="H516" s="106" t="s">
        <v>2424</v>
      </c>
      <c r="L516" s="23">
        <v>77900</v>
      </c>
      <c r="M516" s="23">
        <v>0</v>
      </c>
      <c r="N516" s="23">
        <v>0</v>
      </c>
      <c r="O516" s="112">
        <f t="shared" si="106"/>
        <v>77900</v>
      </c>
      <c r="P516" s="33">
        <v>0.18</v>
      </c>
      <c r="Q516" s="119">
        <v>0</v>
      </c>
      <c r="R516" s="112">
        <f t="shared" si="121"/>
        <v>7011</v>
      </c>
      <c r="S516" s="112">
        <f t="shared" si="122"/>
        <v>7011</v>
      </c>
      <c r="T516" s="23">
        <v>0</v>
      </c>
      <c r="U516" s="112">
        <f t="shared" si="123"/>
        <v>91922</v>
      </c>
    </row>
    <row r="517" spans="1:21" ht="17.100000000000001" customHeight="1" x14ac:dyDescent="0.25">
      <c r="A517" s="20">
        <f>IF(C517="","",COUNTA($C$4:C517))</f>
        <v>514</v>
      </c>
      <c r="B517" s="20" t="str">
        <f t="shared" si="112"/>
        <v>December</v>
      </c>
      <c r="C517" s="45">
        <v>46017</v>
      </c>
      <c r="D517" s="131" t="s">
        <v>2425</v>
      </c>
      <c r="E517" s="105" t="s">
        <v>2426</v>
      </c>
      <c r="F517" s="26"/>
      <c r="G517" s="157" t="s">
        <v>206</v>
      </c>
      <c r="H517" s="106" t="s">
        <v>2427</v>
      </c>
      <c r="J517" s="22">
        <v>1</v>
      </c>
      <c r="K517" s="22">
        <v>5000</v>
      </c>
      <c r="L517" s="23">
        <f t="shared" ref="L517:L525" si="124">J517*K517</f>
        <v>5000</v>
      </c>
      <c r="M517" s="23">
        <v>0</v>
      </c>
      <c r="N517" s="23">
        <v>0</v>
      </c>
      <c r="O517" s="112">
        <f t="shared" si="106"/>
        <v>5000</v>
      </c>
      <c r="P517" s="33">
        <v>0.18</v>
      </c>
      <c r="Q517" s="119">
        <v>0</v>
      </c>
      <c r="R517" s="112">
        <f t="shared" si="121"/>
        <v>450</v>
      </c>
      <c r="S517" s="112">
        <f t="shared" si="122"/>
        <v>450</v>
      </c>
      <c r="T517" s="23">
        <v>0</v>
      </c>
      <c r="U517" s="112">
        <f t="shared" si="123"/>
        <v>5900</v>
      </c>
    </row>
    <row r="518" spans="1:21" ht="17.100000000000001" customHeight="1" x14ac:dyDescent="0.25">
      <c r="A518" s="20">
        <f>IF(C518="","",COUNTA($C$4:C518))</f>
        <v>515</v>
      </c>
      <c r="B518" s="20" t="str">
        <f t="shared" si="112"/>
        <v>December</v>
      </c>
      <c r="C518" s="45">
        <v>46017</v>
      </c>
      <c r="D518" s="131" t="s">
        <v>2428</v>
      </c>
      <c r="E518" s="105" t="s">
        <v>2429</v>
      </c>
      <c r="F518" s="26"/>
      <c r="G518" s="157" t="s">
        <v>60</v>
      </c>
      <c r="H518" s="106" t="s">
        <v>2430</v>
      </c>
      <c r="J518" s="22">
        <v>52</v>
      </c>
      <c r="K518" s="22">
        <v>155</v>
      </c>
      <c r="L518" s="23">
        <f t="shared" si="124"/>
        <v>8060</v>
      </c>
      <c r="M518" s="23">
        <v>0</v>
      </c>
      <c r="N518" s="23">
        <v>0</v>
      </c>
      <c r="O518" s="112">
        <f t="shared" si="106"/>
        <v>8060</v>
      </c>
      <c r="P518" s="33">
        <v>0.18</v>
      </c>
      <c r="Q518" s="119">
        <v>0</v>
      </c>
      <c r="R518" s="112">
        <f t="shared" si="121"/>
        <v>725.4</v>
      </c>
      <c r="S518" s="112">
        <f t="shared" si="122"/>
        <v>725.4</v>
      </c>
      <c r="T518" s="23">
        <v>0</v>
      </c>
      <c r="U518" s="112">
        <f t="shared" si="123"/>
        <v>9510.7999999999993</v>
      </c>
    </row>
    <row r="519" spans="1:21" ht="17.100000000000001" customHeight="1" x14ac:dyDescent="0.25">
      <c r="A519" s="20">
        <f>IF(C519="","",COUNTA($C$4:C519))</f>
        <v>516</v>
      </c>
      <c r="B519" s="20" t="str">
        <f t="shared" si="112"/>
        <v>December</v>
      </c>
      <c r="C519" s="45">
        <v>46018</v>
      </c>
      <c r="D519" s="131" t="s">
        <v>2431</v>
      </c>
      <c r="E519" s="105" t="s">
        <v>2432</v>
      </c>
      <c r="F519" s="26"/>
      <c r="G519" s="157" t="s">
        <v>529</v>
      </c>
      <c r="H519" s="106" t="s">
        <v>2433</v>
      </c>
      <c r="J519" s="22">
        <v>7800</v>
      </c>
      <c r="K519" s="22">
        <v>72</v>
      </c>
      <c r="L519" s="23">
        <f t="shared" si="124"/>
        <v>561600</v>
      </c>
      <c r="M519" s="23">
        <v>5500</v>
      </c>
      <c r="N519" s="23">
        <v>1170</v>
      </c>
      <c r="O519" s="112">
        <f t="shared" ref="O519:O582" si="125">L519+M519+N519</f>
        <v>568270</v>
      </c>
      <c r="P519" s="33">
        <v>0.18</v>
      </c>
      <c r="Q519" s="119">
        <v>0</v>
      </c>
      <c r="R519" s="112">
        <f t="shared" si="121"/>
        <v>51144.3</v>
      </c>
      <c r="S519" s="112">
        <f t="shared" si="122"/>
        <v>51144.3</v>
      </c>
      <c r="T519" s="23">
        <v>0</v>
      </c>
      <c r="U519" s="112">
        <f t="shared" si="123"/>
        <v>670558.60000000009</v>
      </c>
    </row>
    <row r="520" spans="1:21" ht="17.100000000000001" customHeight="1" x14ac:dyDescent="0.25">
      <c r="A520" s="20">
        <f>IF(C520="","",COUNTA($C$4:C520))</f>
        <v>517</v>
      </c>
      <c r="B520" s="20" t="str">
        <f t="shared" si="112"/>
        <v>May</v>
      </c>
      <c r="C520" s="45">
        <v>45803</v>
      </c>
      <c r="D520" s="31" t="s">
        <v>596</v>
      </c>
      <c r="E520" s="105" t="s">
        <v>597</v>
      </c>
      <c r="F520" s="26" t="s">
        <v>438</v>
      </c>
      <c r="G520" s="157" t="s">
        <v>93</v>
      </c>
      <c r="H520" s="106" t="s">
        <v>598</v>
      </c>
      <c r="J520" s="22">
        <v>480</v>
      </c>
      <c r="K520" s="64">
        <v>555</v>
      </c>
      <c r="L520" s="23">
        <f t="shared" si="124"/>
        <v>266400</v>
      </c>
      <c r="M520" s="23">
        <v>0</v>
      </c>
      <c r="N520" s="23">
        <v>0</v>
      </c>
      <c r="O520" s="112">
        <f t="shared" si="125"/>
        <v>266400</v>
      </c>
      <c r="P520" s="33">
        <v>0.18</v>
      </c>
      <c r="Q520" s="118">
        <f>O520*18/100</f>
        <v>47952</v>
      </c>
      <c r="R520" s="115">
        <v>0</v>
      </c>
      <c r="S520" s="115">
        <v>0</v>
      </c>
      <c r="T520" s="23">
        <v>0</v>
      </c>
      <c r="U520" s="112">
        <f>O520+Q520</f>
        <v>314352</v>
      </c>
    </row>
    <row r="521" spans="1:21" ht="17.100000000000001" customHeight="1" x14ac:dyDescent="0.25">
      <c r="A521" s="20">
        <f>IF(C521="","",COUNTA($C$4:C521))</f>
        <v>518</v>
      </c>
      <c r="B521" s="20" t="str">
        <f t="shared" si="112"/>
        <v>December</v>
      </c>
      <c r="C521" s="45">
        <v>46018</v>
      </c>
      <c r="D521" s="131" t="s">
        <v>2439</v>
      </c>
      <c r="E521" s="105" t="s">
        <v>2440</v>
      </c>
      <c r="F521" s="26" t="s">
        <v>2441</v>
      </c>
      <c r="G521" s="157" t="s">
        <v>248</v>
      </c>
      <c r="H521" s="106" t="s">
        <v>1210</v>
      </c>
      <c r="J521" s="22">
        <v>500</v>
      </c>
      <c r="K521" s="22">
        <v>11</v>
      </c>
      <c r="L521" s="23">
        <f t="shared" si="124"/>
        <v>5500</v>
      </c>
      <c r="M521" s="23">
        <v>0</v>
      </c>
      <c r="N521" s="23"/>
      <c r="O521" s="112">
        <f t="shared" si="125"/>
        <v>5500</v>
      </c>
      <c r="P521" s="33">
        <v>0.05</v>
      </c>
      <c r="Q521" s="119">
        <v>0</v>
      </c>
      <c r="R521" s="112">
        <f>O521*2.5/100</f>
        <v>137.5</v>
      </c>
      <c r="S521" s="112">
        <f>O521*2.5/100</f>
        <v>137.5</v>
      </c>
      <c r="T521" s="23">
        <v>0</v>
      </c>
      <c r="U521" s="112">
        <f>O521+R521+S521</f>
        <v>5775</v>
      </c>
    </row>
    <row r="522" spans="1:21" ht="17.100000000000001" customHeight="1" x14ac:dyDescent="0.25">
      <c r="A522" s="20">
        <f>IF(C522="","",COUNTA($C$4:C522))</f>
        <v>519</v>
      </c>
      <c r="B522" s="20" t="str">
        <f t="shared" si="112"/>
        <v>December</v>
      </c>
      <c r="C522" s="45">
        <v>46018</v>
      </c>
      <c r="D522" s="131" t="s">
        <v>2439</v>
      </c>
      <c r="E522" s="105" t="s">
        <v>2440</v>
      </c>
      <c r="F522" s="26" t="s">
        <v>2441</v>
      </c>
      <c r="G522" s="157" t="s">
        <v>248</v>
      </c>
      <c r="H522" s="106" t="s">
        <v>2442</v>
      </c>
      <c r="J522" s="22">
        <v>50</v>
      </c>
      <c r="K522" s="22">
        <v>58</v>
      </c>
      <c r="L522" s="23">
        <f t="shared" si="124"/>
        <v>2900</v>
      </c>
      <c r="M522" s="23">
        <v>0</v>
      </c>
      <c r="N522" s="23">
        <v>0</v>
      </c>
      <c r="O522" s="112">
        <f t="shared" si="125"/>
        <v>2900</v>
      </c>
      <c r="P522" s="33">
        <v>0.05</v>
      </c>
      <c r="Q522" s="119">
        <v>0</v>
      </c>
      <c r="R522" s="112">
        <f>O522*2.5/100</f>
        <v>72.5</v>
      </c>
      <c r="S522" s="112">
        <f>O522*2.5/100</f>
        <v>72.5</v>
      </c>
      <c r="T522" s="23">
        <v>0</v>
      </c>
      <c r="U522" s="112">
        <f>O522+R522+S522</f>
        <v>3045</v>
      </c>
    </row>
    <row r="523" spans="1:21" ht="17.100000000000001" customHeight="1" x14ac:dyDescent="0.25">
      <c r="A523" s="20">
        <f>IF(C523="","",COUNTA($C$4:C523))</f>
        <v>520</v>
      </c>
      <c r="B523" s="20" t="str">
        <f t="shared" si="112"/>
        <v>December</v>
      </c>
      <c r="C523" s="45">
        <v>46018</v>
      </c>
      <c r="D523" s="131" t="s">
        <v>2439</v>
      </c>
      <c r="E523" s="105" t="s">
        <v>2440</v>
      </c>
      <c r="F523" s="26" t="s">
        <v>2441</v>
      </c>
      <c r="G523" s="157" t="s">
        <v>248</v>
      </c>
      <c r="H523" s="106" t="s">
        <v>1729</v>
      </c>
      <c r="J523" s="22">
        <v>500</v>
      </c>
      <c r="K523" s="22">
        <v>8.9</v>
      </c>
      <c r="L523" s="23">
        <f t="shared" si="124"/>
        <v>4450</v>
      </c>
      <c r="M523" s="23">
        <v>0</v>
      </c>
      <c r="N523" s="23">
        <v>0</v>
      </c>
      <c r="O523" s="112">
        <f t="shared" si="125"/>
        <v>4450</v>
      </c>
      <c r="P523" s="33">
        <v>0.18</v>
      </c>
      <c r="Q523" s="119">
        <v>0</v>
      </c>
      <c r="R523" s="112">
        <f>O523*9/100</f>
        <v>400.5</v>
      </c>
      <c r="S523" s="112">
        <f>O523*9/100</f>
        <v>400.5</v>
      </c>
      <c r="T523" s="23">
        <v>0</v>
      </c>
      <c r="U523" s="112">
        <f>O523+R523+S523</f>
        <v>5251</v>
      </c>
    </row>
    <row r="524" spans="1:21" ht="17.100000000000001" customHeight="1" x14ac:dyDescent="0.25">
      <c r="A524" s="20">
        <f>IF(C524="","",COUNTA($C$4:C524))</f>
        <v>521</v>
      </c>
      <c r="B524" s="20" t="str">
        <f t="shared" si="112"/>
        <v>December</v>
      </c>
      <c r="C524" s="45">
        <v>46020</v>
      </c>
      <c r="D524" s="131" t="s">
        <v>2443</v>
      </c>
      <c r="E524" s="105" t="s">
        <v>2444</v>
      </c>
      <c r="F524" s="26"/>
      <c r="G524" s="157" t="s">
        <v>2445</v>
      </c>
      <c r="H524" s="106" t="s">
        <v>2446</v>
      </c>
      <c r="J524" s="22">
        <v>1</v>
      </c>
      <c r="K524" s="22">
        <v>3746</v>
      </c>
      <c r="L524" s="23">
        <f t="shared" si="124"/>
        <v>3746</v>
      </c>
      <c r="M524" s="23">
        <v>0</v>
      </c>
      <c r="N524" s="23">
        <v>0</v>
      </c>
      <c r="O524" s="112">
        <f t="shared" si="125"/>
        <v>3746</v>
      </c>
      <c r="P524" s="33">
        <v>0.18</v>
      </c>
      <c r="Q524" s="119">
        <v>0</v>
      </c>
      <c r="R524" s="112">
        <f>O524*9/100</f>
        <v>337.14</v>
      </c>
      <c r="S524" s="112">
        <f>O524*9/100</f>
        <v>337.14</v>
      </c>
      <c r="T524" s="23">
        <v>0</v>
      </c>
      <c r="U524" s="112">
        <f>O524+R524+S524</f>
        <v>4420.28</v>
      </c>
    </row>
    <row r="525" spans="1:21" ht="17.100000000000001" customHeight="1" x14ac:dyDescent="0.25">
      <c r="A525" s="20">
        <f>IF(C525="","",COUNTA($C$4:C525))</f>
        <v>522</v>
      </c>
      <c r="B525" s="20" t="str">
        <f t="shared" si="112"/>
        <v>December</v>
      </c>
      <c r="C525" s="45">
        <v>46022</v>
      </c>
      <c r="D525" s="31" t="s">
        <v>2447</v>
      </c>
      <c r="E525" s="105" t="s">
        <v>2448</v>
      </c>
      <c r="F525" s="26" t="s">
        <v>2449</v>
      </c>
      <c r="G525" s="157" t="s">
        <v>559</v>
      </c>
      <c r="H525" s="106" t="s">
        <v>2450</v>
      </c>
      <c r="J525" s="22">
        <v>2</v>
      </c>
      <c r="K525" s="22">
        <v>143000</v>
      </c>
      <c r="L525" s="23">
        <f t="shared" si="124"/>
        <v>286000</v>
      </c>
      <c r="M525" s="23">
        <v>4000</v>
      </c>
      <c r="N525" s="23">
        <v>0</v>
      </c>
      <c r="O525" s="112">
        <f t="shared" si="125"/>
        <v>290000</v>
      </c>
      <c r="P525" s="33">
        <v>0.18</v>
      </c>
      <c r="Q525" s="118">
        <f>O525*18/100</f>
        <v>52200</v>
      </c>
      <c r="R525" s="115">
        <v>0</v>
      </c>
      <c r="S525" s="115">
        <v>0</v>
      </c>
      <c r="T525" s="23">
        <v>0</v>
      </c>
      <c r="U525" s="112">
        <f>O525+Q525</f>
        <v>342200</v>
      </c>
    </row>
    <row r="526" spans="1:21" ht="17.100000000000001" customHeight="1" x14ac:dyDescent="0.25">
      <c r="A526" s="20">
        <f>IF(C526="","",COUNTA($C$4:C526))</f>
        <v>523</v>
      </c>
      <c r="B526" s="20" t="str">
        <f t="shared" si="112"/>
        <v>December</v>
      </c>
      <c r="C526" s="45">
        <v>46020</v>
      </c>
      <c r="D526" s="31" t="s">
        <v>2451</v>
      </c>
      <c r="E526" s="105" t="s">
        <v>2452</v>
      </c>
      <c r="F526" s="26"/>
      <c r="G526" s="157" t="s">
        <v>342</v>
      </c>
      <c r="H526" s="106" t="s">
        <v>207</v>
      </c>
      <c r="L526" s="23">
        <v>5525</v>
      </c>
      <c r="M526" s="23">
        <v>0</v>
      </c>
      <c r="N526" s="23">
        <v>0</v>
      </c>
      <c r="O526" s="112">
        <f t="shared" si="125"/>
        <v>5525</v>
      </c>
      <c r="P526" s="33">
        <v>0.18</v>
      </c>
      <c r="Q526" s="119">
        <v>0</v>
      </c>
      <c r="R526" s="112">
        <f t="shared" ref="R526:R537" si="126">O526*9/100</f>
        <v>497.25</v>
      </c>
      <c r="S526" s="112">
        <f t="shared" ref="S526:S537" si="127">O526*9/100</f>
        <v>497.25</v>
      </c>
      <c r="T526" s="23">
        <v>0</v>
      </c>
      <c r="U526" s="112">
        <f t="shared" ref="U526:U537" si="128">O526+R526+S526</f>
        <v>6519.5</v>
      </c>
    </row>
    <row r="527" spans="1:21" ht="17.100000000000001" customHeight="1" x14ac:dyDescent="0.25">
      <c r="A527" s="20">
        <f>IF(C527="","",COUNTA($C$4:C527))</f>
        <v>524</v>
      </c>
      <c r="B527" s="20" t="str">
        <f t="shared" si="112"/>
        <v>December</v>
      </c>
      <c r="C527" s="45">
        <v>46021</v>
      </c>
      <c r="D527" s="31" t="s">
        <v>2453</v>
      </c>
      <c r="E527" s="105" t="s">
        <v>2454</v>
      </c>
      <c r="F527" s="26"/>
      <c r="G527" s="157" t="s">
        <v>2362</v>
      </c>
      <c r="H527" s="106" t="s">
        <v>2455</v>
      </c>
      <c r="L527" s="23">
        <v>28982</v>
      </c>
      <c r="M527" s="23">
        <v>0</v>
      </c>
      <c r="N527" s="23">
        <v>0</v>
      </c>
      <c r="O527" s="112">
        <f t="shared" si="125"/>
        <v>28982</v>
      </c>
      <c r="P527" s="33">
        <v>0.18</v>
      </c>
      <c r="Q527" s="119">
        <v>0</v>
      </c>
      <c r="R527" s="112">
        <f t="shared" si="126"/>
        <v>2608.38</v>
      </c>
      <c r="S527" s="112">
        <f t="shared" si="127"/>
        <v>2608.38</v>
      </c>
      <c r="T527" s="23">
        <v>0</v>
      </c>
      <c r="U527" s="112">
        <f t="shared" si="128"/>
        <v>34198.76</v>
      </c>
    </row>
    <row r="528" spans="1:21" ht="17.100000000000001" customHeight="1" x14ac:dyDescent="0.25">
      <c r="A528" s="20">
        <f>IF(C528="","",COUNTA($C$4:C528))</f>
        <v>525</v>
      </c>
      <c r="B528" s="20" t="str">
        <f t="shared" si="112"/>
        <v>December</v>
      </c>
      <c r="C528" s="45">
        <v>46022</v>
      </c>
      <c r="D528" s="31" t="s">
        <v>2456</v>
      </c>
      <c r="E528" s="105" t="s">
        <v>2457</v>
      </c>
      <c r="F528" s="26"/>
      <c r="G528" s="157" t="s">
        <v>342</v>
      </c>
      <c r="H528" s="106" t="s">
        <v>207</v>
      </c>
      <c r="L528" s="23">
        <v>9020</v>
      </c>
      <c r="M528" s="23">
        <v>0</v>
      </c>
      <c r="N528" s="23">
        <v>0</v>
      </c>
      <c r="O528" s="112">
        <f t="shared" si="125"/>
        <v>9020</v>
      </c>
      <c r="P528" s="33">
        <v>0.18</v>
      </c>
      <c r="Q528" s="119">
        <v>0</v>
      </c>
      <c r="R528" s="112">
        <f t="shared" si="126"/>
        <v>811.8</v>
      </c>
      <c r="S528" s="112">
        <f t="shared" si="127"/>
        <v>811.8</v>
      </c>
      <c r="T528" s="23">
        <v>0</v>
      </c>
      <c r="U528" s="112">
        <f t="shared" si="128"/>
        <v>10643.599999999999</v>
      </c>
    </row>
    <row r="529" spans="1:21" ht="17.100000000000001" customHeight="1" x14ac:dyDescent="0.25">
      <c r="A529" s="20">
        <f>IF(C529="","",COUNTA($C$4:C529))</f>
        <v>526</v>
      </c>
      <c r="B529" s="20" t="str">
        <f t="shared" si="112"/>
        <v>December</v>
      </c>
      <c r="C529" s="45">
        <v>46022</v>
      </c>
      <c r="D529" s="31" t="s">
        <v>2458</v>
      </c>
      <c r="E529" s="105" t="s">
        <v>2459</v>
      </c>
      <c r="F529" s="26"/>
      <c r="G529" s="157" t="s">
        <v>529</v>
      </c>
      <c r="H529" s="106" t="s">
        <v>2460</v>
      </c>
      <c r="J529" s="22">
        <v>7013</v>
      </c>
      <c r="K529" s="22">
        <v>72</v>
      </c>
      <c r="L529" s="23">
        <f>J529*K529</f>
        <v>504936</v>
      </c>
      <c r="M529" s="23">
        <v>5500</v>
      </c>
      <c r="N529" s="23">
        <v>1400</v>
      </c>
      <c r="O529" s="112">
        <f t="shared" si="125"/>
        <v>511836</v>
      </c>
      <c r="P529" s="33">
        <v>0.18</v>
      </c>
      <c r="Q529" s="119">
        <v>0</v>
      </c>
      <c r="R529" s="112">
        <f t="shared" si="126"/>
        <v>46065.24</v>
      </c>
      <c r="S529" s="112">
        <f t="shared" si="127"/>
        <v>46065.24</v>
      </c>
      <c r="T529" s="23">
        <v>0</v>
      </c>
      <c r="U529" s="112">
        <f t="shared" si="128"/>
        <v>603966.48</v>
      </c>
    </row>
    <row r="530" spans="1:21" ht="17.100000000000001" customHeight="1" x14ac:dyDescent="0.25">
      <c r="A530" s="20">
        <f>IF(C530="","",COUNTA($C$4:C530))</f>
        <v>527</v>
      </c>
      <c r="B530" s="20" t="str">
        <f t="shared" si="112"/>
        <v>December</v>
      </c>
      <c r="C530" s="45">
        <v>46022</v>
      </c>
      <c r="D530" s="31" t="s">
        <v>2461</v>
      </c>
      <c r="E530" s="105" t="s">
        <v>2462</v>
      </c>
      <c r="F530" s="26" t="s">
        <v>2216</v>
      </c>
      <c r="G530" s="157" t="s">
        <v>254</v>
      </c>
      <c r="H530" s="106" t="s">
        <v>2463</v>
      </c>
      <c r="J530" s="22">
        <v>12000</v>
      </c>
      <c r="K530" s="22">
        <v>4.5</v>
      </c>
      <c r="L530" s="23">
        <f>J530*K530</f>
        <v>54000</v>
      </c>
      <c r="M530" s="23">
        <v>0</v>
      </c>
      <c r="N530" s="23">
        <v>0</v>
      </c>
      <c r="O530" s="112">
        <f t="shared" si="125"/>
        <v>54000</v>
      </c>
      <c r="P530" s="33">
        <v>0.18</v>
      </c>
      <c r="Q530" s="119">
        <v>0</v>
      </c>
      <c r="R530" s="112">
        <f t="shared" si="126"/>
        <v>4860</v>
      </c>
      <c r="S530" s="112">
        <f t="shared" si="127"/>
        <v>4860</v>
      </c>
      <c r="T530" s="23">
        <v>0</v>
      </c>
      <c r="U530" s="112">
        <f t="shared" si="128"/>
        <v>63720</v>
      </c>
    </row>
    <row r="531" spans="1:21" ht="17.100000000000001" customHeight="1" x14ac:dyDescent="0.25">
      <c r="A531" s="20">
        <f>IF(C531="","",COUNTA($C$4:C531))</f>
        <v>528</v>
      </c>
      <c r="B531" s="20" t="str">
        <f t="shared" si="112"/>
        <v>December</v>
      </c>
      <c r="C531" s="45">
        <v>46022</v>
      </c>
      <c r="D531" s="31" t="s">
        <v>2464</v>
      </c>
      <c r="E531" s="105" t="s">
        <v>2465</v>
      </c>
      <c r="F531" s="26" t="s">
        <v>2466</v>
      </c>
      <c r="G531" s="157" t="s">
        <v>254</v>
      </c>
      <c r="H531" s="106" t="s">
        <v>2467</v>
      </c>
      <c r="J531" s="22">
        <v>10350</v>
      </c>
      <c r="K531" s="22">
        <v>7.5</v>
      </c>
      <c r="L531" s="23">
        <f>J531*K531</f>
        <v>77625</v>
      </c>
      <c r="M531" s="23">
        <v>0</v>
      </c>
      <c r="N531" s="23">
        <v>0</v>
      </c>
      <c r="O531" s="112">
        <f t="shared" si="125"/>
        <v>77625</v>
      </c>
      <c r="P531" s="33">
        <v>0.18</v>
      </c>
      <c r="Q531" s="119">
        <v>0</v>
      </c>
      <c r="R531" s="112">
        <f t="shared" si="126"/>
        <v>6986.25</v>
      </c>
      <c r="S531" s="112">
        <f t="shared" si="127"/>
        <v>6986.25</v>
      </c>
      <c r="T531" s="23">
        <v>0</v>
      </c>
      <c r="U531" s="112">
        <f t="shared" si="128"/>
        <v>91597.5</v>
      </c>
    </row>
    <row r="532" spans="1:21" ht="17.100000000000001" customHeight="1" x14ac:dyDescent="0.25">
      <c r="A532" s="20">
        <f>IF(C532="","",COUNTA($C$4:C532))</f>
        <v>529</v>
      </c>
      <c r="B532" s="20" t="str">
        <f t="shared" si="112"/>
        <v>December</v>
      </c>
      <c r="C532" s="45">
        <v>46022</v>
      </c>
      <c r="D532" s="31" t="s">
        <v>2468</v>
      </c>
      <c r="E532" s="105" t="s">
        <v>2469</v>
      </c>
      <c r="F532" s="26" t="s">
        <v>2375</v>
      </c>
      <c r="G532" s="157" t="s">
        <v>260</v>
      </c>
      <c r="H532" s="106" t="s">
        <v>2470</v>
      </c>
      <c r="L532" s="23">
        <v>55048</v>
      </c>
      <c r="M532" s="23">
        <v>0</v>
      </c>
      <c r="N532" s="23">
        <v>0</v>
      </c>
      <c r="O532" s="112">
        <f t="shared" si="125"/>
        <v>55048</v>
      </c>
      <c r="P532" s="33">
        <v>0.18</v>
      </c>
      <c r="Q532" s="119">
        <v>0</v>
      </c>
      <c r="R532" s="112">
        <f t="shared" si="126"/>
        <v>4954.32</v>
      </c>
      <c r="S532" s="112">
        <f t="shared" si="127"/>
        <v>4954.32</v>
      </c>
      <c r="T532" s="23">
        <v>0</v>
      </c>
      <c r="U532" s="112">
        <f t="shared" si="128"/>
        <v>64956.639999999999</v>
      </c>
    </row>
    <row r="533" spans="1:21" ht="17.100000000000001" customHeight="1" x14ac:dyDescent="0.25">
      <c r="A533" s="20">
        <f>IF(C533="","",COUNTA($C$4:C533))</f>
        <v>530</v>
      </c>
      <c r="B533" s="20" t="str">
        <f t="shared" si="112"/>
        <v>December</v>
      </c>
      <c r="C533" s="45">
        <v>46022</v>
      </c>
      <c r="D533" s="31" t="s">
        <v>2471</v>
      </c>
      <c r="E533" s="105" t="s">
        <v>2472</v>
      </c>
      <c r="F533" s="26" t="s">
        <v>2375</v>
      </c>
      <c r="G533" s="157" t="s">
        <v>260</v>
      </c>
      <c r="H533" s="106" t="s">
        <v>2473</v>
      </c>
      <c r="L533" s="23">
        <v>16539.169999999998</v>
      </c>
      <c r="M533" s="23">
        <v>0</v>
      </c>
      <c r="N533" s="23">
        <v>0</v>
      </c>
      <c r="O533" s="112">
        <f t="shared" si="125"/>
        <v>16539.169999999998</v>
      </c>
      <c r="P533" s="33">
        <v>0.18</v>
      </c>
      <c r="Q533" s="119">
        <v>0</v>
      </c>
      <c r="R533" s="112">
        <f t="shared" si="126"/>
        <v>1488.5252999999998</v>
      </c>
      <c r="S533" s="112">
        <f t="shared" si="127"/>
        <v>1488.5252999999998</v>
      </c>
      <c r="T533" s="23">
        <v>0</v>
      </c>
      <c r="U533" s="112">
        <f t="shared" si="128"/>
        <v>19516.220600000001</v>
      </c>
    </row>
    <row r="534" spans="1:21" ht="17.100000000000001" customHeight="1" x14ac:dyDescent="0.25">
      <c r="A534" s="20">
        <f>IF(C534="","",COUNTA($C$4:C534))</f>
        <v>531</v>
      </c>
      <c r="B534" s="20" t="str">
        <f t="shared" si="112"/>
        <v>January</v>
      </c>
      <c r="C534" s="45">
        <v>46024</v>
      </c>
      <c r="D534" s="31" t="s">
        <v>2474</v>
      </c>
      <c r="E534" s="105" t="s">
        <v>2475</v>
      </c>
      <c r="F534" s="26" t="s">
        <v>2476</v>
      </c>
      <c r="G534" s="157" t="s">
        <v>2362</v>
      </c>
      <c r="H534" s="106" t="s">
        <v>1102</v>
      </c>
      <c r="L534" s="23">
        <v>33773</v>
      </c>
      <c r="M534" s="23">
        <v>0</v>
      </c>
      <c r="N534" s="23">
        <v>0</v>
      </c>
      <c r="O534" s="112">
        <f t="shared" si="125"/>
        <v>33773</v>
      </c>
      <c r="P534" s="33">
        <v>0.18</v>
      </c>
      <c r="Q534" s="119">
        <v>0</v>
      </c>
      <c r="R534" s="112">
        <f t="shared" si="126"/>
        <v>3039.57</v>
      </c>
      <c r="S534" s="112">
        <f t="shared" si="127"/>
        <v>3039.57</v>
      </c>
      <c r="T534" s="23">
        <v>0</v>
      </c>
      <c r="U534" s="112">
        <f t="shared" si="128"/>
        <v>39852.14</v>
      </c>
    </row>
    <row r="535" spans="1:21" ht="17.100000000000001" customHeight="1" x14ac:dyDescent="0.25">
      <c r="A535" s="20">
        <f>IF(C535="","",COUNTA($C$4:C535))</f>
        <v>532</v>
      </c>
      <c r="B535" s="20" t="str">
        <f t="shared" si="112"/>
        <v>January</v>
      </c>
      <c r="C535" s="45">
        <v>46025</v>
      </c>
      <c r="D535" s="31" t="s">
        <v>2477</v>
      </c>
      <c r="E535" s="105" t="s">
        <v>2478</v>
      </c>
      <c r="F535" s="26" t="s">
        <v>2479</v>
      </c>
      <c r="G535" s="157" t="s">
        <v>735</v>
      </c>
      <c r="H535" s="106" t="s">
        <v>1279</v>
      </c>
      <c r="J535" s="22">
        <v>50000</v>
      </c>
      <c r="K535" s="22">
        <v>4</v>
      </c>
      <c r="L535" s="23">
        <f>J535*K535</f>
        <v>200000</v>
      </c>
      <c r="M535" s="23">
        <v>0</v>
      </c>
      <c r="N535" s="23">
        <v>0</v>
      </c>
      <c r="O535" s="112">
        <f t="shared" si="125"/>
        <v>200000</v>
      </c>
      <c r="P535" s="33">
        <v>0.18</v>
      </c>
      <c r="Q535" s="119">
        <v>0</v>
      </c>
      <c r="R535" s="112">
        <f t="shared" si="126"/>
        <v>18000</v>
      </c>
      <c r="S535" s="112">
        <f t="shared" si="127"/>
        <v>18000</v>
      </c>
      <c r="T535" s="23">
        <v>0</v>
      </c>
      <c r="U535" s="112">
        <f t="shared" si="128"/>
        <v>236000</v>
      </c>
    </row>
    <row r="536" spans="1:21" ht="17.100000000000001" customHeight="1" x14ac:dyDescent="0.25">
      <c r="A536" s="20">
        <f>IF(C536="","",COUNTA($C$4:C536))</f>
        <v>533</v>
      </c>
      <c r="B536" s="20" t="str">
        <f t="shared" si="112"/>
        <v>January</v>
      </c>
      <c r="C536" s="45">
        <v>46027</v>
      </c>
      <c r="D536" s="31" t="s">
        <v>2480</v>
      </c>
      <c r="E536" s="105" t="s">
        <v>2481</v>
      </c>
      <c r="F536" s="26"/>
      <c r="G536" s="157" t="s">
        <v>2482</v>
      </c>
      <c r="H536" s="106" t="s">
        <v>2483</v>
      </c>
      <c r="L536" s="23">
        <v>29183</v>
      </c>
      <c r="M536" s="23">
        <v>0</v>
      </c>
      <c r="N536" s="23">
        <v>0</v>
      </c>
      <c r="O536" s="112">
        <f t="shared" si="125"/>
        <v>29183</v>
      </c>
      <c r="P536" s="33">
        <v>0.18</v>
      </c>
      <c r="Q536" s="119">
        <v>0</v>
      </c>
      <c r="R536" s="112">
        <f t="shared" si="126"/>
        <v>2626.47</v>
      </c>
      <c r="S536" s="112">
        <f t="shared" si="127"/>
        <v>2626.47</v>
      </c>
      <c r="T536" s="23">
        <v>0</v>
      </c>
      <c r="U536" s="112">
        <f t="shared" si="128"/>
        <v>34435.94</v>
      </c>
    </row>
    <row r="537" spans="1:21" ht="17.100000000000001" customHeight="1" x14ac:dyDescent="0.25">
      <c r="A537" s="20">
        <f>IF(C537="","",COUNTA($C$4:C537))</f>
        <v>534</v>
      </c>
      <c r="B537" s="20" t="str">
        <f t="shared" si="112"/>
        <v>January</v>
      </c>
      <c r="C537" s="45">
        <v>46027</v>
      </c>
      <c r="D537" s="31" t="s">
        <v>2484</v>
      </c>
      <c r="E537" s="105" t="s">
        <v>2485</v>
      </c>
      <c r="F537" s="26" t="s">
        <v>2486</v>
      </c>
      <c r="G537" s="157" t="s">
        <v>415</v>
      </c>
      <c r="H537" s="106" t="s">
        <v>2238</v>
      </c>
      <c r="L537" s="23">
        <v>129582</v>
      </c>
      <c r="M537" s="23">
        <v>2100</v>
      </c>
      <c r="N537" s="23">
        <v>0</v>
      </c>
      <c r="O537" s="112">
        <f t="shared" si="125"/>
        <v>131682</v>
      </c>
      <c r="P537" s="33">
        <v>0.18</v>
      </c>
      <c r="Q537" s="119">
        <v>0</v>
      </c>
      <c r="R537" s="112">
        <f t="shared" si="126"/>
        <v>11851.38</v>
      </c>
      <c r="S537" s="112">
        <f t="shared" si="127"/>
        <v>11851.38</v>
      </c>
      <c r="T537" s="23">
        <v>0</v>
      </c>
      <c r="U537" s="112">
        <f t="shared" si="128"/>
        <v>155384.76</v>
      </c>
    </row>
    <row r="538" spans="1:21" ht="17.100000000000001" customHeight="1" x14ac:dyDescent="0.25">
      <c r="A538" s="20">
        <f>IF(C538="","",COUNTA($C$4:C538))</f>
        <v>535</v>
      </c>
      <c r="B538" s="20" t="str">
        <f t="shared" si="112"/>
        <v>January</v>
      </c>
      <c r="C538" s="45">
        <v>46027</v>
      </c>
      <c r="D538" s="31" t="s">
        <v>2487</v>
      </c>
      <c r="E538" s="105" t="s">
        <v>2488</v>
      </c>
      <c r="F538" s="26" t="s">
        <v>2489</v>
      </c>
      <c r="G538" s="157" t="s">
        <v>2391</v>
      </c>
      <c r="H538" s="106" t="s">
        <v>2490</v>
      </c>
      <c r="J538" s="22">
        <v>1</v>
      </c>
      <c r="K538" s="22">
        <v>7963.32</v>
      </c>
      <c r="L538" s="23">
        <f>J538*K538</f>
        <v>7963.32</v>
      </c>
      <c r="M538" s="23">
        <v>0</v>
      </c>
      <c r="N538" s="23">
        <v>0</v>
      </c>
      <c r="O538" s="112">
        <f t="shared" si="125"/>
        <v>7963.32</v>
      </c>
      <c r="P538" s="33">
        <v>0.18</v>
      </c>
      <c r="Q538" s="118">
        <f>O538*18/100</f>
        <v>1433.3976</v>
      </c>
      <c r="R538" s="115">
        <v>0</v>
      </c>
      <c r="S538" s="115">
        <v>0</v>
      </c>
      <c r="T538" s="23">
        <v>0</v>
      </c>
      <c r="U538" s="112">
        <f>O538+Q538</f>
        <v>9396.7175999999999</v>
      </c>
    </row>
    <row r="539" spans="1:21" ht="17.100000000000001" customHeight="1" x14ac:dyDescent="0.25">
      <c r="A539" s="20">
        <f>IF(C539="","",COUNTA($C$4:C539))</f>
        <v>536</v>
      </c>
      <c r="B539" s="20" t="str">
        <f t="shared" si="112"/>
        <v>January</v>
      </c>
      <c r="C539" s="45">
        <v>46028</v>
      </c>
      <c r="D539" s="31" t="s">
        <v>2491</v>
      </c>
      <c r="E539" s="105" t="s">
        <v>2492</v>
      </c>
      <c r="F539" s="26"/>
      <c r="G539" s="157" t="s">
        <v>2482</v>
      </c>
      <c r="H539" s="106" t="s">
        <v>2493</v>
      </c>
      <c r="L539" s="23">
        <v>10412.5</v>
      </c>
      <c r="M539" s="23">
        <v>0</v>
      </c>
      <c r="N539" s="23">
        <v>0</v>
      </c>
      <c r="O539" s="112">
        <f t="shared" si="125"/>
        <v>10412.5</v>
      </c>
      <c r="P539" s="33">
        <v>0.18</v>
      </c>
      <c r="Q539" s="119">
        <v>0</v>
      </c>
      <c r="R539" s="112">
        <f t="shared" ref="R539:R551" si="129">O539*9/100</f>
        <v>937.125</v>
      </c>
      <c r="S539" s="112">
        <f t="shared" ref="S539:S551" si="130">O539*9/100</f>
        <v>937.125</v>
      </c>
      <c r="T539" s="23">
        <v>0</v>
      </c>
      <c r="U539" s="112">
        <f t="shared" ref="U539:U559" si="131">O539+R539+S539</f>
        <v>12286.75</v>
      </c>
    </row>
    <row r="540" spans="1:21" ht="17.100000000000001" customHeight="1" x14ac:dyDescent="0.25">
      <c r="A540" s="20">
        <f>IF(C540="","",COUNTA($C$4:C540))</f>
        <v>537</v>
      </c>
      <c r="B540" s="20" t="str">
        <f t="shared" si="112"/>
        <v>January</v>
      </c>
      <c r="C540" s="45">
        <v>46028</v>
      </c>
      <c r="D540" s="31" t="s">
        <v>2494</v>
      </c>
      <c r="E540" s="105" t="s">
        <v>2495</v>
      </c>
      <c r="F540" s="26"/>
      <c r="G540" s="157" t="s">
        <v>1751</v>
      </c>
      <c r="H540" s="106" t="s">
        <v>1752</v>
      </c>
      <c r="J540" s="22">
        <v>1</v>
      </c>
      <c r="K540" s="22">
        <v>36000</v>
      </c>
      <c r="L540" s="23">
        <f>J540*K540</f>
        <v>36000</v>
      </c>
      <c r="M540" s="23">
        <v>0</v>
      </c>
      <c r="N540" s="23">
        <v>0</v>
      </c>
      <c r="O540" s="112">
        <f t="shared" si="125"/>
        <v>36000</v>
      </c>
      <c r="P540" s="33">
        <v>0.18</v>
      </c>
      <c r="Q540" s="119">
        <v>0</v>
      </c>
      <c r="R540" s="112">
        <f t="shared" si="129"/>
        <v>3240</v>
      </c>
      <c r="S540" s="112">
        <f t="shared" si="130"/>
        <v>3240</v>
      </c>
      <c r="T540" s="23">
        <v>0</v>
      </c>
      <c r="U540" s="112">
        <f t="shared" si="131"/>
        <v>42480</v>
      </c>
    </row>
    <row r="541" spans="1:21" ht="17.100000000000001" customHeight="1" x14ac:dyDescent="0.25">
      <c r="A541" s="20">
        <f>IF(C541="","",COUNTA($C$4:C541))</f>
        <v>538</v>
      </c>
      <c r="B541" s="20" t="str">
        <f t="shared" si="112"/>
        <v>January</v>
      </c>
      <c r="C541" s="45">
        <v>46031</v>
      </c>
      <c r="D541" s="31" t="s">
        <v>2567</v>
      </c>
      <c r="E541" s="105" t="s">
        <v>2568</v>
      </c>
      <c r="F541" s="26" t="s">
        <v>2569</v>
      </c>
      <c r="G541" s="157" t="s">
        <v>206</v>
      </c>
      <c r="H541" s="106" t="s">
        <v>2146</v>
      </c>
      <c r="L541" s="23">
        <v>31200</v>
      </c>
      <c r="M541" s="23">
        <v>0</v>
      </c>
      <c r="N541" s="23">
        <v>0</v>
      </c>
      <c r="O541" s="112">
        <f t="shared" si="125"/>
        <v>31200</v>
      </c>
      <c r="P541" s="33">
        <v>0.18</v>
      </c>
      <c r="Q541" s="119">
        <v>0</v>
      </c>
      <c r="R541" s="112">
        <f t="shared" si="129"/>
        <v>2808</v>
      </c>
      <c r="S541" s="112">
        <f t="shared" si="130"/>
        <v>2808</v>
      </c>
      <c r="T541" s="23">
        <v>0</v>
      </c>
      <c r="U541" s="112">
        <f t="shared" si="131"/>
        <v>36816</v>
      </c>
    </row>
    <row r="542" spans="1:21" ht="17.100000000000001" customHeight="1" x14ac:dyDescent="0.25">
      <c r="A542" s="20">
        <f>IF(C542="","",COUNTA($C$4:C542))</f>
        <v>539</v>
      </c>
      <c r="B542" s="20" t="str">
        <f t="shared" si="112"/>
        <v>January</v>
      </c>
      <c r="C542" s="45">
        <v>46039</v>
      </c>
      <c r="D542" s="31" t="s">
        <v>2594</v>
      </c>
      <c r="E542" s="105" t="s">
        <v>2595</v>
      </c>
      <c r="F542" s="26" t="s">
        <v>2596</v>
      </c>
      <c r="G542" s="157" t="s">
        <v>502</v>
      </c>
      <c r="H542" s="106" t="s">
        <v>2599</v>
      </c>
      <c r="I542" s="159" t="s">
        <v>266</v>
      </c>
      <c r="J542" s="22">
        <v>5310</v>
      </c>
      <c r="K542" s="22">
        <v>70.5</v>
      </c>
      <c r="L542" s="23">
        <f t="shared" ref="L542:L549" si="132">J542*K542</f>
        <v>374355</v>
      </c>
      <c r="M542" s="23">
        <v>0</v>
      </c>
      <c r="N542" s="23">
        <v>0</v>
      </c>
      <c r="O542" s="112">
        <f t="shared" si="125"/>
        <v>374355</v>
      </c>
      <c r="P542" s="33">
        <v>0.18</v>
      </c>
      <c r="Q542" s="119">
        <v>0</v>
      </c>
      <c r="R542" s="112">
        <f t="shared" si="129"/>
        <v>33691.949999999997</v>
      </c>
      <c r="S542" s="112">
        <f t="shared" si="130"/>
        <v>33691.949999999997</v>
      </c>
      <c r="T542" s="23">
        <v>0</v>
      </c>
      <c r="U542" s="112">
        <f t="shared" si="131"/>
        <v>441738.9</v>
      </c>
    </row>
    <row r="543" spans="1:21" ht="17.100000000000001" customHeight="1" x14ac:dyDescent="0.25">
      <c r="A543" s="20">
        <f>IF(C543="","",COUNTA($C$4:C543))</f>
        <v>540</v>
      </c>
      <c r="B543" s="20" t="str">
        <f t="shared" si="112"/>
        <v>January</v>
      </c>
      <c r="C543" s="45">
        <v>46039</v>
      </c>
      <c r="D543" s="31" t="s">
        <v>2594</v>
      </c>
      <c r="E543" s="105" t="s">
        <v>2595</v>
      </c>
      <c r="F543" s="26" t="s">
        <v>2596</v>
      </c>
      <c r="G543" s="157" t="s">
        <v>502</v>
      </c>
      <c r="H543" s="106" t="s">
        <v>2599</v>
      </c>
      <c r="I543" s="159" t="s">
        <v>266</v>
      </c>
      <c r="J543" s="22">
        <v>5705</v>
      </c>
      <c r="K543" s="22">
        <v>70.5</v>
      </c>
      <c r="L543" s="23">
        <f t="shared" si="132"/>
        <v>402202.5</v>
      </c>
      <c r="M543" s="23">
        <v>0</v>
      </c>
      <c r="N543" s="23">
        <v>0</v>
      </c>
      <c r="O543" s="112">
        <f t="shared" si="125"/>
        <v>402202.5</v>
      </c>
      <c r="P543" s="33">
        <v>0.18</v>
      </c>
      <c r="Q543" s="119">
        <v>0</v>
      </c>
      <c r="R543" s="112">
        <f t="shared" si="129"/>
        <v>36198.224999999999</v>
      </c>
      <c r="S543" s="112">
        <f t="shared" si="130"/>
        <v>36198.224999999999</v>
      </c>
      <c r="T543" s="23">
        <v>0</v>
      </c>
      <c r="U543" s="112">
        <f t="shared" si="131"/>
        <v>474598.94999999995</v>
      </c>
    </row>
    <row r="544" spans="1:21" ht="17.100000000000001" customHeight="1" x14ac:dyDescent="0.25">
      <c r="A544" s="20">
        <f>IF(C544="","",COUNTA($C$4:C544))</f>
        <v>541</v>
      </c>
      <c r="B544" s="20" t="str">
        <f t="shared" si="112"/>
        <v>January</v>
      </c>
      <c r="C544" s="45">
        <v>46039</v>
      </c>
      <c r="D544" s="31" t="s">
        <v>2600</v>
      </c>
      <c r="E544" s="105" t="s">
        <v>2601</v>
      </c>
      <c r="F544" s="26" t="s">
        <v>2596</v>
      </c>
      <c r="G544" s="157" t="s">
        <v>502</v>
      </c>
      <c r="H544" s="106" t="s">
        <v>2599</v>
      </c>
      <c r="I544" s="159" t="s">
        <v>266</v>
      </c>
      <c r="J544" s="22">
        <v>5680</v>
      </c>
      <c r="K544" s="22">
        <v>70.5</v>
      </c>
      <c r="L544" s="23">
        <f t="shared" si="132"/>
        <v>400440</v>
      </c>
      <c r="M544" s="23">
        <v>6600</v>
      </c>
      <c r="N544" s="23">
        <v>150</v>
      </c>
      <c r="O544" s="112">
        <f t="shared" si="125"/>
        <v>407190</v>
      </c>
      <c r="P544" s="33">
        <v>0.18</v>
      </c>
      <c r="Q544" s="119">
        <v>0</v>
      </c>
      <c r="R544" s="112">
        <f t="shared" si="129"/>
        <v>36647.1</v>
      </c>
      <c r="S544" s="112">
        <f t="shared" si="130"/>
        <v>36647.1</v>
      </c>
      <c r="T544" s="23"/>
      <c r="U544" s="112">
        <f t="shared" si="131"/>
        <v>480484.19999999995</v>
      </c>
    </row>
    <row r="545" spans="1:21" ht="17.100000000000001" customHeight="1" x14ac:dyDescent="0.25">
      <c r="A545" s="20">
        <f>IF(C545="","",COUNTA($C$4:C545))</f>
        <v>542</v>
      </c>
      <c r="B545" s="20" t="str">
        <f t="shared" si="112"/>
        <v>January</v>
      </c>
      <c r="C545" s="45">
        <v>46039</v>
      </c>
      <c r="D545" s="31" t="s">
        <v>2600</v>
      </c>
      <c r="E545" s="105" t="s">
        <v>2601</v>
      </c>
      <c r="F545" s="26" t="s">
        <v>2596</v>
      </c>
      <c r="G545" s="157" t="s">
        <v>502</v>
      </c>
      <c r="H545" s="106" t="s">
        <v>2602</v>
      </c>
      <c r="I545" s="159" t="s">
        <v>153</v>
      </c>
      <c r="J545" s="22">
        <v>5535</v>
      </c>
      <c r="K545" s="22">
        <v>71.5</v>
      </c>
      <c r="L545" s="23">
        <f t="shared" si="132"/>
        <v>395752.5</v>
      </c>
      <c r="M545" s="23">
        <v>0</v>
      </c>
      <c r="N545" s="23">
        <v>0</v>
      </c>
      <c r="O545" s="112">
        <f t="shared" si="125"/>
        <v>395752.5</v>
      </c>
      <c r="P545" s="33">
        <v>0.18</v>
      </c>
      <c r="Q545" s="119">
        <v>0</v>
      </c>
      <c r="R545" s="112">
        <f t="shared" si="129"/>
        <v>35617.724999999999</v>
      </c>
      <c r="S545" s="112">
        <f t="shared" si="130"/>
        <v>35617.724999999999</v>
      </c>
      <c r="T545" s="23">
        <v>0</v>
      </c>
      <c r="U545" s="112">
        <f t="shared" si="131"/>
        <v>466987.94999999995</v>
      </c>
    </row>
    <row r="546" spans="1:21" ht="17.100000000000001" customHeight="1" x14ac:dyDescent="0.25">
      <c r="A546" s="20">
        <f>IF(C546="","",COUNTA($C$4:C546))</f>
        <v>543</v>
      </c>
      <c r="B546" s="20" t="str">
        <f t="shared" si="112"/>
        <v>July</v>
      </c>
      <c r="C546" s="45">
        <v>45857</v>
      </c>
      <c r="D546" s="31" t="s">
        <v>1032</v>
      </c>
      <c r="E546" s="105" t="s">
        <v>1033</v>
      </c>
      <c r="F546" s="26" t="s">
        <v>928</v>
      </c>
      <c r="G546" s="157" t="s">
        <v>1034</v>
      </c>
      <c r="H546" s="106" t="s">
        <v>1035</v>
      </c>
      <c r="I546" s="159" t="s">
        <v>153</v>
      </c>
      <c r="J546" s="22">
        <v>10345</v>
      </c>
      <c r="K546" s="64">
        <v>72</v>
      </c>
      <c r="L546" s="23">
        <f t="shared" si="132"/>
        <v>744840</v>
      </c>
      <c r="M546" s="23">
        <v>5000</v>
      </c>
      <c r="N546" s="23">
        <v>150</v>
      </c>
      <c r="O546" s="112">
        <f t="shared" si="125"/>
        <v>749990</v>
      </c>
      <c r="P546" s="33">
        <v>0.18</v>
      </c>
      <c r="Q546" s="118">
        <v>0</v>
      </c>
      <c r="R546" s="112">
        <f t="shared" si="129"/>
        <v>67499.100000000006</v>
      </c>
      <c r="S546" s="112">
        <f t="shared" si="130"/>
        <v>67499.100000000006</v>
      </c>
      <c r="T546" s="23">
        <v>0</v>
      </c>
      <c r="U546" s="112">
        <f t="shared" si="131"/>
        <v>884988.2</v>
      </c>
    </row>
    <row r="547" spans="1:21" ht="17.100000000000001" customHeight="1" x14ac:dyDescent="0.25">
      <c r="A547" s="20">
        <f>IF(C547="","",COUNTA($C$4:C547))</f>
        <v>544</v>
      </c>
      <c r="B547" s="20" t="str">
        <f t="shared" ref="B547:B610" si="133">IF(C547="","",TEXT(C547,"mmmm"))</f>
        <v>January</v>
      </c>
      <c r="C547" s="45">
        <v>46035</v>
      </c>
      <c r="D547" s="31" t="s">
        <v>2577</v>
      </c>
      <c r="E547" s="105" t="s">
        <v>2578</v>
      </c>
      <c r="F547" s="26" t="s">
        <v>2466</v>
      </c>
      <c r="G547" s="157" t="s">
        <v>254</v>
      </c>
      <c r="H547" s="106" t="s">
        <v>2074</v>
      </c>
      <c r="J547" s="22">
        <v>12000</v>
      </c>
      <c r="K547" s="22">
        <v>7.5</v>
      </c>
      <c r="L547" s="23">
        <f t="shared" si="132"/>
        <v>90000</v>
      </c>
      <c r="M547" s="23">
        <v>0</v>
      </c>
      <c r="N547" s="23">
        <v>0</v>
      </c>
      <c r="O547" s="112">
        <f t="shared" si="125"/>
        <v>90000</v>
      </c>
      <c r="P547" s="33">
        <v>0.18</v>
      </c>
      <c r="Q547" s="119">
        <v>0</v>
      </c>
      <c r="R547" s="112">
        <f t="shared" si="129"/>
        <v>8100</v>
      </c>
      <c r="S547" s="112">
        <f t="shared" si="130"/>
        <v>8100</v>
      </c>
      <c r="T547" s="23">
        <v>0</v>
      </c>
      <c r="U547" s="112">
        <f t="shared" si="131"/>
        <v>106200</v>
      </c>
    </row>
    <row r="548" spans="1:21" ht="17.100000000000001" customHeight="1" x14ac:dyDescent="0.25">
      <c r="A548" s="20">
        <f>IF(C548="","",COUNTA($C$4:C548))</f>
        <v>545</v>
      </c>
      <c r="B548" s="20" t="str">
        <f t="shared" si="133"/>
        <v>January</v>
      </c>
      <c r="C548" s="45">
        <v>46035</v>
      </c>
      <c r="D548" s="31" t="s">
        <v>2579</v>
      </c>
      <c r="E548" s="105" t="s">
        <v>2580</v>
      </c>
      <c r="F548" s="26" t="s">
        <v>2216</v>
      </c>
      <c r="G548" s="157" t="s">
        <v>254</v>
      </c>
      <c r="H548" s="106" t="s">
        <v>2581</v>
      </c>
      <c r="J548" s="22">
        <v>9500</v>
      </c>
      <c r="K548" s="22">
        <v>6.5</v>
      </c>
      <c r="L548" s="23">
        <f t="shared" si="132"/>
        <v>61750</v>
      </c>
      <c r="M548" s="23">
        <v>0</v>
      </c>
      <c r="N548" s="23">
        <v>0</v>
      </c>
      <c r="O548" s="112">
        <f t="shared" si="125"/>
        <v>61750</v>
      </c>
      <c r="P548" s="33">
        <v>0.18</v>
      </c>
      <c r="Q548" s="119">
        <v>0</v>
      </c>
      <c r="R548" s="112">
        <f t="shared" si="129"/>
        <v>5557.5</v>
      </c>
      <c r="S548" s="112">
        <f t="shared" si="130"/>
        <v>5557.5</v>
      </c>
      <c r="T548" s="23">
        <v>0</v>
      </c>
      <c r="U548" s="112">
        <f t="shared" si="131"/>
        <v>72865</v>
      </c>
    </row>
    <row r="549" spans="1:21" ht="17.100000000000001" customHeight="1" x14ac:dyDescent="0.25">
      <c r="A549" s="20">
        <f>IF(C549="","",COUNTA($C$4:C549))</f>
        <v>546</v>
      </c>
      <c r="B549" s="20" t="str">
        <f t="shared" si="133"/>
        <v>January</v>
      </c>
      <c r="C549" s="45">
        <v>46036</v>
      </c>
      <c r="D549" s="31" t="s">
        <v>2582</v>
      </c>
      <c r="E549" s="105" t="s">
        <v>2583</v>
      </c>
      <c r="F549" s="26"/>
      <c r="G549" s="157" t="s">
        <v>60</v>
      </c>
      <c r="H549" s="106" t="s">
        <v>2584</v>
      </c>
      <c r="J549" s="22">
        <v>1</v>
      </c>
      <c r="K549" s="22">
        <v>10250</v>
      </c>
      <c r="L549" s="23">
        <f t="shared" si="132"/>
        <v>10250</v>
      </c>
      <c r="M549" s="23">
        <v>0</v>
      </c>
      <c r="N549" s="23">
        <v>0</v>
      </c>
      <c r="O549" s="112">
        <f t="shared" si="125"/>
        <v>10250</v>
      </c>
      <c r="P549" s="33">
        <v>0.18</v>
      </c>
      <c r="Q549" s="119">
        <v>0</v>
      </c>
      <c r="R549" s="112">
        <f t="shared" si="129"/>
        <v>922.5</v>
      </c>
      <c r="S549" s="112">
        <f t="shared" si="130"/>
        <v>922.5</v>
      </c>
      <c r="T549" s="23">
        <v>0</v>
      </c>
      <c r="U549" s="112">
        <f t="shared" si="131"/>
        <v>12095</v>
      </c>
    </row>
    <row r="550" spans="1:21" ht="17.100000000000001" customHeight="1" x14ac:dyDescent="0.25">
      <c r="A550" s="20">
        <f>IF(C550="","",COUNTA($C$4:C550))</f>
        <v>547</v>
      </c>
      <c r="B550" s="20" t="str">
        <f t="shared" si="133"/>
        <v>January</v>
      </c>
      <c r="C550" s="45">
        <v>46036</v>
      </c>
      <c r="D550" s="31" t="s">
        <v>2585</v>
      </c>
      <c r="E550" s="105" t="s">
        <v>2586</v>
      </c>
      <c r="F550" s="26" t="s">
        <v>2587</v>
      </c>
      <c r="G550" s="157" t="s">
        <v>1733</v>
      </c>
      <c r="H550" s="106" t="s">
        <v>2588</v>
      </c>
      <c r="L550" s="23">
        <v>10170</v>
      </c>
      <c r="M550" s="23">
        <v>0</v>
      </c>
      <c r="N550" s="23">
        <v>0</v>
      </c>
      <c r="O550" s="112">
        <f t="shared" si="125"/>
        <v>10170</v>
      </c>
      <c r="P550" s="33">
        <v>0.18</v>
      </c>
      <c r="Q550" s="119">
        <v>0</v>
      </c>
      <c r="R550" s="112">
        <f t="shared" si="129"/>
        <v>915.3</v>
      </c>
      <c r="S550" s="112">
        <f t="shared" si="130"/>
        <v>915.3</v>
      </c>
      <c r="T550" s="23">
        <v>0</v>
      </c>
      <c r="U550" s="112">
        <f t="shared" si="131"/>
        <v>12000.599999999999</v>
      </c>
    </row>
    <row r="551" spans="1:21" ht="17.100000000000001" customHeight="1" x14ac:dyDescent="0.25">
      <c r="A551" s="20">
        <f>IF(C551="","",COUNTA($C$4:C551))</f>
        <v>548</v>
      </c>
      <c r="B551" s="20" t="str">
        <f t="shared" si="133"/>
        <v>January</v>
      </c>
      <c r="C551" s="45">
        <v>46038</v>
      </c>
      <c r="D551" s="31" t="s">
        <v>2589</v>
      </c>
      <c r="E551" s="105" t="s">
        <v>2590</v>
      </c>
      <c r="F551" s="26" t="s">
        <v>2591</v>
      </c>
      <c r="G551" s="157" t="s">
        <v>836</v>
      </c>
      <c r="H551" s="106" t="s">
        <v>1102</v>
      </c>
      <c r="L551" s="23">
        <v>122505</v>
      </c>
      <c r="M551" s="23">
        <v>0</v>
      </c>
      <c r="N551" s="23">
        <v>0</v>
      </c>
      <c r="O551" s="112">
        <f t="shared" si="125"/>
        <v>122505</v>
      </c>
      <c r="P551" s="33">
        <v>0.18</v>
      </c>
      <c r="Q551" s="119">
        <v>0</v>
      </c>
      <c r="R551" s="112">
        <f t="shared" si="129"/>
        <v>11025.45</v>
      </c>
      <c r="S551" s="112">
        <f t="shared" si="130"/>
        <v>11025.45</v>
      </c>
      <c r="T551" s="23"/>
      <c r="U551" s="112">
        <f t="shared" si="131"/>
        <v>144555.90000000002</v>
      </c>
    </row>
    <row r="552" spans="1:21" ht="17.100000000000001" customHeight="1" x14ac:dyDescent="0.25">
      <c r="A552" s="20">
        <f>IF(C552="","",COUNTA($C$4:C552))</f>
        <v>549</v>
      </c>
      <c r="B552" s="20" t="str">
        <f t="shared" si="133"/>
        <v>January</v>
      </c>
      <c r="C552" s="45">
        <v>46038</v>
      </c>
      <c r="D552" s="31" t="s">
        <v>2589</v>
      </c>
      <c r="E552" s="105" t="s">
        <v>2590</v>
      </c>
      <c r="F552" s="26" t="s">
        <v>2591</v>
      </c>
      <c r="G552" s="157" t="s">
        <v>836</v>
      </c>
      <c r="H552" s="106" t="s">
        <v>2593</v>
      </c>
      <c r="L552" s="23">
        <v>5592</v>
      </c>
      <c r="M552" s="23"/>
      <c r="N552" s="23"/>
      <c r="O552" s="112">
        <f t="shared" si="125"/>
        <v>5592</v>
      </c>
      <c r="P552" s="33">
        <v>0.05</v>
      </c>
      <c r="Q552" s="119">
        <v>0</v>
      </c>
      <c r="R552" s="112">
        <f>O552*2.5/100</f>
        <v>139.80000000000001</v>
      </c>
      <c r="S552" s="112">
        <f>O552*2.5/100</f>
        <v>139.80000000000001</v>
      </c>
      <c r="T552" s="23"/>
      <c r="U552" s="112">
        <f t="shared" si="131"/>
        <v>5871.6</v>
      </c>
    </row>
    <row r="553" spans="1:21" ht="17.100000000000001" customHeight="1" x14ac:dyDescent="0.25">
      <c r="A553" s="20">
        <f>IF(C553="","",COUNTA($C$4:C553))</f>
        <v>550</v>
      </c>
      <c r="B553" s="20" t="str">
        <f t="shared" si="133"/>
        <v>January</v>
      </c>
      <c r="C553" s="45">
        <v>46038</v>
      </c>
      <c r="D553" s="31" t="s">
        <v>2589</v>
      </c>
      <c r="E553" s="105" t="s">
        <v>2590</v>
      </c>
      <c r="F553" s="26" t="s">
        <v>2591</v>
      </c>
      <c r="G553" s="157" t="s">
        <v>836</v>
      </c>
      <c r="H553" s="106" t="s">
        <v>2592</v>
      </c>
      <c r="L553" s="23">
        <v>10800</v>
      </c>
      <c r="M553" s="23">
        <v>0</v>
      </c>
      <c r="N553" s="23">
        <v>0</v>
      </c>
      <c r="O553" s="112">
        <f t="shared" si="125"/>
        <v>10800</v>
      </c>
      <c r="P553" s="33">
        <v>0</v>
      </c>
      <c r="Q553" s="119">
        <v>0</v>
      </c>
      <c r="R553" s="112">
        <v>0</v>
      </c>
      <c r="S553" s="112">
        <v>0</v>
      </c>
      <c r="T553" s="23">
        <v>0</v>
      </c>
      <c r="U553" s="112">
        <f t="shared" si="131"/>
        <v>10800</v>
      </c>
    </row>
    <row r="554" spans="1:21" ht="17.100000000000001" customHeight="1" x14ac:dyDescent="0.25">
      <c r="A554" s="20">
        <f>IF(C554="","",COUNTA($C$4:C554))</f>
        <v>551</v>
      </c>
      <c r="B554" s="20" t="str">
        <f t="shared" si="133"/>
        <v>April</v>
      </c>
      <c r="C554" s="29">
        <v>45763</v>
      </c>
      <c r="D554" s="31" t="s">
        <v>148</v>
      </c>
      <c r="E554" s="106" t="s">
        <v>149</v>
      </c>
      <c r="F554" s="26" t="s">
        <v>150</v>
      </c>
      <c r="G554" s="158" t="s">
        <v>151</v>
      </c>
      <c r="H554" s="106" t="s">
        <v>152</v>
      </c>
      <c r="I554" s="159" t="s">
        <v>154</v>
      </c>
      <c r="J554" s="22">
        <v>1600</v>
      </c>
      <c r="K554" s="64">
        <v>72.25</v>
      </c>
      <c r="L554" s="23">
        <f t="shared" ref="L554:L577" si="134">J554*K554</f>
        <v>115600</v>
      </c>
      <c r="M554" s="23">
        <v>10900</v>
      </c>
      <c r="N554" s="23">
        <v>0</v>
      </c>
      <c r="O554" s="112">
        <f t="shared" si="125"/>
        <v>126500</v>
      </c>
      <c r="P554" s="33">
        <v>0.18</v>
      </c>
      <c r="Q554" s="118">
        <v>0</v>
      </c>
      <c r="R554" s="112">
        <f t="shared" ref="R554:R559" si="135">O554*9/100</f>
        <v>11385</v>
      </c>
      <c r="S554" s="112">
        <f t="shared" ref="S554:S559" si="136">O554*9/100</f>
        <v>11385</v>
      </c>
      <c r="T554" s="23">
        <v>0</v>
      </c>
      <c r="U554" s="112">
        <f t="shared" si="131"/>
        <v>149270</v>
      </c>
    </row>
    <row r="555" spans="1:21" ht="17.100000000000001" customHeight="1" x14ac:dyDescent="0.25">
      <c r="A555" s="20">
        <f>IF(C555="","",COUNTA($C$4:C555))</f>
        <v>552</v>
      </c>
      <c r="B555" s="20" t="str">
        <f t="shared" si="133"/>
        <v>April</v>
      </c>
      <c r="C555" s="29">
        <v>45763</v>
      </c>
      <c r="D555" s="31" t="s">
        <v>148</v>
      </c>
      <c r="E555" s="106" t="s">
        <v>149</v>
      </c>
      <c r="F555" s="26" t="s">
        <v>150</v>
      </c>
      <c r="G555" s="158" t="s">
        <v>151</v>
      </c>
      <c r="H555" s="106" t="s">
        <v>155</v>
      </c>
      <c r="I555" s="159" t="s">
        <v>154</v>
      </c>
      <c r="J555" s="22">
        <v>2910</v>
      </c>
      <c r="K555" s="64">
        <v>72.25</v>
      </c>
      <c r="L555" s="23">
        <f t="shared" si="134"/>
        <v>210247.5</v>
      </c>
      <c r="M555" s="23">
        <v>0</v>
      </c>
      <c r="N555" s="23">
        <v>0</v>
      </c>
      <c r="O555" s="112">
        <f t="shared" si="125"/>
        <v>210247.5</v>
      </c>
      <c r="P555" s="33">
        <v>0.18</v>
      </c>
      <c r="Q555" s="118">
        <v>0</v>
      </c>
      <c r="R555" s="112">
        <f t="shared" si="135"/>
        <v>18922.275000000001</v>
      </c>
      <c r="S555" s="112">
        <f t="shared" si="136"/>
        <v>18922.275000000001</v>
      </c>
      <c r="T555" s="23">
        <v>0</v>
      </c>
      <c r="U555" s="112">
        <f t="shared" si="131"/>
        <v>248092.05</v>
      </c>
    </row>
    <row r="556" spans="1:21" ht="17.100000000000001" customHeight="1" x14ac:dyDescent="0.25">
      <c r="A556" s="20">
        <f>IF(C556="","",COUNTA($C$4:C556))</f>
        <v>553</v>
      </c>
      <c r="B556" s="20" t="str">
        <f t="shared" si="133"/>
        <v>April</v>
      </c>
      <c r="C556" s="29">
        <v>45763</v>
      </c>
      <c r="D556" s="31" t="s">
        <v>148</v>
      </c>
      <c r="E556" s="106" t="s">
        <v>149</v>
      </c>
      <c r="F556" s="26" t="s">
        <v>150</v>
      </c>
      <c r="G556" s="158" t="s">
        <v>151</v>
      </c>
      <c r="H556" s="106" t="s">
        <v>156</v>
      </c>
      <c r="I556" s="159" t="s">
        <v>154</v>
      </c>
      <c r="J556" s="22">
        <v>420</v>
      </c>
      <c r="K556" s="64">
        <v>72.25</v>
      </c>
      <c r="L556" s="23">
        <f t="shared" si="134"/>
        <v>30345</v>
      </c>
      <c r="M556" s="23">
        <v>0</v>
      </c>
      <c r="N556" s="23">
        <v>0</v>
      </c>
      <c r="O556" s="112">
        <f t="shared" si="125"/>
        <v>30345</v>
      </c>
      <c r="P556" s="33">
        <v>0.18</v>
      </c>
      <c r="Q556" s="118">
        <v>0</v>
      </c>
      <c r="R556" s="112">
        <f t="shared" si="135"/>
        <v>2731.05</v>
      </c>
      <c r="S556" s="112">
        <f t="shared" si="136"/>
        <v>2731.05</v>
      </c>
      <c r="T556" s="23">
        <v>0</v>
      </c>
      <c r="U556" s="112">
        <f t="shared" si="131"/>
        <v>35807.100000000006</v>
      </c>
    </row>
    <row r="557" spans="1:21" ht="17.100000000000001" customHeight="1" x14ac:dyDescent="0.25">
      <c r="A557" s="20">
        <f>IF(C557="","",COUNTA($C$4:C557))</f>
        <v>554</v>
      </c>
      <c r="B557" s="20" t="str">
        <f t="shared" si="133"/>
        <v>April</v>
      </c>
      <c r="C557" s="29">
        <v>45763</v>
      </c>
      <c r="D557" s="31" t="s">
        <v>148</v>
      </c>
      <c r="E557" s="106" t="s">
        <v>149</v>
      </c>
      <c r="F557" s="26" t="s">
        <v>150</v>
      </c>
      <c r="G557" s="158" t="s">
        <v>151</v>
      </c>
      <c r="H557" s="106" t="s">
        <v>157</v>
      </c>
      <c r="I557" s="159" t="s">
        <v>154</v>
      </c>
      <c r="J557" s="22">
        <v>3685</v>
      </c>
      <c r="K557" s="64">
        <v>72.25</v>
      </c>
      <c r="L557" s="23">
        <f t="shared" si="134"/>
        <v>266241.25</v>
      </c>
      <c r="M557" s="23">
        <v>0</v>
      </c>
      <c r="N557" s="23">
        <v>0</v>
      </c>
      <c r="O557" s="112">
        <f t="shared" si="125"/>
        <v>266241.25</v>
      </c>
      <c r="P557" s="33">
        <v>0.18</v>
      </c>
      <c r="Q557" s="118">
        <v>0</v>
      </c>
      <c r="R557" s="112">
        <f t="shared" si="135"/>
        <v>23961.712500000001</v>
      </c>
      <c r="S557" s="112">
        <f t="shared" si="136"/>
        <v>23961.712500000001</v>
      </c>
      <c r="T557" s="23">
        <v>0</v>
      </c>
      <c r="U557" s="112">
        <f t="shared" si="131"/>
        <v>314164.67500000005</v>
      </c>
    </row>
    <row r="558" spans="1:21" ht="17.100000000000001" customHeight="1" x14ac:dyDescent="0.25">
      <c r="A558" s="20">
        <f>IF(C558="","",COUNTA($C$4:C558))</f>
        <v>555</v>
      </c>
      <c r="B558" s="20" t="str">
        <f t="shared" si="133"/>
        <v>April</v>
      </c>
      <c r="C558" s="29">
        <v>45763</v>
      </c>
      <c r="D558" s="31" t="s">
        <v>148</v>
      </c>
      <c r="E558" s="106" t="s">
        <v>149</v>
      </c>
      <c r="F558" s="26" t="s">
        <v>150</v>
      </c>
      <c r="G558" s="158" t="s">
        <v>151</v>
      </c>
      <c r="H558" s="106" t="s">
        <v>158</v>
      </c>
      <c r="I558" s="159" t="s">
        <v>154</v>
      </c>
      <c r="J558" s="22">
        <v>1225</v>
      </c>
      <c r="K558" s="64">
        <v>72.25</v>
      </c>
      <c r="L558" s="23">
        <f t="shared" si="134"/>
        <v>88506.25</v>
      </c>
      <c r="M558" s="23">
        <v>0</v>
      </c>
      <c r="N558" s="23">
        <v>0</v>
      </c>
      <c r="O558" s="112">
        <f t="shared" si="125"/>
        <v>88506.25</v>
      </c>
      <c r="P558" s="33">
        <v>0.18</v>
      </c>
      <c r="Q558" s="118">
        <v>0</v>
      </c>
      <c r="R558" s="112">
        <f t="shared" si="135"/>
        <v>7965.5625</v>
      </c>
      <c r="S558" s="112">
        <f t="shared" si="136"/>
        <v>7965.5625</v>
      </c>
      <c r="T558" s="23">
        <v>0</v>
      </c>
      <c r="U558" s="112">
        <f t="shared" si="131"/>
        <v>104437.375</v>
      </c>
    </row>
    <row r="559" spans="1:21" ht="17.100000000000001" customHeight="1" x14ac:dyDescent="0.25">
      <c r="A559" s="20">
        <f>IF(C559="","",COUNTA($C$4:C559))</f>
        <v>556</v>
      </c>
      <c r="B559" s="20" t="str">
        <f t="shared" si="133"/>
        <v>April</v>
      </c>
      <c r="C559" s="29">
        <v>45763</v>
      </c>
      <c r="D559" s="31" t="s">
        <v>148</v>
      </c>
      <c r="E559" s="106" t="s">
        <v>149</v>
      </c>
      <c r="F559" s="26" t="s">
        <v>150</v>
      </c>
      <c r="G559" s="158" t="s">
        <v>151</v>
      </c>
      <c r="H559" s="106" t="s">
        <v>159</v>
      </c>
      <c r="I559" s="159" t="s">
        <v>160</v>
      </c>
      <c r="J559" s="22">
        <v>5730</v>
      </c>
      <c r="K559" s="64">
        <v>71.25</v>
      </c>
      <c r="L559" s="23">
        <f t="shared" si="134"/>
        <v>408262.5</v>
      </c>
      <c r="M559" s="23">
        <v>0</v>
      </c>
      <c r="N559" s="23">
        <v>0</v>
      </c>
      <c r="O559" s="112">
        <f t="shared" si="125"/>
        <v>408262.5</v>
      </c>
      <c r="P559" s="33">
        <v>0.18</v>
      </c>
      <c r="Q559" s="118">
        <v>0</v>
      </c>
      <c r="R559" s="112">
        <f t="shared" si="135"/>
        <v>36743.625</v>
      </c>
      <c r="S559" s="112">
        <f t="shared" si="136"/>
        <v>36743.625</v>
      </c>
      <c r="T559" s="23">
        <v>0</v>
      </c>
      <c r="U559" s="112">
        <f t="shared" si="131"/>
        <v>481749.75</v>
      </c>
    </row>
    <row r="560" spans="1:21" ht="17.100000000000001" customHeight="1" x14ac:dyDescent="0.25">
      <c r="A560" s="20">
        <f>IF(C560="","",COUNTA($C$4:C560))</f>
        <v>557</v>
      </c>
      <c r="B560" s="20" t="str">
        <f t="shared" si="133"/>
        <v>July</v>
      </c>
      <c r="C560" s="45">
        <v>45852</v>
      </c>
      <c r="D560" s="31" t="s">
        <v>995</v>
      </c>
      <c r="E560" s="105" t="s">
        <v>996</v>
      </c>
      <c r="F560" s="26" t="s">
        <v>997</v>
      </c>
      <c r="G560" s="157" t="s">
        <v>93</v>
      </c>
      <c r="H560" s="106" t="s">
        <v>998</v>
      </c>
      <c r="J560" s="22">
        <v>2420</v>
      </c>
      <c r="K560" s="64">
        <v>110</v>
      </c>
      <c r="L560" s="23">
        <f t="shared" si="134"/>
        <v>266200</v>
      </c>
      <c r="M560" s="23">
        <v>0</v>
      </c>
      <c r="N560" s="23">
        <v>0</v>
      </c>
      <c r="O560" s="112">
        <f t="shared" si="125"/>
        <v>266200</v>
      </c>
      <c r="P560" s="33">
        <v>0.18</v>
      </c>
      <c r="Q560" s="118">
        <f>O560*18/100</f>
        <v>47916</v>
      </c>
      <c r="R560" s="115">
        <v>0</v>
      </c>
      <c r="S560" s="115">
        <v>0</v>
      </c>
      <c r="T560" s="23">
        <v>0</v>
      </c>
      <c r="U560" s="112">
        <f>O560+Q560</f>
        <v>314116</v>
      </c>
    </row>
    <row r="561" spans="1:21" ht="17.100000000000001" customHeight="1" x14ac:dyDescent="0.25">
      <c r="A561" s="20">
        <f>IF(C561="","",COUNTA($C$4:C561))</f>
        <v>558</v>
      </c>
      <c r="B561" s="20" t="str">
        <f t="shared" si="133"/>
        <v>July</v>
      </c>
      <c r="C561" s="45">
        <v>45852</v>
      </c>
      <c r="D561" s="31" t="s">
        <v>995</v>
      </c>
      <c r="E561" s="105" t="s">
        <v>996</v>
      </c>
      <c r="F561" s="26" t="s">
        <v>997</v>
      </c>
      <c r="G561" s="157" t="s">
        <v>93</v>
      </c>
      <c r="H561" s="106" t="s">
        <v>999</v>
      </c>
      <c r="J561" s="22">
        <v>2156</v>
      </c>
      <c r="K561" s="64">
        <v>159</v>
      </c>
      <c r="L561" s="23">
        <f t="shared" si="134"/>
        <v>342804</v>
      </c>
      <c r="M561" s="23">
        <v>0</v>
      </c>
      <c r="N561" s="23">
        <v>0</v>
      </c>
      <c r="O561" s="112">
        <f t="shared" si="125"/>
        <v>342804</v>
      </c>
      <c r="P561" s="33">
        <v>0.18</v>
      </c>
      <c r="Q561" s="118">
        <f>O561*18/100</f>
        <v>61704.72</v>
      </c>
      <c r="R561" s="115">
        <v>0</v>
      </c>
      <c r="S561" s="115">
        <v>0</v>
      </c>
      <c r="T561" s="23">
        <v>0</v>
      </c>
      <c r="U561" s="112">
        <f>O561+Q561</f>
        <v>404508.72</v>
      </c>
    </row>
    <row r="562" spans="1:21" ht="17.100000000000001" customHeight="1" x14ac:dyDescent="0.25">
      <c r="A562" s="20">
        <f>IF(C562="","",COUNTA($C$4:C562))</f>
        <v>559</v>
      </c>
      <c r="B562" s="20" t="str">
        <f t="shared" si="133"/>
        <v>January</v>
      </c>
      <c r="C562" s="45">
        <v>46041</v>
      </c>
      <c r="D562" s="31" t="s">
        <v>2611</v>
      </c>
      <c r="E562" s="105" t="s">
        <v>2612</v>
      </c>
      <c r="F562" s="26" t="s">
        <v>2613</v>
      </c>
      <c r="G562" s="157" t="s">
        <v>1782</v>
      </c>
      <c r="H562" s="106" t="s">
        <v>2614</v>
      </c>
      <c r="J562" s="22">
        <v>513.29</v>
      </c>
      <c r="K562" s="22">
        <v>127</v>
      </c>
      <c r="L562" s="23">
        <f t="shared" si="134"/>
        <v>65187.829999999994</v>
      </c>
      <c r="M562" s="23">
        <v>0</v>
      </c>
      <c r="N562" s="23">
        <v>0</v>
      </c>
      <c r="O562" s="112">
        <f t="shared" si="125"/>
        <v>65187.829999999994</v>
      </c>
      <c r="P562" s="33">
        <v>0.18</v>
      </c>
      <c r="Q562" s="119">
        <v>0</v>
      </c>
      <c r="R562" s="112">
        <f>O562*9/100</f>
        <v>5866.9047</v>
      </c>
      <c r="S562" s="112">
        <f>O562*9/100</f>
        <v>5866.9047</v>
      </c>
      <c r="T562" s="23">
        <v>0</v>
      </c>
      <c r="U562" s="112">
        <f>O562+R562+S562</f>
        <v>76921.6394</v>
      </c>
    </row>
    <row r="563" spans="1:21" ht="17.100000000000001" customHeight="1" x14ac:dyDescent="0.25">
      <c r="A563" s="20">
        <f>IF(C563="","",COUNTA($C$4:C563))</f>
        <v>560</v>
      </c>
      <c r="B563" s="20" t="str">
        <f t="shared" si="133"/>
        <v>January</v>
      </c>
      <c r="C563" s="45">
        <v>46041</v>
      </c>
      <c r="D563" s="31" t="s">
        <v>2615</v>
      </c>
      <c r="E563" s="105" t="s">
        <v>2616</v>
      </c>
      <c r="F563" s="26" t="s">
        <v>2617</v>
      </c>
      <c r="G563" s="157" t="s">
        <v>822</v>
      </c>
      <c r="H563" s="106" t="s">
        <v>2618</v>
      </c>
      <c r="J563" s="22">
        <v>420</v>
      </c>
      <c r="K563" s="22">
        <v>130</v>
      </c>
      <c r="L563" s="23">
        <f t="shared" si="134"/>
        <v>54600</v>
      </c>
      <c r="M563" s="23">
        <v>0</v>
      </c>
      <c r="N563" s="23">
        <v>0</v>
      </c>
      <c r="O563" s="112">
        <f t="shared" si="125"/>
        <v>54600</v>
      </c>
      <c r="P563" s="33">
        <v>0.18</v>
      </c>
      <c r="Q563" s="119">
        <v>0</v>
      </c>
      <c r="R563" s="112">
        <f>O563*9/100</f>
        <v>4914</v>
      </c>
      <c r="S563" s="112">
        <f>O563*9/100</f>
        <v>4914</v>
      </c>
      <c r="T563" s="23">
        <v>0</v>
      </c>
      <c r="U563" s="112">
        <f>O563+R563+S563</f>
        <v>64428</v>
      </c>
    </row>
    <row r="564" spans="1:21" ht="17.100000000000001" customHeight="1" x14ac:dyDescent="0.25">
      <c r="A564" s="20">
        <f>IF(C564="","",COUNTA($C$4:C564))</f>
        <v>561</v>
      </c>
      <c r="B564" s="20" t="str">
        <f t="shared" si="133"/>
        <v>August</v>
      </c>
      <c r="C564" s="45">
        <v>45885</v>
      </c>
      <c r="D564" s="31" t="s">
        <v>1313</v>
      </c>
      <c r="E564" s="105" t="s">
        <v>1314</v>
      </c>
      <c r="F564" s="26" t="s">
        <v>1315</v>
      </c>
      <c r="G564" s="157" t="s">
        <v>93</v>
      </c>
      <c r="H564" s="106" t="s">
        <v>1316</v>
      </c>
      <c r="J564" s="22">
        <v>2200</v>
      </c>
      <c r="K564" s="22">
        <v>110</v>
      </c>
      <c r="L564" s="23">
        <f t="shared" si="134"/>
        <v>242000</v>
      </c>
      <c r="M564" s="23">
        <v>0</v>
      </c>
      <c r="N564" s="23">
        <v>0</v>
      </c>
      <c r="O564" s="112">
        <f t="shared" si="125"/>
        <v>242000</v>
      </c>
      <c r="P564" s="33">
        <v>0.18</v>
      </c>
      <c r="Q564" s="118">
        <f>O564*18/100</f>
        <v>43560</v>
      </c>
      <c r="R564" s="115">
        <v>0</v>
      </c>
      <c r="S564" s="115">
        <v>0</v>
      </c>
      <c r="T564" s="23">
        <v>0</v>
      </c>
      <c r="U564" s="112">
        <f>O564+Q564</f>
        <v>285560</v>
      </c>
    </row>
    <row r="565" spans="1:21" ht="17.100000000000001" customHeight="1" x14ac:dyDescent="0.25">
      <c r="A565" s="20">
        <f>IF(C565="","",COUNTA($C$4:C565))</f>
        <v>562</v>
      </c>
      <c r="B565" s="20" t="str">
        <f t="shared" si="133"/>
        <v>August</v>
      </c>
      <c r="C565" s="45">
        <v>45885</v>
      </c>
      <c r="D565" s="31" t="s">
        <v>1313</v>
      </c>
      <c r="E565" s="105" t="s">
        <v>1314</v>
      </c>
      <c r="F565" s="26" t="s">
        <v>1315</v>
      </c>
      <c r="G565" s="157" t="s">
        <v>93</v>
      </c>
      <c r="H565" s="106" t="s">
        <v>1317</v>
      </c>
      <c r="J565" s="22">
        <v>2772</v>
      </c>
      <c r="K565" s="22">
        <v>159</v>
      </c>
      <c r="L565" s="23">
        <f t="shared" si="134"/>
        <v>440748</v>
      </c>
      <c r="M565" s="23">
        <v>0</v>
      </c>
      <c r="N565" s="23">
        <v>0</v>
      </c>
      <c r="O565" s="112">
        <f t="shared" si="125"/>
        <v>440748</v>
      </c>
      <c r="P565" s="33">
        <v>0.18</v>
      </c>
      <c r="Q565" s="118">
        <f>O565*18/100</f>
        <v>79334.64</v>
      </c>
      <c r="R565" s="115">
        <v>0</v>
      </c>
      <c r="S565" s="115">
        <v>0</v>
      </c>
      <c r="T565" s="23">
        <v>0</v>
      </c>
      <c r="U565" s="112">
        <f>O565+Q565</f>
        <v>520082.64</v>
      </c>
    </row>
    <row r="566" spans="1:21" ht="17.100000000000001" customHeight="1" x14ac:dyDescent="0.25">
      <c r="A566" s="20">
        <f>IF(C566="","",COUNTA($C$4:C566))</f>
        <v>563</v>
      </c>
      <c r="B566" s="20" t="str">
        <f t="shared" si="133"/>
        <v>January</v>
      </c>
      <c r="C566" s="45">
        <v>46043</v>
      </c>
      <c r="D566" s="31" t="s">
        <v>2626</v>
      </c>
      <c r="E566" s="105" t="s">
        <v>2627</v>
      </c>
      <c r="F566" s="26" t="s">
        <v>2628</v>
      </c>
      <c r="G566" s="157" t="s">
        <v>248</v>
      </c>
      <c r="H566" s="106" t="s">
        <v>2629</v>
      </c>
      <c r="J566" s="22">
        <v>1000</v>
      </c>
      <c r="K566" s="22">
        <v>11</v>
      </c>
      <c r="L566" s="23">
        <f t="shared" si="134"/>
        <v>11000</v>
      </c>
      <c r="M566" s="23">
        <v>0</v>
      </c>
      <c r="N566" s="23">
        <v>0</v>
      </c>
      <c r="O566" s="112">
        <f t="shared" si="125"/>
        <v>11000</v>
      </c>
      <c r="P566" s="33">
        <v>0.05</v>
      </c>
      <c r="Q566" s="119">
        <v>0</v>
      </c>
      <c r="R566" s="112">
        <f>O566*2.5/100</f>
        <v>275</v>
      </c>
      <c r="S566" s="112">
        <f>O566*2.5/100</f>
        <v>275</v>
      </c>
      <c r="T566" s="23">
        <v>0</v>
      </c>
      <c r="U566" s="112">
        <f>O566+R566+S566</f>
        <v>11550</v>
      </c>
    </row>
    <row r="567" spans="1:21" ht="17.100000000000001" customHeight="1" x14ac:dyDescent="0.25">
      <c r="A567" s="20">
        <f>IF(C567="","",COUNTA($C$4:C567))</f>
        <v>564</v>
      </c>
      <c r="B567" s="20" t="str">
        <f t="shared" si="133"/>
        <v>January</v>
      </c>
      <c r="C567" s="45">
        <v>46043</v>
      </c>
      <c r="D567" s="31" t="s">
        <v>2626</v>
      </c>
      <c r="E567" s="105" t="s">
        <v>2627</v>
      </c>
      <c r="F567" s="26" t="s">
        <v>2628</v>
      </c>
      <c r="G567" s="157" t="s">
        <v>248</v>
      </c>
      <c r="H567" s="106" t="s">
        <v>2442</v>
      </c>
      <c r="J567" s="22">
        <v>100</v>
      </c>
      <c r="K567" s="22">
        <v>58</v>
      </c>
      <c r="L567" s="23">
        <f t="shared" si="134"/>
        <v>5800</v>
      </c>
      <c r="M567" s="23">
        <v>0</v>
      </c>
      <c r="N567" s="23">
        <v>0</v>
      </c>
      <c r="O567" s="112">
        <f t="shared" si="125"/>
        <v>5800</v>
      </c>
      <c r="P567" s="33">
        <v>0.05</v>
      </c>
      <c r="Q567" s="119">
        <v>0</v>
      </c>
      <c r="R567" s="112">
        <f>O567*2.5/100</f>
        <v>145</v>
      </c>
      <c r="S567" s="112">
        <f>O567*2.5/100</f>
        <v>145</v>
      </c>
      <c r="T567" s="23">
        <v>0</v>
      </c>
      <c r="U567" s="112">
        <f>O567+R567+S567</f>
        <v>6090</v>
      </c>
    </row>
    <row r="568" spans="1:21" ht="17.100000000000001" customHeight="1" x14ac:dyDescent="0.25">
      <c r="A568" s="20">
        <f>IF(C568="","",COUNTA($C$4:C568))</f>
        <v>565</v>
      </c>
      <c r="B568" s="20" t="str">
        <f t="shared" si="133"/>
        <v>January</v>
      </c>
      <c r="C568" s="45">
        <v>46043</v>
      </c>
      <c r="D568" s="31" t="s">
        <v>2041</v>
      </c>
      <c r="E568" s="105" t="s">
        <v>2630</v>
      </c>
      <c r="F568" s="26" t="s">
        <v>2631</v>
      </c>
      <c r="G568" s="157" t="s">
        <v>2632</v>
      </c>
      <c r="H568" s="106" t="s">
        <v>2633</v>
      </c>
      <c r="J568" s="22">
        <v>50</v>
      </c>
      <c r="K568" s="22">
        <v>900</v>
      </c>
      <c r="L568" s="23">
        <f t="shared" si="134"/>
        <v>45000</v>
      </c>
      <c r="M568" s="23">
        <v>0</v>
      </c>
      <c r="N568" s="23">
        <v>0</v>
      </c>
      <c r="O568" s="112">
        <f t="shared" si="125"/>
        <v>45000</v>
      </c>
      <c r="P568" s="33">
        <v>0.18</v>
      </c>
      <c r="Q568" s="119">
        <v>0</v>
      </c>
      <c r="R568" s="112">
        <f>O568*9/100</f>
        <v>4050</v>
      </c>
      <c r="S568" s="112">
        <f>O568*9/100</f>
        <v>4050</v>
      </c>
      <c r="T568" s="23">
        <v>0</v>
      </c>
      <c r="U568" s="112">
        <f>O568+R568+S568</f>
        <v>53100</v>
      </c>
    </row>
    <row r="569" spans="1:21" ht="17.100000000000001" customHeight="1" x14ac:dyDescent="0.25">
      <c r="A569" s="20">
        <f>IF(C569="","",COUNTA($C$4:C569))</f>
        <v>566</v>
      </c>
      <c r="B569" s="20" t="str">
        <f t="shared" si="133"/>
        <v>January</v>
      </c>
      <c r="C569" s="45">
        <v>46043</v>
      </c>
      <c r="D569" s="31" t="s">
        <v>2041</v>
      </c>
      <c r="E569" s="105" t="s">
        <v>2630</v>
      </c>
      <c r="F569" s="26" t="s">
        <v>2631</v>
      </c>
      <c r="G569" s="157" t="s">
        <v>2632</v>
      </c>
      <c r="H569" s="106" t="s">
        <v>2634</v>
      </c>
      <c r="J569" s="22">
        <v>40</v>
      </c>
      <c r="K569" s="22">
        <v>664.2</v>
      </c>
      <c r="L569" s="23">
        <f t="shared" si="134"/>
        <v>26568</v>
      </c>
      <c r="M569" s="23">
        <v>0</v>
      </c>
      <c r="N569" s="23">
        <v>0</v>
      </c>
      <c r="O569" s="112">
        <f t="shared" si="125"/>
        <v>26568</v>
      </c>
      <c r="P569" s="33">
        <v>0.18</v>
      </c>
      <c r="Q569" s="119">
        <v>0</v>
      </c>
      <c r="R569" s="112">
        <f>O569*9/100</f>
        <v>2391.12</v>
      </c>
      <c r="S569" s="112">
        <f>O569*9/100</f>
        <v>2391.12</v>
      </c>
      <c r="T569" s="23">
        <v>0</v>
      </c>
      <c r="U569" s="112">
        <f>O569+R569+S569</f>
        <v>31350.239999999998</v>
      </c>
    </row>
    <row r="570" spans="1:21" ht="17.100000000000001" customHeight="1" x14ac:dyDescent="0.25">
      <c r="A570" s="20">
        <f>IF(C570="","",COUNTA($C$4:C570))</f>
        <v>567</v>
      </c>
      <c r="B570" s="20" t="str">
        <f t="shared" si="133"/>
        <v>September</v>
      </c>
      <c r="C570" s="45">
        <v>45908</v>
      </c>
      <c r="D570" s="31" t="s">
        <v>1523</v>
      </c>
      <c r="E570" s="105" t="s">
        <v>1524</v>
      </c>
      <c r="F570" s="26" t="s">
        <v>1525</v>
      </c>
      <c r="G570" s="157" t="s">
        <v>93</v>
      </c>
      <c r="H570" s="145" t="s">
        <v>1526</v>
      </c>
      <c r="J570" s="22">
        <v>1800</v>
      </c>
      <c r="K570" s="22">
        <v>96</v>
      </c>
      <c r="L570" s="23">
        <f t="shared" si="134"/>
        <v>172800</v>
      </c>
      <c r="M570" s="23">
        <v>0</v>
      </c>
      <c r="N570" s="23">
        <v>0</v>
      </c>
      <c r="O570" s="112">
        <f t="shared" si="125"/>
        <v>172800</v>
      </c>
      <c r="P570" s="33">
        <v>0.18</v>
      </c>
      <c r="Q570" s="118">
        <f>O570*18/100</f>
        <v>31104</v>
      </c>
      <c r="R570" s="115">
        <v>0</v>
      </c>
      <c r="S570" s="115">
        <v>0</v>
      </c>
      <c r="T570" s="23">
        <v>0</v>
      </c>
      <c r="U570" s="112">
        <f>O570+Q570</f>
        <v>203904</v>
      </c>
    </row>
    <row r="571" spans="1:21" ht="17.100000000000001" customHeight="1" x14ac:dyDescent="0.25">
      <c r="A571" s="20">
        <f>IF(C571="","",COUNTA($C$4:C571))</f>
        <v>568</v>
      </c>
      <c r="B571" s="20" t="str">
        <f t="shared" si="133"/>
        <v>October</v>
      </c>
      <c r="C571" s="45">
        <v>45959</v>
      </c>
      <c r="D571" s="31" t="s">
        <v>1995</v>
      </c>
      <c r="E571" s="105" t="s">
        <v>1996</v>
      </c>
      <c r="F571" s="26" t="s">
        <v>1997</v>
      </c>
      <c r="G571" s="157" t="s">
        <v>93</v>
      </c>
      <c r="H571" s="106" t="s">
        <v>1998</v>
      </c>
      <c r="J571" s="22">
        <v>300</v>
      </c>
      <c r="K571" s="22">
        <v>385</v>
      </c>
      <c r="L571" s="23">
        <f t="shared" si="134"/>
        <v>115500</v>
      </c>
      <c r="M571" s="23">
        <v>0</v>
      </c>
      <c r="N571" s="23">
        <v>0</v>
      </c>
      <c r="O571" s="112">
        <f t="shared" si="125"/>
        <v>115500</v>
      </c>
      <c r="P571" s="33">
        <v>0.18</v>
      </c>
      <c r="Q571" s="118">
        <f>O571*18/100</f>
        <v>20790</v>
      </c>
      <c r="R571" s="115">
        <v>0</v>
      </c>
      <c r="S571" s="115">
        <v>0</v>
      </c>
      <c r="T571" s="23">
        <v>0</v>
      </c>
      <c r="U571" s="112">
        <f>O571+Q571</f>
        <v>136290</v>
      </c>
    </row>
    <row r="572" spans="1:21" ht="17.100000000000001" customHeight="1" x14ac:dyDescent="0.25">
      <c r="A572" s="20">
        <f>IF(C572="","",COUNTA($C$4:C572))</f>
        <v>569</v>
      </c>
      <c r="B572" s="20" t="str">
        <f t="shared" si="133"/>
        <v>January</v>
      </c>
      <c r="C572" s="45">
        <v>46045</v>
      </c>
      <c r="D572" s="31" t="s">
        <v>2645</v>
      </c>
      <c r="E572" s="105" t="s">
        <v>2646</v>
      </c>
      <c r="F572" s="26"/>
      <c r="G572" s="157" t="s">
        <v>1022</v>
      </c>
      <c r="H572" s="106" t="s">
        <v>2647</v>
      </c>
      <c r="J572" s="22">
        <v>1</v>
      </c>
      <c r="K572" s="22">
        <v>37500</v>
      </c>
      <c r="L572" s="23">
        <f t="shared" si="134"/>
        <v>37500</v>
      </c>
      <c r="M572" s="23">
        <v>0</v>
      </c>
      <c r="N572" s="23">
        <v>0</v>
      </c>
      <c r="O572" s="112">
        <f t="shared" si="125"/>
        <v>37500</v>
      </c>
      <c r="P572" s="33">
        <v>0.18</v>
      </c>
      <c r="Q572" s="119">
        <v>0</v>
      </c>
      <c r="R572" s="112">
        <f t="shared" ref="R572:R579" si="137">O572*9/100</f>
        <v>3375</v>
      </c>
      <c r="S572" s="112">
        <f t="shared" ref="S572:S579" si="138">O572*9/100</f>
        <v>3375</v>
      </c>
      <c r="T572" s="23">
        <v>0</v>
      </c>
      <c r="U572" s="112">
        <f t="shared" ref="U572:U579" si="139">O572+R572+S572</f>
        <v>44250</v>
      </c>
    </row>
    <row r="573" spans="1:21" ht="17.100000000000001" customHeight="1" x14ac:dyDescent="0.25">
      <c r="A573" s="20">
        <f>IF(C573="","",COUNTA($C$4:C573))</f>
        <v>570</v>
      </c>
      <c r="B573" s="20" t="str">
        <f t="shared" si="133"/>
        <v>January</v>
      </c>
      <c r="C573" s="45">
        <v>46045</v>
      </c>
      <c r="D573" s="31" t="s">
        <v>2645</v>
      </c>
      <c r="E573" s="105" t="s">
        <v>2646</v>
      </c>
      <c r="F573" s="26"/>
      <c r="G573" s="157" t="s">
        <v>1022</v>
      </c>
      <c r="H573" s="106" t="s">
        <v>2648</v>
      </c>
      <c r="J573" s="22">
        <v>1</v>
      </c>
      <c r="K573" s="22">
        <v>18800</v>
      </c>
      <c r="L573" s="23">
        <f t="shared" si="134"/>
        <v>18800</v>
      </c>
      <c r="M573" s="23">
        <v>0</v>
      </c>
      <c r="N573" s="23">
        <v>0</v>
      </c>
      <c r="O573" s="112">
        <f t="shared" si="125"/>
        <v>18800</v>
      </c>
      <c r="P573" s="33">
        <v>0.18</v>
      </c>
      <c r="Q573" s="119">
        <v>0</v>
      </c>
      <c r="R573" s="112">
        <f t="shared" si="137"/>
        <v>1692</v>
      </c>
      <c r="S573" s="112">
        <f t="shared" si="138"/>
        <v>1692</v>
      </c>
      <c r="T573" s="23"/>
      <c r="U573" s="112">
        <f t="shared" si="139"/>
        <v>22184</v>
      </c>
    </row>
    <row r="574" spans="1:21" ht="17.100000000000001" customHeight="1" x14ac:dyDescent="0.25">
      <c r="A574" s="20">
        <f>IF(C574="","",COUNTA($C$4:C574))</f>
        <v>571</v>
      </c>
      <c r="B574" s="20" t="str">
        <f t="shared" si="133"/>
        <v>January</v>
      </c>
      <c r="C574" s="45">
        <v>46045</v>
      </c>
      <c r="D574" s="31" t="s">
        <v>2649</v>
      </c>
      <c r="E574" s="105" t="s">
        <v>2650</v>
      </c>
      <c r="F574" s="26"/>
      <c r="G574" s="157" t="s">
        <v>180</v>
      </c>
      <c r="H574" s="106" t="s">
        <v>2651</v>
      </c>
      <c r="J574" s="22">
        <v>1</v>
      </c>
      <c r="K574" s="22">
        <v>39900</v>
      </c>
      <c r="L574" s="23">
        <f t="shared" si="134"/>
        <v>39900</v>
      </c>
      <c r="M574" s="23">
        <v>0</v>
      </c>
      <c r="N574" s="23">
        <v>0</v>
      </c>
      <c r="O574" s="112">
        <f t="shared" si="125"/>
        <v>39900</v>
      </c>
      <c r="P574" s="33">
        <v>0.18</v>
      </c>
      <c r="Q574" s="119">
        <v>0</v>
      </c>
      <c r="R574" s="112">
        <f t="shared" si="137"/>
        <v>3591</v>
      </c>
      <c r="S574" s="112">
        <f t="shared" si="138"/>
        <v>3591</v>
      </c>
      <c r="T574" s="23"/>
      <c r="U574" s="112">
        <f t="shared" si="139"/>
        <v>47082</v>
      </c>
    </row>
    <row r="575" spans="1:21" ht="17.100000000000001" customHeight="1" x14ac:dyDescent="0.25">
      <c r="A575" s="20">
        <f>IF(C575="","",COUNTA($C$4:C575))</f>
        <v>572</v>
      </c>
      <c r="B575" s="20" t="str">
        <f t="shared" si="133"/>
        <v>January</v>
      </c>
      <c r="C575" s="45">
        <v>46049</v>
      </c>
      <c r="D575" s="31" t="s">
        <v>2652</v>
      </c>
      <c r="E575" s="105" t="s">
        <v>2653</v>
      </c>
      <c r="F575" s="26" t="s">
        <v>2216</v>
      </c>
      <c r="G575" s="157" t="s">
        <v>254</v>
      </c>
      <c r="H575" s="106" t="s">
        <v>2581</v>
      </c>
      <c r="J575" s="22">
        <v>12000</v>
      </c>
      <c r="K575" s="22">
        <v>6.5</v>
      </c>
      <c r="L575" s="23">
        <f t="shared" si="134"/>
        <v>78000</v>
      </c>
      <c r="M575" s="23">
        <v>0</v>
      </c>
      <c r="N575" s="23">
        <v>0</v>
      </c>
      <c r="O575" s="112">
        <f t="shared" si="125"/>
        <v>78000</v>
      </c>
      <c r="P575" s="33">
        <v>0.18</v>
      </c>
      <c r="Q575" s="119">
        <v>0</v>
      </c>
      <c r="R575" s="112">
        <f t="shared" si="137"/>
        <v>7020</v>
      </c>
      <c r="S575" s="112">
        <f t="shared" si="138"/>
        <v>7020</v>
      </c>
      <c r="T575" s="23"/>
      <c r="U575" s="112">
        <f t="shared" si="139"/>
        <v>92040</v>
      </c>
    </row>
    <row r="576" spans="1:21" ht="17.100000000000001" customHeight="1" x14ac:dyDescent="0.25">
      <c r="A576" s="20">
        <f>IF(C576="","",COUNTA($C$4:C576))</f>
        <v>573</v>
      </c>
      <c r="B576" s="20" t="str">
        <f t="shared" si="133"/>
        <v>January</v>
      </c>
      <c r="C576" s="45">
        <v>46049</v>
      </c>
      <c r="D576" s="31" t="s">
        <v>2654</v>
      </c>
      <c r="E576" s="105" t="s">
        <v>2655</v>
      </c>
      <c r="F576" s="26" t="s">
        <v>2466</v>
      </c>
      <c r="G576" s="157" t="s">
        <v>254</v>
      </c>
      <c r="H576" s="106" t="s">
        <v>2074</v>
      </c>
      <c r="J576" s="22">
        <v>11500</v>
      </c>
      <c r="K576" s="22">
        <v>7.5</v>
      </c>
      <c r="L576" s="23">
        <f t="shared" si="134"/>
        <v>86250</v>
      </c>
      <c r="M576" s="23">
        <v>0</v>
      </c>
      <c r="N576" s="23">
        <v>0</v>
      </c>
      <c r="O576" s="112">
        <f t="shared" si="125"/>
        <v>86250</v>
      </c>
      <c r="P576" s="33">
        <v>0.18</v>
      </c>
      <c r="Q576" s="119">
        <v>0</v>
      </c>
      <c r="R576" s="112">
        <f t="shared" si="137"/>
        <v>7762.5</v>
      </c>
      <c r="S576" s="112">
        <f t="shared" si="138"/>
        <v>7762.5</v>
      </c>
      <c r="T576" s="23"/>
      <c r="U576" s="112">
        <f t="shared" si="139"/>
        <v>101775</v>
      </c>
    </row>
    <row r="577" spans="1:21" ht="17.100000000000001" customHeight="1" x14ac:dyDescent="0.25">
      <c r="A577" s="20">
        <f>IF(C577="","",COUNTA($C$4:C577))</f>
        <v>574</v>
      </c>
      <c r="B577" s="20" t="str">
        <f t="shared" si="133"/>
        <v>January</v>
      </c>
      <c r="C577" s="45">
        <v>46041</v>
      </c>
      <c r="D577" s="31" t="s">
        <v>2656</v>
      </c>
      <c r="E577" s="105" t="s">
        <v>2657</v>
      </c>
      <c r="F577" s="26">
        <v>168</v>
      </c>
      <c r="G577" s="157" t="s">
        <v>415</v>
      </c>
      <c r="H577" s="106" t="s">
        <v>2658</v>
      </c>
      <c r="J577" s="22">
        <v>2</v>
      </c>
      <c r="K577" s="22">
        <v>3890</v>
      </c>
      <c r="L577" s="23">
        <f t="shared" si="134"/>
        <v>7780</v>
      </c>
      <c r="M577" s="23">
        <v>0</v>
      </c>
      <c r="N577" s="23">
        <v>0</v>
      </c>
      <c r="O577" s="112">
        <f t="shared" si="125"/>
        <v>7780</v>
      </c>
      <c r="P577" s="33">
        <v>0.18</v>
      </c>
      <c r="Q577" s="119">
        <v>0</v>
      </c>
      <c r="R577" s="112">
        <f t="shared" si="137"/>
        <v>700.2</v>
      </c>
      <c r="S577" s="112">
        <f t="shared" si="138"/>
        <v>700.2</v>
      </c>
      <c r="T577" s="23">
        <v>0</v>
      </c>
      <c r="U577" s="112">
        <f t="shared" si="139"/>
        <v>9180.4000000000015</v>
      </c>
    </row>
    <row r="578" spans="1:21" ht="17.100000000000001" customHeight="1" x14ac:dyDescent="0.25">
      <c r="A578" s="20">
        <f>IF(C578="","",COUNTA($C$4:C578))</f>
        <v>575</v>
      </c>
      <c r="B578" s="20" t="str">
        <f t="shared" si="133"/>
        <v>January</v>
      </c>
      <c r="C578" s="45">
        <v>46048</v>
      </c>
      <c r="D578" s="31" t="s">
        <v>2659</v>
      </c>
      <c r="E578" s="105" t="s">
        <v>2660</v>
      </c>
      <c r="F578" s="26"/>
      <c r="G578" s="157" t="s">
        <v>342</v>
      </c>
      <c r="H578" s="106" t="s">
        <v>207</v>
      </c>
      <c r="L578" s="23">
        <v>6275</v>
      </c>
      <c r="M578" s="23">
        <v>0</v>
      </c>
      <c r="N578" s="23">
        <v>0</v>
      </c>
      <c r="O578" s="112">
        <f t="shared" si="125"/>
        <v>6275</v>
      </c>
      <c r="P578" s="33">
        <v>0.18</v>
      </c>
      <c r="Q578" s="119">
        <v>0</v>
      </c>
      <c r="R578" s="112">
        <f t="shared" si="137"/>
        <v>564.75</v>
      </c>
      <c r="S578" s="112">
        <f t="shared" si="138"/>
        <v>564.75</v>
      </c>
      <c r="T578" s="23">
        <v>0</v>
      </c>
      <c r="U578" s="112">
        <f t="shared" si="139"/>
        <v>7404.5</v>
      </c>
    </row>
    <row r="579" spans="1:21" ht="17.100000000000001" customHeight="1" x14ac:dyDescent="0.25">
      <c r="A579" s="20">
        <f>IF(C579="","",COUNTA($C$4:C579))</f>
        <v>576</v>
      </c>
      <c r="B579" s="20" t="str">
        <f t="shared" si="133"/>
        <v>January</v>
      </c>
      <c r="C579" s="45">
        <v>46050</v>
      </c>
      <c r="D579" s="31" t="s">
        <v>2661</v>
      </c>
      <c r="E579" s="105" t="s">
        <v>2662</v>
      </c>
      <c r="F579" s="26"/>
      <c r="G579" s="157" t="s">
        <v>342</v>
      </c>
      <c r="H579" s="106" t="s">
        <v>207</v>
      </c>
      <c r="L579" s="23">
        <v>1352</v>
      </c>
      <c r="M579" s="23">
        <v>0</v>
      </c>
      <c r="N579" s="23">
        <v>0</v>
      </c>
      <c r="O579" s="112">
        <f t="shared" si="125"/>
        <v>1352</v>
      </c>
      <c r="P579" s="33">
        <v>0.18</v>
      </c>
      <c r="Q579" s="119">
        <v>0</v>
      </c>
      <c r="R579" s="112">
        <f t="shared" si="137"/>
        <v>121.68</v>
      </c>
      <c r="S579" s="112">
        <f t="shared" si="138"/>
        <v>121.68</v>
      </c>
      <c r="T579" s="23">
        <v>0</v>
      </c>
      <c r="U579" s="112">
        <f t="shared" si="139"/>
        <v>1595.3600000000001</v>
      </c>
    </row>
    <row r="580" spans="1:21" ht="17.100000000000001" customHeight="1" x14ac:dyDescent="0.25">
      <c r="A580" s="20">
        <f>IF(C580="","",COUNTA($C$4:C580))</f>
        <v>577</v>
      </c>
      <c r="B580" s="20" t="str">
        <f t="shared" si="133"/>
        <v>October</v>
      </c>
      <c r="C580" s="45">
        <v>45959</v>
      </c>
      <c r="D580" s="31" t="s">
        <v>1995</v>
      </c>
      <c r="E580" s="105" t="s">
        <v>1996</v>
      </c>
      <c r="F580" s="26" t="s">
        <v>1997</v>
      </c>
      <c r="G580" s="157" t="s">
        <v>93</v>
      </c>
      <c r="H580" s="106" t="s">
        <v>1999</v>
      </c>
      <c r="J580" s="22">
        <v>200</v>
      </c>
      <c r="K580" s="22">
        <v>555</v>
      </c>
      <c r="L580" s="23">
        <f>J580*K580</f>
        <v>111000</v>
      </c>
      <c r="M580" s="23">
        <v>0</v>
      </c>
      <c r="N580" s="23">
        <v>0</v>
      </c>
      <c r="O580" s="112">
        <f t="shared" si="125"/>
        <v>111000</v>
      </c>
      <c r="P580" s="33">
        <v>0.18</v>
      </c>
      <c r="Q580" s="118">
        <f>O580*18/100</f>
        <v>19980</v>
      </c>
      <c r="R580" s="115">
        <v>0</v>
      </c>
      <c r="S580" s="115">
        <v>0</v>
      </c>
      <c r="T580" s="23">
        <v>0</v>
      </c>
      <c r="U580" s="112">
        <f>O580+Q580</f>
        <v>130980</v>
      </c>
    </row>
    <row r="581" spans="1:21" ht="17.100000000000001" customHeight="1" x14ac:dyDescent="0.25">
      <c r="A581" s="20">
        <f>IF(C581="","",COUNTA($C$4:C581))</f>
        <v>578</v>
      </c>
      <c r="B581" s="20" t="str">
        <f t="shared" si="133"/>
        <v>January</v>
      </c>
      <c r="C581" s="45">
        <v>46052</v>
      </c>
      <c r="D581" s="31" t="s">
        <v>2786</v>
      </c>
      <c r="E581" s="105" t="s">
        <v>2787</v>
      </c>
      <c r="F581" s="26" t="s">
        <v>2788</v>
      </c>
      <c r="G581" s="157" t="s">
        <v>2632</v>
      </c>
      <c r="H581" s="106" t="s">
        <v>2789</v>
      </c>
      <c r="L581" s="23">
        <v>18510</v>
      </c>
      <c r="M581" s="23">
        <v>0</v>
      </c>
      <c r="N581" s="23">
        <v>0</v>
      </c>
      <c r="O581" s="112">
        <f t="shared" si="125"/>
        <v>18510</v>
      </c>
      <c r="P581" s="33">
        <v>0.18</v>
      </c>
      <c r="Q581" s="119">
        <v>0</v>
      </c>
      <c r="R581" s="112">
        <f>O581*9/100</f>
        <v>1665.9</v>
      </c>
      <c r="S581" s="112">
        <f>O581*9/100</f>
        <v>1665.9</v>
      </c>
      <c r="T581" s="23">
        <v>0</v>
      </c>
      <c r="U581" s="112">
        <f>O581+R581+S581</f>
        <v>21841.800000000003</v>
      </c>
    </row>
    <row r="582" spans="1:21" ht="17.100000000000001" customHeight="1" x14ac:dyDescent="0.25">
      <c r="A582" s="20">
        <f>IF(C582="","",COUNTA($C$4:C582))</f>
        <v>579</v>
      </c>
      <c r="B582" s="20" t="str">
        <f t="shared" si="133"/>
        <v>October</v>
      </c>
      <c r="C582" s="45">
        <v>45959</v>
      </c>
      <c r="D582" s="31" t="s">
        <v>1995</v>
      </c>
      <c r="E582" s="105" t="s">
        <v>1996</v>
      </c>
      <c r="F582" s="26" t="s">
        <v>1997</v>
      </c>
      <c r="G582" s="157" t="s">
        <v>93</v>
      </c>
      <c r="H582" s="106" t="s">
        <v>2000</v>
      </c>
      <c r="J582" s="22">
        <v>720</v>
      </c>
      <c r="K582" s="22">
        <v>96</v>
      </c>
      <c r="L582" s="23">
        <f t="shared" ref="L582:L599" si="140">J582*K582</f>
        <v>69120</v>
      </c>
      <c r="M582" s="23">
        <v>0</v>
      </c>
      <c r="N582" s="23">
        <v>0</v>
      </c>
      <c r="O582" s="112">
        <f t="shared" si="125"/>
        <v>69120</v>
      </c>
      <c r="P582" s="33">
        <v>0.18</v>
      </c>
      <c r="Q582" s="118">
        <f>O582*18/100</f>
        <v>12441.6</v>
      </c>
      <c r="R582" s="115">
        <v>0</v>
      </c>
      <c r="S582" s="115">
        <v>0</v>
      </c>
      <c r="T582" s="23">
        <v>0</v>
      </c>
      <c r="U582" s="112">
        <f>O582+Q582</f>
        <v>81561.600000000006</v>
      </c>
    </row>
    <row r="583" spans="1:21" ht="17.100000000000001" customHeight="1" x14ac:dyDescent="0.25">
      <c r="A583" s="20">
        <f>IF(C583="","",COUNTA($C$4:C583))</f>
        <v>580</v>
      </c>
      <c r="B583" s="20" t="str">
        <f t="shared" si="133"/>
        <v>December</v>
      </c>
      <c r="C583" s="45">
        <v>46004</v>
      </c>
      <c r="D583" s="31" t="s">
        <v>2351</v>
      </c>
      <c r="E583" s="105" t="s">
        <v>2352</v>
      </c>
      <c r="F583" s="26" t="s">
        <v>2353</v>
      </c>
      <c r="G583" s="157" t="s">
        <v>93</v>
      </c>
      <c r="H583" s="106" t="s">
        <v>2354</v>
      </c>
      <c r="J583" s="22">
        <v>1656</v>
      </c>
      <c r="K583" s="22">
        <v>96</v>
      </c>
      <c r="L583" s="23">
        <f t="shared" si="140"/>
        <v>158976</v>
      </c>
      <c r="M583" s="23">
        <v>0</v>
      </c>
      <c r="N583" s="23">
        <v>0</v>
      </c>
      <c r="O583" s="112">
        <f t="shared" ref="O583:O646" si="141">L583+M583+N583</f>
        <v>158976</v>
      </c>
      <c r="P583" s="33">
        <v>0.18</v>
      </c>
      <c r="Q583" s="118">
        <f>O583*18/100</f>
        <v>28615.68</v>
      </c>
      <c r="R583" s="115">
        <v>0</v>
      </c>
      <c r="S583" s="115">
        <v>0</v>
      </c>
      <c r="T583" s="23">
        <v>0</v>
      </c>
      <c r="U583" s="112">
        <f>O583+Q583</f>
        <v>187591.67999999999</v>
      </c>
    </row>
    <row r="584" spans="1:21" ht="17.100000000000001" customHeight="1" x14ac:dyDescent="0.25">
      <c r="A584" s="20">
        <f>IF(C584="","",COUNTA($C$4:C584))</f>
        <v>581</v>
      </c>
      <c r="B584" s="20" t="str">
        <f t="shared" si="133"/>
        <v>February</v>
      </c>
      <c r="C584" s="45">
        <v>46059</v>
      </c>
      <c r="D584" s="31" t="s">
        <v>2795</v>
      </c>
      <c r="E584" s="105" t="s">
        <v>2796</v>
      </c>
      <c r="F584" s="26" t="s">
        <v>2216</v>
      </c>
      <c r="G584" s="157" t="s">
        <v>254</v>
      </c>
      <c r="H584" s="106" t="s">
        <v>2797</v>
      </c>
      <c r="J584" s="22">
        <v>7350</v>
      </c>
      <c r="K584" s="22">
        <v>6.5</v>
      </c>
      <c r="L584" s="23">
        <f t="shared" si="140"/>
        <v>47775</v>
      </c>
      <c r="M584" s="23">
        <v>0</v>
      </c>
      <c r="N584" s="23">
        <v>0</v>
      </c>
      <c r="O584" s="112">
        <f t="shared" si="141"/>
        <v>47775</v>
      </c>
      <c r="P584" s="33">
        <v>0.18</v>
      </c>
      <c r="Q584" s="119">
        <v>0</v>
      </c>
      <c r="R584" s="112">
        <f>O584*9/100</f>
        <v>4299.75</v>
      </c>
      <c r="S584" s="112">
        <f>O584*9/100</f>
        <v>4299.75</v>
      </c>
      <c r="T584" s="23">
        <v>0</v>
      </c>
      <c r="U584" s="112">
        <f>O584+R584+S584</f>
        <v>56374.5</v>
      </c>
    </row>
    <row r="585" spans="1:21" ht="17.100000000000001" customHeight="1" x14ac:dyDescent="0.25">
      <c r="A585" s="20">
        <f>IF(C585="","",COUNTA($C$4:C585))</f>
        <v>582</v>
      </c>
      <c r="B585" s="20" t="str">
        <f t="shared" si="133"/>
        <v>February</v>
      </c>
      <c r="C585" s="45">
        <v>46059</v>
      </c>
      <c r="D585" s="31" t="s">
        <v>2798</v>
      </c>
      <c r="E585" s="105" t="s">
        <v>2799</v>
      </c>
      <c r="F585" s="26" t="s">
        <v>2800</v>
      </c>
      <c r="G585" s="157" t="s">
        <v>254</v>
      </c>
      <c r="H585" s="106" t="s">
        <v>2797</v>
      </c>
      <c r="J585" s="22">
        <v>10650</v>
      </c>
      <c r="K585" s="22">
        <v>6.5</v>
      </c>
      <c r="L585" s="23">
        <f t="shared" si="140"/>
        <v>69225</v>
      </c>
      <c r="M585" s="23">
        <v>0</v>
      </c>
      <c r="N585" s="23">
        <v>0</v>
      </c>
      <c r="O585" s="112">
        <f t="shared" si="141"/>
        <v>69225</v>
      </c>
      <c r="P585" s="33">
        <v>0.18</v>
      </c>
      <c r="Q585" s="119">
        <v>0</v>
      </c>
      <c r="R585" s="112">
        <f>O585*9/100</f>
        <v>6230.25</v>
      </c>
      <c r="S585" s="112">
        <f>O585*9/100</f>
        <v>6230.25</v>
      </c>
      <c r="T585" s="23">
        <v>0</v>
      </c>
      <c r="U585" s="112">
        <f>O585+R585+S585</f>
        <v>81685.5</v>
      </c>
    </row>
    <row r="586" spans="1:21" ht="17.100000000000001" customHeight="1" x14ac:dyDescent="0.25">
      <c r="A586" s="20">
        <f>IF(C586="","",COUNTA($C$4:C586))</f>
        <v>583</v>
      </c>
      <c r="B586" s="20" t="str">
        <f t="shared" si="133"/>
        <v>February</v>
      </c>
      <c r="C586" s="45">
        <v>46059</v>
      </c>
      <c r="D586" s="31" t="s">
        <v>2801</v>
      </c>
      <c r="E586" s="105" t="s">
        <v>2802</v>
      </c>
      <c r="F586" s="26" t="s">
        <v>2631</v>
      </c>
      <c r="G586" s="157" t="s">
        <v>2632</v>
      </c>
      <c r="H586" s="106" t="s">
        <v>2803</v>
      </c>
      <c r="J586" s="22">
        <v>10</v>
      </c>
      <c r="K586" s="22">
        <v>664.2</v>
      </c>
      <c r="L586" s="23">
        <f t="shared" si="140"/>
        <v>6642</v>
      </c>
      <c r="M586" s="23">
        <v>0</v>
      </c>
      <c r="N586" s="23">
        <v>0</v>
      </c>
      <c r="O586" s="112">
        <f t="shared" si="141"/>
        <v>6642</v>
      </c>
      <c r="P586" s="33">
        <v>0.18</v>
      </c>
      <c r="Q586" s="119">
        <v>0</v>
      </c>
      <c r="R586" s="112">
        <f>O586*9/100</f>
        <v>597.78</v>
      </c>
      <c r="S586" s="112">
        <f>O586*9/100</f>
        <v>597.78</v>
      </c>
      <c r="T586" s="23">
        <v>0</v>
      </c>
      <c r="U586" s="112">
        <f>O586+R586+S586</f>
        <v>7837.5599999999995</v>
      </c>
    </row>
    <row r="587" spans="1:21" ht="17.100000000000001" customHeight="1" x14ac:dyDescent="0.25">
      <c r="A587" s="20">
        <f>IF(C587="","",COUNTA($C$4:C587))</f>
        <v>584</v>
      </c>
      <c r="B587" s="20" t="str">
        <f t="shared" si="133"/>
        <v>January</v>
      </c>
      <c r="C587" s="45">
        <v>46043</v>
      </c>
      <c r="D587" s="31" t="s">
        <v>2619</v>
      </c>
      <c r="E587" s="105" t="s">
        <v>2620</v>
      </c>
      <c r="F587" s="26" t="s">
        <v>1525</v>
      </c>
      <c r="G587" s="157" t="s">
        <v>93</v>
      </c>
      <c r="H587" s="106" t="s">
        <v>2621</v>
      </c>
      <c r="J587" s="22">
        <v>1656</v>
      </c>
      <c r="K587" s="22">
        <v>96</v>
      </c>
      <c r="L587" s="23">
        <f t="shared" si="140"/>
        <v>158976</v>
      </c>
      <c r="M587" s="23">
        <v>20000</v>
      </c>
      <c r="N587" s="23">
        <v>0</v>
      </c>
      <c r="O587" s="112">
        <f t="shared" si="141"/>
        <v>178976</v>
      </c>
      <c r="P587" s="33">
        <v>0.18</v>
      </c>
      <c r="Q587" s="118">
        <f>O587*18/100</f>
        <v>32215.68</v>
      </c>
      <c r="R587" s="115">
        <v>0</v>
      </c>
      <c r="S587" s="115">
        <v>0</v>
      </c>
      <c r="T587" s="23">
        <v>0</v>
      </c>
      <c r="U587" s="112">
        <f>O587+Q587</f>
        <v>211191.67999999999</v>
      </c>
    </row>
    <row r="588" spans="1:21" ht="17.100000000000001" customHeight="1" x14ac:dyDescent="0.25">
      <c r="A588" s="20">
        <f>IF(C588="","",COUNTA($C$4:C588))</f>
        <v>585</v>
      </c>
      <c r="B588" s="20" t="str">
        <f t="shared" si="133"/>
        <v>February</v>
      </c>
      <c r="C588" s="45">
        <v>46062</v>
      </c>
      <c r="D588" s="31" t="s">
        <v>2808</v>
      </c>
      <c r="E588" s="105" t="s">
        <v>2809</v>
      </c>
      <c r="F588" s="26"/>
      <c r="G588" s="157" t="s">
        <v>248</v>
      </c>
      <c r="H588" s="106" t="s">
        <v>2810</v>
      </c>
      <c r="J588" s="22">
        <v>500</v>
      </c>
      <c r="K588" s="22">
        <v>11</v>
      </c>
      <c r="L588" s="23">
        <f t="shared" si="140"/>
        <v>5500</v>
      </c>
      <c r="M588" s="23">
        <v>0</v>
      </c>
      <c r="N588" s="23">
        <v>0</v>
      </c>
      <c r="O588" s="112">
        <f t="shared" si="141"/>
        <v>5500</v>
      </c>
      <c r="P588" s="33">
        <v>0.18</v>
      </c>
      <c r="Q588" s="119">
        <v>0</v>
      </c>
      <c r="R588" s="112">
        <f>O588*2.5/100</f>
        <v>137.5</v>
      </c>
      <c r="S588" s="112">
        <f>O588*2.5/100</f>
        <v>137.5</v>
      </c>
      <c r="T588" s="23"/>
      <c r="U588" s="112">
        <f t="shared" ref="U588:U596" si="142">O588+R588+S588</f>
        <v>5775</v>
      </c>
    </row>
    <row r="589" spans="1:21" ht="17.100000000000001" customHeight="1" x14ac:dyDescent="0.25">
      <c r="A589" s="20">
        <f>IF(C589="","",COUNTA($C$4:C589))</f>
        <v>586</v>
      </c>
      <c r="B589" s="20" t="str">
        <f t="shared" si="133"/>
        <v>April</v>
      </c>
      <c r="C589" s="29">
        <v>45763</v>
      </c>
      <c r="D589" s="31" t="s">
        <v>161</v>
      </c>
      <c r="E589" s="105" t="s">
        <v>162</v>
      </c>
      <c r="F589" s="26" t="s">
        <v>150</v>
      </c>
      <c r="G589" s="158" t="s">
        <v>151</v>
      </c>
      <c r="H589" s="106" t="s">
        <v>163</v>
      </c>
      <c r="I589" s="159" t="s">
        <v>153</v>
      </c>
      <c r="J589" s="22">
        <v>11955</v>
      </c>
      <c r="K589" s="64">
        <v>73.75</v>
      </c>
      <c r="L589" s="23">
        <f t="shared" si="140"/>
        <v>881681.25</v>
      </c>
      <c r="M589" s="23">
        <v>12520</v>
      </c>
      <c r="N589" s="23">
        <v>0</v>
      </c>
      <c r="O589" s="112">
        <f t="shared" si="141"/>
        <v>894201.25</v>
      </c>
      <c r="P589" s="33">
        <v>0.18</v>
      </c>
      <c r="Q589" s="118">
        <v>0</v>
      </c>
      <c r="R589" s="112">
        <f t="shared" ref="R589:R596" si="143">O589*9/100</f>
        <v>80478.112500000003</v>
      </c>
      <c r="S589" s="112">
        <f t="shared" ref="S589:S596" si="144">O589*9/100</f>
        <v>80478.112500000003</v>
      </c>
      <c r="T589" s="23">
        <v>0</v>
      </c>
      <c r="U589" s="112">
        <f t="shared" si="142"/>
        <v>1055157.4750000001</v>
      </c>
    </row>
    <row r="590" spans="1:21" ht="17.100000000000001" customHeight="1" x14ac:dyDescent="0.25">
      <c r="A590" s="20">
        <f>IF(C590="","",COUNTA($C$4:C590))</f>
        <v>587</v>
      </c>
      <c r="B590" s="20" t="str">
        <f t="shared" si="133"/>
        <v>April</v>
      </c>
      <c r="C590" s="29">
        <v>45763</v>
      </c>
      <c r="D590" s="31" t="s">
        <v>161</v>
      </c>
      <c r="E590" s="105" t="s">
        <v>162</v>
      </c>
      <c r="F590" s="26" t="s">
        <v>150</v>
      </c>
      <c r="G590" s="158" t="s">
        <v>151</v>
      </c>
      <c r="H590" s="106" t="s">
        <v>159</v>
      </c>
      <c r="I590" s="159" t="s">
        <v>160</v>
      </c>
      <c r="J590" s="22">
        <v>5925</v>
      </c>
      <c r="K590" s="64">
        <v>71.25</v>
      </c>
      <c r="L590" s="23">
        <f t="shared" si="140"/>
        <v>422156.25</v>
      </c>
      <c r="M590" s="23">
        <v>0</v>
      </c>
      <c r="N590" s="23">
        <v>0</v>
      </c>
      <c r="O590" s="112">
        <f t="shared" si="141"/>
        <v>422156.25</v>
      </c>
      <c r="P590" s="33">
        <v>0.18</v>
      </c>
      <c r="Q590" s="118">
        <v>0</v>
      </c>
      <c r="R590" s="112">
        <f t="shared" si="143"/>
        <v>37994.0625</v>
      </c>
      <c r="S590" s="112">
        <f t="shared" si="144"/>
        <v>37994.0625</v>
      </c>
      <c r="T590" s="23">
        <v>0</v>
      </c>
      <c r="U590" s="112">
        <f t="shared" si="142"/>
        <v>498144.375</v>
      </c>
    </row>
    <row r="591" spans="1:21" ht="17.100000000000001" customHeight="1" x14ac:dyDescent="0.25">
      <c r="A591" s="20">
        <f>IF(C591="","",COUNTA($C$4:C591))</f>
        <v>588</v>
      </c>
      <c r="B591" s="20" t="str">
        <f t="shared" si="133"/>
        <v>April</v>
      </c>
      <c r="C591" s="45">
        <v>45770</v>
      </c>
      <c r="D591" s="31" t="s">
        <v>263</v>
      </c>
      <c r="E591" s="105" t="s">
        <v>264</v>
      </c>
      <c r="F591" s="26" t="s">
        <v>150</v>
      </c>
      <c r="G591" s="157" t="s">
        <v>151</v>
      </c>
      <c r="H591" s="106" t="s">
        <v>265</v>
      </c>
      <c r="I591" s="159" t="s">
        <v>266</v>
      </c>
      <c r="J591" s="22">
        <v>15840</v>
      </c>
      <c r="K591" s="64">
        <v>72.75</v>
      </c>
      <c r="L591" s="23">
        <f t="shared" si="140"/>
        <v>1152360</v>
      </c>
      <c r="M591" s="23">
        <v>11090</v>
      </c>
      <c r="N591" s="23">
        <v>0</v>
      </c>
      <c r="O591" s="112">
        <f t="shared" si="141"/>
        <v>1163450</v>
      </c>
      <c r="P591" s="33">
        <v>0.18</v>
      </c>
      <c r="Q591" s="118">
        <v>0</v>
      </c>
      <c r="R591" s="112">
        <f t="shared" si="143"/>
        <v>104710.5</v>
      </c>
      <c r="S591" s="112">
        <f t="shared" si="144"/>
        <v>104710.5</v>
      </c>
      <c r="T591" s="23">
        <v>0</v>
      </c>
      <c r="U591" s="112">
        <f t="shared" si="142"/>
        <v>1372871</v>
      </c>
    </row>
    <row r="592" spans="1:21" ht="17.100000000000001" customHeight="1" x14ac:dyDescent="0.25">
      <c r="A592" s="20">
        <f>IF(C592="","",COUNTA($C$4:C592))</f>
        <v>589</v>
      </c>
      <c r="B592" s="20" t="str">
        <f t="shared" si="133"/>
        <v>April</v>
      </c>
      <c r="C592" s="45">
        <v>45771</v>
      </c>
      <c r="D592" s="31" t="s">
        <v>270</v>
      </c>
      <c r="E592" s="105" t="s">
        <v>271</v>
      </c>
      <c r="F592" s="26" t="s">
        <v>150</v>
      </c>
      <c r="G592" s="157" t="s">
        <v>151</v>
      </c>
      <c r="H592" s="106" t="s">
        <v>272</v>
      </c>
      <c r="I592" s="159" t="s">
        <v>266</v>
      </c>
      <c r="J592" s="22">
        <v>11670</v>
      </c>
      <c r="K592" s="64">
        <v>72.75</v>
      </c>
      <c r="L592" s="23">
        <f t="shared" si="140"/>
        <v>848992.5</v>
      </c>
      <c r="M592" s="23">
        <v>19450</v>
      </c>
      <c r="N592" s="23">
        <v>0</v>
      </c>
      <c r="O592" s="112">
        <f t="shared" si="141"/>
        <v>868442.5</v>
      </c>
      <c r="P592" s="33">
        <v>0.18</v>
      </c>
      <c r="Q592" s="118">
        <v>0</v>
      </c>
      <c r="R592" s="112">
        <f t="shared" si="143"/>
        <v>78159.824999999997</v>
      </c>
      <c r="S592" s="112">
        <f t="shared" si="144"/>
        <v>78159.824999999997</v>
      </c>
      <c r="T592" s="23">
        <v>0</v>
      </c>
      <c r="U592" s="112">
        <f t="shared" si="142"/>
        <v>1024762.1499999999</v>
      </c>
    </row>
    <row r="593" spans="1:21" ht="17.100000000000001" customHeight="1" x14ac:dyDescent="0.25">
      <c r="A593" s="20">
        <f>IF(C593="","",COUNTA($C$4:C593))</f>
        <v>590</v>
      </c>
      <c r="B593" s="20" t="str">
        <f t="shared" si="133"/>
        <v>April</v>
      </c>
      <c r="C593" s="45">
        <v>45771</v>
      </c>
      <c r="D593" s="31" t="s">
        <v>270</v>
      </c>
      <c r="E593" s="105" t="s">
        <v>271</v>
      </c>
      <c r="F593" s="26" t="s">
        <v>150</v>
      </c>
      <c r="G593" s="157" t="s">
        <v>151</v>
      </c>
      <c r="H593" s="106" t="s">
        <v>273</v>
      </c>
      <c r="I593" s="159" t="s">
        <v>274</v>
      </c>
      <c r="J593" s="22">
        <v>5120</v>
      </c>
      <c r="K593" s="64">
        <v>71.25</v>
      </c>
      <c r="L593" s="23">
        <f t="shared" si="140"/>
        <v>364800</v>
      </c>
      <c r="M593" s="23">
        <v>0</v>
      </c>
      <c r="N593" s="23">
        <v>0</v>
      </c>
      <c r="O593" s="112">
        <f t="shared" si="141"/>
        <v>364800</v>
      </c>
      <c r="P593" s="33">
        <v>0.18</v>
      </c>
      <c r="Q593" s="115">
        <v>0</v>
      </c>
      <c r="R593" s="112">
        <f t="shared" si="143"/>
        <v>32832</v>
      </c>
      <c r="S593" s="112">
        <f t="shared" si="144"/>
        <v>32832</v>
      </c>
      <c r="T593" s="23">
        <v>0</v>
      </c>
      <c r="U593" s="112">
        <f t="shared" si="142"/>
        <v>430464</v>
      </c>
    </row>
    <row r="594" spans="1:21" ht="17.100000000000001" customHeight="1" x14ac:dyDescent="0.25">
      <c r="A594" s="20">
        <f>IF(C594="","",COUNTA($C$4:C594))</f>
        <v>591</v>
      </c>
      <c r="B594" s="20" t="str">
        <f t="shared" si="133"/>
        <v>April</v>
      </c>
      <c r="C594" s="45">
        <v>45771</v>
      </c>
      <c r="D594" s="31" t="s">
        <v>270</v>
      </c>
      <c r="E594" s="105" t="s">
        <v>271</v>
      </c>
      <c r="F594" s="26" t="s">
        <v>150</v>
      </c>
      <c r="G594" s="157" t="s">
        <v>151</v>
      </c>
      <c r="H594" s="106" t="s">
        <v>275</v>
      </c>
      <c r="I594" s="159" t="s">
        <v>276</v>
      </c>
      <c r="J594" s="22">
        <v>5695</v>
      </c>
      <c r="K594" s="64">
        <v>71.25</v>
      </c>
      <c r="L594" s="23">
        <f t="shared" si="140"/>
        <v>405768.75</v>
      </c>
      <c r="M594" s="23">
        <v>0</v>
      </c>
      <c r="N594" s="23">
        <v>0</v>
      </c>
      <c r="O594" s="112">
        <f t="shared" si="141"/>
        <v>405768.75</v>
      </c>
      <c r="P594" s="33">
        <v>0.18</v>
      </c>
      <c r="Q594" s="115">
        <v>0</v>
      </c>
      <c r="R594" s="112">
        <f t="shared" si="143"/>
        <v>36519.1875</v>
      </c>
      <c r="S594" s="112">
        <f t="shared" si="144"/>
        <v>36519.1875</v>
      </c>
      <c r="T594" s="23">
        <v>0</v>
      </c>
      <c r="U594" s="112">
        <f t="shared" si="142"/>
        <v>478807.125</v>
      </c>
    </row>
    <row r="595" spans="1:21" ht="17.100000000000001" customHeight="1" x14ac:dyDescent="0.25">
      <c r="A595" s="20">
        <f>IF(C595="","",COUNTA($C$4:C595))</f>
        <v>592</v>
      </c>
      <c r="B595" s="20" t="str">
        <f t="shared" si="133"/>
        <v>April</v>
      </c>
      <c r="C595" s="45">
        <v>45771</v>
      </c>
      <c r="D595" s="101" t="s">
        <v>270</v>
      </c>
      <c r="E595" s="105" t="s">
        <v>271</v>
      </c>
      <c r="F595" s="26" t="s">
        <v>150</v>
      </c>
      <c r="G595" s="157" t="s">
        <v>151</v>
      </c>
      <c r="H595" s="106" t="s">
        <v>277</v>
      </c>
      <c r="I595" s="159" t="s">
        <v>278</v>
      </c>
      <c r="J595" s="22">
        <v>5295</v>
      </c>
      <c r="K595" s="64">
        <v>72.25</v>
      </c>
      <c r="L595" s="23">
        <f t="shared" si="140"/>
        <v>382563.75</v>
      </c>
      <c r="M595" s="23">
        <v>0</v>
      </c>
      <c r="N595" s="23">
        <v>0</v>
      </c>
      <c r="O595" s="112">
        <f t="shared" si="141"/>
        <v>382563.75</v>
      </c>
      <c r="P595" s="33">
        <v>0.18</v>
      </c>
      <c r="Q595" s="115">
        <v>0</v>
      </c>
      <c r="R595" s="112">
        <f t="shared" si="143"/>
        <v>34430.737500000003</v>
      </c>
      <c r="S595" s="112">
        <f t="shared" si="144"/>
        <v>34430.737500000003</v>
      </c>
      <c r="T595" s="23">
        <v>0</v>
      </c>
      <c r="U595" s="112">
        <f t="shared" si="142"/>
        <v>451425.22499999998</v>
      </c>
    </row>
    <row r="596" spans="1:21" ht="17.100000000000001" customHeight="1" x14ac:dyDescent="0.25">
      <c r="A596" s="20">
        <f>IF(C596="","",COUNTA($C$4:C596))</f>
        <v>593</v>
      </c>
      <c r="B596" s="20" t="str">
        <f t="shared" si="133"/>
        <v>May</v>
      </c>
      <c r="C596" s="45">
        <v>45783</v>
      </c>
      <c r="D596" s="31" t="s">
        <v>407</v>
      </c>
      <c r="E596" s="105" t="s">
        <v>408</v>
      </c>
      <c r="F596" s="26" t="s">
        <v>409</v>
      </c>
      <c r="G596" s="157" t="s">
        <v>151</v>
      </c>
      <c r="H596" s="106" t="s">
        <v>410</v>
      </c>
      <c r="I596" s="159" t="s">
        <v>154</v>
      </c>
      <c r="J596" s="22">
        <v>10260</v>
      </c>
      <c r="K596" s="64">
        <v>72.25</v>
      </c>
      <c r="L596" s="23">
        <f t="shared" si="140"/>
        <v>741285</v>
      </c>
      <c r="M596" s="23">
        <v>7840</v>
      </c>
      <c r="N596" s="23">
        <v>0</v>
      </c>
      <c r="O596" s="112">
        <f t="shared" si="141"/>
        <v>749125</v>
      </c>
      <c r="P596" s="33">
        <v>0.18</v>
      </c>
      <c r="Q596" s="118">
        <v>0</v>
      </c>
      <c r="R596" s="112">
        <f t="shared" si="143"/>
        <v>67421.25</v>
      </c>
      <c r="S596" s="112">
        <f t="shared" si="144"/>
        <v>67421.25</v>
      </c>
      <c r="T596" s="23">
        <v>0</v>
      </c>
      <c r="U596" s="112">
        <f t="shared" si="142"/>
        <v>883967.5</v>
      </c>
    </row>
    <row r="597" spans="1:21" ht="17.100000000000001" customHeight="1" x14ac:dyDescent="0.25">
      <c r="A597" s="20">
        <f>IF(C597="","",COUNTA($C$4:C597))</f>
        <v>594</v>
      </c>
      <c r="B597" s="20" t="str">
        <f t="shared" si="133"/>
        <v>February</v>
      </c>
      <c r="C597" s="45">
        <v>46069</v>
      </c>
      <c r="D597" s="31" t="s">
        <v>2827</v>
      </c>
      <c r="E597" s="105" t="s">
        <v>2828</v>
      </c>
      <c r="F597" s="26" t="s">
        <v>2829</v>
      </c>
      <c r="G597" s="157" t="s">
        <v>93</v>
      </c>
      <c r="H597" s="106" t="s">
        <v>2830</v>
      </c>
      <c r="J597" s="22">
        <v>2100</v>
      </c>
      <c r="K597" s="22">
        <v>207</v>
      </c>
      <c r="L597" s="23">
        <f t="shared" si="140"/>
        <v>434700</v>
      </c>
      <c r="M597" s="23">
        <v>0</v>
      </c>
      <c r="N597" s="23">
        <v>0</v>
      </c>
      <c r="O597" s="112">
        <f t="shared" si="141"/>
        <v>434700</v>
      </c>
      <c r="P597" s="33">
        <v>0.18</v>
      </c>
      <c r="Q597" s="118">
        <f>O597*18/100</f>
        <v>78246</v>
      </c>
      <c r="R597" s="115">
        <v>0</v>
      </c>
      <c r="S597" s="115">
        <v>0</v>
      </c>
      <c r="T597" s="23">
        <v>0</v>
      </c>
      <c r="U597" s="112">
        <f>O597+Q597</f>
        <v>512946</v>
      </c>
    </row>
    <row r="598" spans="1:21" ht="17.100000000000001" customHeight="1" x14ac:dyDescent="0.25">
      <c r="A598" s="20">
        <f>IF(C598="","",COUNTA($C$4:C598))</f>
        <v>595</v>
      </c>
      <c r="B598" s="20" t="str">
        <f t="shared" si="133"/>
        <v>February</v>
      </c>
      <c r="C598" s="45">
        <v>46069</v>
      </c>
      <c r="D598" s="31" t="s">
        <v>2827</v>
      </c>
      <c r="E598" s="105" t="s">
        <v>2828</v>
      </c>
      <c r="F598" s="26" t="s">
        <v>2829</v>
      </c>
      <c r="G598" s="157" t="s">
        <v>93</v>
      </c>
      <c r="H598" s="106" t="s">
        <v>2831</v>
      </c>
      <c r="J598" s="22">
        <v>957.6</v>
      </c>
      <c r="K598" s="22">
        <v>304</v>
      </c>
      <c r="L598" s="23">
        <f t="shared" si="140"/>
        <v>291110.40000000002</v>
      </c>
      <c r="M598" s="23">
        <v>0</v>
      </c>
      <c r="N598" s="23">
        <v>0</v>
      </c>
      <c r="O598" s="112">
        <f t="shared" si="141"/>
        <v>291110.40000000002</v>
      </c>
      <c r="P598" s="33">
        <v>0.18</v>
      </c>
      <c r="Q598" s="118">
        <f>O598*18/100</f>
        <v>52399.872000000003</v>
      </c>
      <c r="R598" s="115">
        <v>0</v>
      </c>
      <c r="S598" s="115">
        <v>0</v>
      </c>
      <c r="T598" s="23">
        <v>0</v>
      </c>
      <c r="U598" s="112">
        <f>O598+Q598</f>
        <v>343510.272</v>
      </c>
    </row>
    <row r="599" spans="1:21" ht="17.100000000000001" customHeight="1" x14ac:dyDescent="0.25">
      <c r="A599" s="20">
        <f>IF(C599="","",COUNTA($C$4:C599))</f>
        <v>596</v>
      </c>
      <c r="B599" s="20" t="str">
        <f t="shared" si="133"/>
        <v>February</v>
      </c>
      <c r="C599" s="45">
        <v>46069</v>
      </c>
      <c r="D599" s="31" t="s">
        <v>2827</v>
      </c>
      <c r="E599" s="105" t="s">
        <v>2828</v>
      </c>
      <c r="F599" s="26" t="s">
        <v>2829</v>
      </c>
      <c r="G599" s="157" t="s">
        <v>93</v>
      </c>
      <c r="H599" s="106" t="s">
        <v>2832</v>
      </c>
      <c r="J599" s="22">
        <v>420</v>
      </c>
      <c r="K599" s="22">
        <v>375</v>
      </c>
      <c r="L599" s="23">
        <f t="shared" si="140"/>
        <v>157500</v>
      </c>
      <c r="M599" s="23">
        <v>0</v>
      </c>
      <c r="N599" s="23">
        <v>0</v>
      </c>
      <c r="O599" s="112">
        <f t="shared" si="141"/>
        <v>157500</v>
      </c>
      <c r="P599" s="33">
        <v>0.18</v>
      </c>
      <c r="Q599" s="118">
        <f>O599*18/100</f>
        <v>28350</v>
      </c>
      <c r="R599" s="115">
        <v>0</v>
      </c>
      <c r="S599" s="115">
        <v>0</v>
      </c>
      <c r="T599" s="23">
        <v>0</v>
      </c>
      <c r="U599" s="112">
        <f>O599+Q599</f>
        <v>185850</v>
      </c>
    </row>
    <row r="600" spans="1:21" ht="17.100000000000001" customHeight="1" x14ac:dyDescent="0.25">
      <c r="A600" s="20">
        <f>IF(C600="","",COUNTA($C$4:C600))</f>
        <v>597</v>
      </c>
      <c r="B600" s="20" t="str">
        <f t="shared" si="133"/>
        <v>February</v>
      </c>
      <c r="C600" s="45">
        <v>46069</v>
      </c>
      <c r="D600" s="31" t="s">
        <v>2833</v>
      </c>
      <c r="E600" s="105" t="s">
        <v>2834</v>
      </c>
      <c r="F600" s="26" t="s">
        <v>2835</v>
      </c>
      <c r="G600" s="157" t="s">
        <v>206</v>
      </c>
      <c r="H600" s="106" t="s">
        <v>2836</v>
      </c>
      <c r="L600" s="23">
        <v>197936.26</v>
      </c>
      <c r="M600" s="23">
        <v>0</v>
      </c>
      <c r="N600" s="23">
        <v>0</v>
      </c>
      <c r="O600" s="112">
        <f t="shared" si="141"/>
        <v>197936.26</v>
      </c>
      <c r="P600" s="33">
        <v>0.18</v>
      </c>
      <c r="Q600" s="119">
        <v>0</v>
      </c>
      <c r="R600" s="112">
        <f>O600*9/100</f>
        <v>17814.2634</v>
      </c>
      <c r="S600" s="112">
        <f>O600*9/100</f>
        <v>17814.2634</v>
      </c>
      <c r="T600" s="23">
        <v>0</v>
      </c>
      <c r="U600" s="112">
        <f>O600+R600+S600</f>
        <v>233564.7868</v>
      </c>
    </row>
    <row r="601" spans="1:21" ht="17.100000000000001" customHeight="1" x14ac:dyDescent="0.25">
      <c r="A601" s="20">
        <f>IF(C601="","",COUNTA($C$4:C601))</f>
        <v>598</v>
      </c>
      <c r="B601" s="20" t="str">
        <f t="shared" si="133"/>
        <v>February</v>
      </c>
      <c r="C601" s="45">
        <v>46074</v>
      </c>
      <c r="D601" s="31" t="s">
        <v>2850</v>
      </c>
      <c r="E601" s="105" t="s">
        <v>2851</v>
      </c>
      <c r="F601" s="26" t="s">
        <v>2852</v>
      </c>
      <c r="G601" s="157" t="s">
        <v>810</v>
      </c>
      <c r="H601" s="106" t="s">
        <v>811</v>
      </c>
      <c r="J601" s="22">
        <v>100</v>
      </c>
      <c r="K601" s="22">
        <v>180</v>
      </c>
      <c r="L601" s="23">
        <f t="shared" ref="L601:L623" si="145">J601*K601</f>
        <v>18000</v>
      </c>
      <c r="M601" s="23">
        <v>0</v>
      </c>
      <c r="N601" s="23">
        <v>0</v>
      </c>
      <c r="O601" s="112">
        <f t="shared" si="141"/>
        <v>18000</v>
      </c>
      <c r="P601" s="33">
        <v>0.18</v>
      </c>
      <c r="Q601" s="118">
        <f>O601*18/100</f>
        <v>3240</v>
      </c>
      <c r="R601" s="115">
        <v>0</v>
      </c>
      <c r="S601" s="115">
        <v>0</v>
      </c>
      <c r="T601" s="23">
        <v>0</v>
      </c>
      <c r="U601" s="112">
        <f>O601+Q601</f>
        <v>21240</v>
      </c>
    </row>
    <row r="602" spans="1:21" ht="17.100000000000001" customHeight="1" x14ac:dyDescent="0.25">
      <c r="A602" s="20">
        <f>IF(C602="","",COUNTA($C$4:C602))</f>
        <v>599</v>
      </c>
      <c r="B602" s="20" t="str">
        <f t="shared" si="133"/>
        <v>February</v>
      </c>
      <c r="C602" s="45">
        <v>46076</v>
      </c>
      <c r="D602" s="31" t="s">
        <v>2853</v>
      </c>
      <c r="E602" s="105" t="s">
        <v>2854</v>
      </c>
      <c r="F602" s="26" t="s">
        <v>2829</v>
      </c>
      <c r="G602" s="157" t="s">
        <v>93</v>
      </c>
      <c r="H602" s="106" t="s">
        <v>2855</v>
      </c>
      <c r="J602" s="22">
        <v>453.6</v>
      </c>
      <c r="K602" s="22">
        <v>207</v>
      </c>
      <c r="L602" s="23">
        <f t="shared" si="145"/>
        <v>93895.200000000012</v>
      </c>
      <c r="M602" s="23">
        <v>28000</v>
      </c>
      <c r="N602" s="23">
        <v>0</v>
      </c>
      <c r="O602" s="112">
        <f t="shared" si="141"/>
        <v>121895.20000000001</v>
      </c>
      <c r="P602" s="33">
        <v>0.18</v>
      </c>
      <c r="Q602" s="119">
        <f>O602*18/100</f>
        <v>21941.136000000002</v>
      </c>
      <c r="R602" s="115">
        <v>0</v>
      </c>
      <c r="S602" s="115">
        <v>0</v>
      </c>
      <c r="T602" s="23">
        <v>0</v>
      </c>
      <c r="U602" s="112">
        <f>O602+Q602</f>
        <v>143836.33600000001</v>
      </c>
    </row>
    <row r="603" spans="1:21" ht="17.100000000000001" customHeight="1" x14ac:dyDescent="0.25">
      <c r="A603" s="20">
        <f>IF(C603="","",COUNTA($C$4:C603))</f>
        <v>600</v>
      </c>
      <c r="B603" s="20" t="str">
        <f t="shared" si="133"/>
        <v>February</v>
      </c>
      <c r="C603" s="45">
        <v>46076</v>
      </c>
      <c r="D603" s="31" t="s">
        <v>2853</v>
      </c>
      <c r="E603" s="105" t="s">
        <v>2854</v>
      </c>
      <c r="F603" s="26" t="s">
        <v>2829</v>
      </c>
      <c r="G603" s="157" t="s">
        <v>93</v>
      </c>
      <c r="H603" s="106" t="s">
        <v>2856</v>
      </c>
      <c r="J603" s="22">
        <v>1024.8</v>
      </c>
      <c r="K603" s="22">
        <v>304</v>
      </c>
      <c r="L603" s="23">
        <f t="shared" si="145"/>
        <v>311539.20000000001</v>
      </c>
      <c r="M603" s="23">
        <v>0</v>
      </c>
      <c r="N603" s="23">
        <v>0</v>
      </c>
      <c r="O603" s="112">
        <f t="shared" si="141"/>
        <v>311539.20000000001</v>
      </c>
      <c r="P603" s="33">
        <v>0.18</v>
      </c>
      <c r="Q603" s="119">
        <f>O603*18/100</f>
        <v>56077.056000000004</v>
      </c>
      <c r="R603" s="115">
        <v>0</v>
      </c>
      <c r="S603" s="115">
        <v>0</v>
      </c>
      <c r="T603" s="23">
        <v>0</v>
      </c>
      <c r="U603" s="112">
        <f>O603+Q603</f>
        <v>367616.25599999999</v>
      </c>
    </row>
    <row r="604" spans="1:21" ht="17.100000000000001" customHeight="1" x14ac:dyDescent="0.25">
      <c r="A604" s="20">
        <f>IF(C604="","",COUNTA($C$4:C604))</f>
        <v>601</v>
      </c>
      <c r="B604" s="20" t="str">
        <f t="shared" si="133"/>
        <v>February</v>
      </c>
      <c r="C604" s="45">
        <v>46076</v>
      </c>
      <c r="D604" s="31" t="s">
        <v>2853</v>
      </c>
      <c r="E604" s="105" t="s">
        <v>2854</v>
      </c>
      <c r="F604" s="26" t="s">
        <v>2829</v>
      </c>
      <c r="G604" s="157" t="s">
        <v>93</v>
      </c>
      <c r="H604" s="106" t="s">
        <v>2857</v>
      </c>
      <c r="J604" s="22">
        <v>1296</v>
      </c>
      <c r="K604" s="22">
        <v>375</v>
      </c>
      <c r="L604" s="23">
        <f t="shared" si="145"/>
        <v>486000</v>
      </c>
      <c r="M604" s="23">
        <v>0</v>
      </c>
      <c r="N604" s="23">
        <v>0</v>
      </c>
      <c r="O604" s="112">
        <f t="shared" si="141"/>
        <v>486000</v>
      </c>
      <c r="P604" s="33">
        <v>0.18</v>
      </c>
      <c r="Q604" s="119">
        <f>O604*18/100</f>
        <v>87480</v>
      </c>
      <c r="R604" s="115">
        <v>0</v>
      </c>
      <c r="S604" s="115">
        <v>0</v>
      </c>
      <c r="T604" s="23">
        <v>0</v>
      </c>
      <c r="U604" s="112">
        <f>O604+Q604</f>
        <v>573480</v>
      </c>
    </row>
    <row r="605" spans="1:21" ht="17.100000000000001" customHeight="1" x14ac:dyDescent="0.25">
      <c r="A605" s="20">
        <f>IF(C605="","",COUNTA($C$4:C605))</f>
        <v>602</v>
      </c>
      <c r="B605" s="20" t="str">
        <f t="shared" si="133"/>
        <v>May</v>
      </c>
      <c r="C605" s="45">
        <v>45783</v>
      </c>
      <c r="D605" s="31" t="s">
        <v>407</v>
      </c>
      <c r="E605" s="105" t="s">
        <v>408</v>
      </c>
      <c r="F605" s="26" t="s">
        <v>409</v>
      </c>
      <c r="G605" s="157" t="s">
        <v>151</v>
      </c>
      <c r="H605" s="106" t="s">
        <v>411</v>
      </c>
      <c r="I605" s="159" t="s">
        <v>154</v>
      </c>
      <c r="J605" s="64">
        <v>940</v>
      </c>
      <c r="K605" s="64">
        <v>72.25</v>
      </c>
      <c r="L605" s="23">
        <f t="shared" si="145"/>
        <v>67915</v>
      </c>
      <c r="M605" s="23">
        <v>0</v>
      </c>
      <c r="N605" s="23">
        <v>0</v>
      </c>
      <c r="O605" s="112">
        <f t="shared" si="141"/>
        <v>67915</v>
      </c>
      <c r="P605" s="33">
        <v>0.18</v>
      </c>
      <c r="Q605" s="118">
        <v>0</v>
      </c>
      <c r="R605" s="112">
        <f>O605*9/100</f>
        <v>6112.35</v>
      </c>
      <c r="S605" s="112">
        <f>O605*9/100</f>
        <v>6112.35</v>
      </c>
      <c r="T605" s="23">
        <v>0</v>
      </c>
      <c r="U605" s="112">
        <f>O605+R605+S605</f>
        <v>80139.700000000012</v>
      </c>
    </row>
    <row r="606" spans="1:21" ht="17.100000000000001" customHeight="1" x14ac:dyDescent="0.25">
      <c r="A606" s="20">
        <f>IF(C606="","",COUNTA($C$4:C606))</f>
        <v>603</v>
      </c>
      <c r="B606" s="20" t="str">
        <f t="shared" si="133"/>
        <v>February</v>
      </c>
      <c r="C606" s="45">
        <v>46076</v>
      </c>
      <c r="D606" s="31" t="s">
        <v>2862</v>
      </c>
      <c r="E606" s="105" t="s">
        <v>2863</v>
      </c>
      <c r="F606" s="26" t="s">
        <v>2829</v>
      </c>
      <c r="G606" s="157" t="s">
        <v>93</v>
      </c>
      <c r="H606" s="106" t="s">
        <v>2855</v>
      </c>
      <c r="I606" s="161"/>
      <c r="J606" s="22">
        <v>453.6</v>
      </c>
      <c r="K606" s="22">
        <v>207</v>
      </c>
      <c r="L606" s="23">
        <f t="shared" si="145"/>
        <v>93895.200000000012</v>
      </c>
      <c r="M606" s="23">
        <v>28000</v>
      </c>
      <c r="N606" s="23">
        <v>0</v>
      </c>
      <c r="O606" s="112">
        <f t="shared" si="141"/>
        <v>121895.20000000001</v>
      </c>
      <c r="P606" s="33">
        <v>0.18</v>
      </c>
      <c r="Q606" s="119">
        <f>O606*18/100</f>
        <v>21941.136000000002</v>
      </c>
      <c r="R606" s="115">
        <v>0</v>
      </c>
      <c r="S606" s="115">
        <v>0</v>
      </c>
      <c r="T606" s="23">
        <v>0</v>
      </c>
      <c r="U606" s="112">
        <f>O606+Q606</f>
        <v>143836.33600000001</v>
      </c>
    </row>
    <row r="607" spans="1:21" ht="17.100000000000001" customHeight="1" x14ac:dyDescent="0.25">
      <c r="A607" s="20">
        <f>IF(C607="","",COUNTA($C$4:C607))</f>
        <v>604</v>
      </c>
      <c r="B607" s="20" t="str">
        <f t="shared" si="133"/>
        <v>February</v>
      </c>
      <c r="C607" s="45">
        <v>46076</v>
      </c>
      <c r="D607" s="31" t="s">
        <v>2862</v>
      </c>
      <c r="E607" s="105" t="s">
        <v>2863</v>
      </c>
      <c r="F607" s="26" t="s">
        <v>2829</v>
      </c>
      <c r="G607" s="157" t="s">
        <v>93</v>
      </c>
      <c r="H607" s="106" t="s">
        <v>2864</v>
      </c>
      <c r="J607" s="22">
        <v>924</v>
      </c>
      <c r="K607" s="22">
        <v>304</v>
      </c>
      <c r="L607" s="23">
        <f t="shared" si="145"/>
        <v>280896</v>
      </c>
      <c r="M607" s="23">
        <v>0</v>
      </c>
      <c r="N607" s="23">
        <v>0</v>
      </c>
      <c r="O607" s="112">
        <f t="shared" si="141"/>
        <v>280896</v>
      </c>
      <c r="P607" s="33">
        <v>0.18</v>
      </c>
      <c r="Q607" s="119">
        <f>O607*18/100</f>
        <v>50561.279999999999</v>
      </c>
      <c r="R607" s="115">
        <v>0</v>
      </c>
      <c r="S607" s="115">
        <v>0</v>
      </c>
      <c r="T607" s="23">
        <v>0</v>
      </c>
      <c r="U607" s="112">
        <f>O607+Q607</f>
        <v>331457.28000000003</v>
      </c>
    </row>
    <row r="608" spans="1:21" ht="17.100000000000001" customHeight="1" x14ac:dyDescent="0.25">
      <c r="A608" s="20">
        <f>IF(C608="","",COUNTA($C$4:C608))</f>
        <v>605</v>
      </c>
      <c r="B608" s="20" t="str">
        <f t="shared" si="133"/>
        <v>February</v>
      </c>
      <c r="C608" s="45">
        <v>46076</v>
      </c>
      <c r="D608" s="31" t="s">
        <v>2862</v>
      </c>
      <c r="E608" s="105" t="s">
        <v>2863</v>
      </c>
      <c r="F608" s="26" t="s">
        <v>2829</v>
      </c>
      <c r="G608" s="157" t="s">
        <v>93</v>
      </c>
      <c r="H608" s="106" t="s">
        <v>2865</v>
      </c>
      <c r="J608" s="22">
        <v>780</v>
      </c>
      <c r="K608" s="22">
        <v>375</v>
      </c>
      <c r="L608" s="23">
        <f t="shared" si="145"/>
        <v>292500</v>
      </c>
      <c r="M608" s="23">
        <v>0</v>
      </c>
      <c r="N608" s="23">
        <v>0</v>
      </c>
      <c r="O608" s="112">
        <f t="shared" si="141"/>
        <v>292500</v>
      </c>
      <c r="P608" s="33">
        <v>0.18</v>
      </c>
      <c r="Q608" s="119">
        <f>O608*18/100</f>
        <v>52650</v>
      </c>
      <c r="R608" s="115">
        <v>0</v>
      </c>
      <c r="S608" s="115">
        <v>0</v>
      </c>
      <c r="T608" s="23">
        <v>0</v>
      </c>
      <c r="U608" s="112">
        <f>O608+Q608</f>
        <v>345150</v>
      </c>
    </row>
    <row r="609" spans="1:21" ht="17.100000000000001" customHeight="1" x14ac:dyDescent="0.25">
      <c r="A609" s="20">
        <f>IF(C609="","",COUNTA($C$4:C609))</f>
        <v>606</v>
      </c>
      <c r="B609" s="20" t="str">
        <f t="shared" si="133"/>
        <v>February</v>
      </c>
      <c r="C609" s="45">
        <v>46078</v>
      </c>
      <c r="D609" s="31" t="s">
        <v>2866</v>
      </c>
      <c r="E609" s="105" t="s">
        <v>2867</v>
      </c>
      <c r="F609" s="26" t="s">
        <v>2868</v>
      </c>
      <c r="G609" s="157" t="s">
        <v>746</v>
      </c>
      <c r="H609" s="106" t="s">
        <v>1214</v>
      </c>
      <c r="J609" s="22">
        <v>4032</v>
      </c>
      <c r="K609" s="22">
        <v>187</v>
      </c>
      <c r="L609" s="23">
        <f t="shared" si="145"/>
        <v>753984</v>
      </c>
      <c r="M609" s="23">
        <v>57000</v>
      </c>
      <c r="N609" s="23">
        <v>0</v>
      </c>
      <c r="O609" s="112">
        <f t="shared" si="141"/>
        <v>810984</v>
      </c>
      <c r="P609" s="33">
        <v>0.18</v>
      </c>
      <c r="Q609" s="119">
        <f>O609*18/100</f>
        <v>145977.12</v>
      </c>
      <c r="R609" s="115">
        <v>0</v>
      </c>
      <c r="S609" s="115">
        <v>0</v>
      </c>
      <c r="T609" s="23">
        <v>0</v>
      </c>
      <c r="U609" s="112">
        <f>O609+Q609</f>
        <v>956961.12</v>
      </c>
    </row>
    <row r="610" spans="1:21" ht="17.100000000000001" customHeight="1" x14ac:dyDescent="0.25">
      <c r="A610" s="20">
        <f>IF(C610="","",COUNTA($C$4:C610))</f>
        <v>607</v>
      </c>
      <c r="B610" s="20" t="str">
        <f t="shared" si="133"/>
        <v>March</v>
      </c>
      <c r="C610" s="45">
        <v>46097</v>
      </c>
      <c r="D610" s="31" t="s">
        <v>2950</v>
      </c>
      <c r="E610" s="105" t="s">
        <v>2951</v>
      </c>
      <c r="F610" s="26" t="s">
        <v>2829</v>
      </c>
      <c r="G610" s="157" t="s">
        <v>93</v>
      </c>
      <c r="H610" s="106" t="s">
        <v>2953</v>
      </c>
      <c r="J610" s="22">
        <v>504</v>
      </c>
      <c r="K610" s="22">
        <v>375</v>
      </c>
      <c r="L610" s="23">
        <f t="shared" si="145"/>
        <v>189000</v>
      </c>
      <c r="M610" s="23">
        <v>0</v>
      </c>
      <c r="N610" s="23">
        <v>0</v>
      </c>
      <c r="O610" s="112">
        <f t="shared" si="141"/>
        <v>189000</v>
      </c>
      <c r="P610" s="33">
        <v>0.18</v>
      </c>
      <c r="Q610" s="119">
        <f>O610*18/100</f>
        <v>34020</v>
      </c>
      <c r="R610" s="115">
        <v>0</v>
      </c>
      <c r="S610" s="115">
        <v>0</v>
      </c>
      <c r="T610" s="23">
        <v>0</v>
      </c>
      <c r="U610" s="112">
        <f>O610+Q610</f>
        <v>223020</v>
      </c>
    </row>
    <row r="611" spans="1:21" ht="17.100000000000001" customHeight="1" x14ac:dyDescent="0.25">
      <c r="A611" s="20">
        <f>IF(C611="","",COUNTA($C$4:C611))</f>
        <v>608</v>
      </c>
      <c r="B611" s="20" t="str">
        <f t="shared" ref="B611:B658" si="146">IF(C611="","",TEXT(C611,"mmmm"))</f>
        <v>August</v>
      </c>
      <c r="C611" s="45">
        <v>45871</v>
      </c>
      <c r="D611" s="31" t="s">
        <v>1190</v>
      </c>
      <c r="E611" s="105" t="s">
        <v>1191</v>
      </c>
      <c r="F611" s="26" t="s">
        <v>1192</v>
      </c>
      <c r="G611" s="157" t="s">
        <v>151</v>
      </c>
      <c r="H611" s="106" t="s">
        <v>1193</v>
      </c>
      <c r="I611" s="159" t="s">
        <v>153</v>
      </c>
      <c r="J611" s="22">
        <v>10944</v>
      </c>
      <c r="K611" s="22">
        <v>70.5</v>
      </c>
      <c r="L611" s="23">
        <f t="shared" si="145"/>
        <v>771552</v>
      </c>
      <c r="M611" s="23">
        <v>7660</v>
      </c>
      <c r="N611" s="23">
        <v>0</v>
      </c>
      <c r="O611" s="112">
        <f t="shared" si="141"/>
        <v>779212</v>
      </c>
      <c r="P611" s="33">
        <v>0.18</v>
      </c>
      <c r="Q611" s="118">
        <v>0</v>
      </c>
      <c r="R611" s="112">
        <f t="shared" ref="R611:R624" si="147">O611*9/100</f>
        <v>70129.08</v>
      </c>
      <c r="S611" s="112">
        <f t="shared" ref="S611:S624" si="148">O611*9/100</f>
        <v>70129.08</v>
      </c>
      <c r="T611" s="23">
        <v>0</v>
      </c>
      <c r="U611" s="112">
        <f t="shared" ref="U611:U624" si="149">O611+R611+S611</f>
        <v>919470.15999999992</v>
      </c>
    </row>
    <row r="612" spans="1:21" ht="17.100000000000001" customHeight="1" x14ac:dyDescent="0.25">
      <c r="A612" s="20">
        <f>IF(C612="","",COUNTA($C$4:C612))</f>
        <v>609</v>
      </c>
      <c r="B612" s="20" t="str">
        <f t="shared" si="146"/>
        <v>August</v>
      </c>
      <c r="C612" s="45">
        <v>45877</v>
      </c>
      <c r="D612" s="31" t="s">
        <v>1215</v>
      </c>
      <c r="E612" s="105" t="s">
        <v>1216</v>
      </c>
      <c r="F612" s="26" t="s">
        <v>1192</v>
      </c>
      <c r="G612" s="157" t="s">
        <v>151</v>
      </c>
      <c r="H612" s="106" t="s">
        <v>1193</v>
      </c>
      <c r="I612" s="159" t="s">
        <v>153</v>
      </c>
      <c r="J612" s="22">
        <v>11998</v>
      </c>
      <c r="K612" s="22">
        <v>70.5</v>
      </c>
      <c r="L612" s="23">
        <f t="shared" si="145"/>
        <v>845859</v>
      </c>
      <c r="M612" s="23">
        <v>8400</v>
      </c>
      <c r="N612" s="23">
        <v>0</v>
      </c>
      <c r="O612" s="112">
        <f t="shared" si="141"/>
        <v>854259</v>
      </c>
      <c r="P612" s="33">
        <v>0.18</v>
      </c>
      <c r="Q612" s="115">
        <v>0</v>
      </c>
      <c r="R612" s="112">
        <f t="shared" si="147"/>
        <v>76883.31</v>
      </c>
      <c r="S612" s="112">
        <f t="shared" si="148"/>
        <v>76883.31</v>
      </c>
      <c r="T612" s="23">
        <v>0</v>
      </c>
      <c r="U612" s="112">
        <f t="shared" si="149"/>
        <v>1008025.6200000001</v>
      </c>
    </row>
    <row r="613" spans="1:21" ht="17.100000000000001" customHeight="1" x14ac:dyDescent="0.25">
      <c r="A613" s="20">
        <f>IF(C613="","",COUNTA($C$4:C613))</f>
        <v>610</v>
      </c>
      <c r="B613" s="20" t="str">
        <f t="shared" si="146"/>
        <v>August</v>
      </c>
      <c r="C613" s="45">
        <v>45891</v>
      </c>
      <c r="D613" s="31" t="s">
        <v>1361</v>
      </c>
      <c r="E613" s="105" t="s">
        <v>1362</v>
      </c>
      <c r="F613" s="26" t="s">
        <v>1363</v>
      </c>
      <c r="G613" s="157" t="s">
        <v>151</v>
      </c>
      <c r="H613" s="106" t="s">
        <v>1364</v>
      </c>
      <c r="I613" s="159" t="s">
        <v>153</v>
      </c>
      <c r="J613" s="22">
        <v>21760</v>
      </c>
      <c r="K613" s="22">
        <v>72.5</v>
      </c>
      <c r="L613" s="23">
        <f t="shared" si="145"/>
        <v>1577600</v>
      </c>
      <c r="M613" s="23">
        <v>23550</v>
      </c>
      <c r="N613" s="23">
        <v>0</v>
      </c>
      <c r="O613" s="112">
        <f t="shared" si="141"/>
        <v>1601150</v>
      </c>
      <c r="P613" s="33">
        <v>0.18</v>
      </c>
      <c r="Q613" s="118">
        <v>0</v>
      </c>
      <c r="R613" s="112">
        <f t="shared" si="147"/>
        <v>144103.5</v>
      </c>
      <c r="S613" s="112">
        <f t="shared" si="148"/>
        <v>144103.5</v>
      </c>
      <c r="T613" s="23">
        <v>0</v>
      </c>
      <c r="U613" s="112">
        <f t="shared" si="149"/>
        <v>1889357</v>
      </c>
    </row>
    <row r="614" spans="1:21" ht="17.100000000000001" customHeight="1" x14ac:dyDescent="0.25">
      <c r="A614" s="20">
        <f>IF(C614="","",COUNTA($C$4:C614))</f>
        <v>611</v>
      </c>
      <c r="B614" s="20" t="str">
        <f t="shared" si="146"/>
        <v>August</v>
      </c>
      <c r="C614" s="45">
        <v>45891</v>
      </c>
      <c r="D614" s="31" t="s">
        <v>1361</v>
      </c>
      <c r="E614" s="105" t="s">
        <v>1362</v>
      </c>
      <c r="F614" s="26" t="s">
        <v>1363</v>
      </c>
      <c r="G614" s="157" t="s">
        <v>151</v>
      </c>
      <c r="H614" s="106" t="s">
        <v>1365</v>
      </c>
      <c r="I614" s="159" t="s">
        <v>154</v>
      </c>
      <c r="J614" s="22">
        <v>11896</v>
      </c>
      <c r="K614" s="22">
        <v>70.75</v>
      </c>
      <c r="L614" s="23">
        <f t="shared" si="145"/>
        <v>841642</v>
      </c>
      <c r="M614" s="23">
        <v>0</v>
      </c>
      <c r="N614" s="23">
        <v>0</v>
      </c>
      <c r="O614" s="112">
        <f t="shared" si="141"/>
        <v>841642</v>
      </c>
      <c r="P614" s="33">
        <v>0.18</v>
      </c>
      <c r="Q614" s="118">
        <v>0</v>
      </c>
      <c r="R614" s="112">
        <f t="shared" si="147"/>
        <v>75747.78</v>
      </c>
      <c r="S614" s="112">
        <f t="shared" si="148"/>
        <v>75747.78</v>
      </c>
      <c r="T614" s="23">
        <v>0</v>
      </c>
      <c r="U614" s="112">
        <f t="shared" si="149"/>
        <v>993137.56</v>
      </c>
    </row>
    <row r="615" spans="1:21" ht="17.100000000000001" customHeight="1" x14ac:dyDescent="0.25">
      <c r="A615" s="20">
        <f>IF(C615="","",COUNTA($C$4:C615))</f>
        <v>612</v>
      </c>
      <c r="B615" s="20" t="str">
        <f t="shared" si="146"/>
        <v>August</v>
      </c>
      <c r="C615" s="45">
        <v>45898</v>
      </c>
      <c r="D615" s="31" t="s">
        <v>1375</v>
      </c>
      <c r="E615" s="105" t="s">
        <v>1376</v>
      </c>
      <c r="F615" s="26" t="s">
        <v>1377</v>
      </c>
      <c r="G615" s="157" t="s">
        <v>151</v>
      </c>
      <c r="H615" s="106" t="s">
        <v>1378</v>
      </c>
      <c r="I615" s="159" t="s">
        <v>153</v>
      </c>
      <c r="J615" s="22">
        <v>10630</v>
      </c>
      <c r="K615" s="22">
        <v>72.5</v>
      </c>
      <c r="L615" s="23">
        <f t="shared" si="145"/>
        <v>770675</v>
      </c>
      <c r="M615" s="23">
        <v>7440</v>
      </c>
      <c r="N615" s="23">
        <v>0</v>
      </c>
      <c r="O615" s="112">
        <f t="shared" si="141"/>
        <v>778115</v>
      </c>
      <c r="P615" s="33">
        <v>0.18</v>
      </c>
      <c r="Q615" s="118">
        <v>0</v>
      </c>
      <c r="R615" s="114">
        <f t="shared" si="147"/>
        <v>70030.350000000006</v>
      </c>
      <c r="S615" s="112">
        <f t="shared" si="148"/>
        <v>70030.350000000006</v>
      </c>
      <c r="T615" s="23">
        <v>0</v>
      </c>
      <c r="U615" s="112">
        <f t="shared" si="149"/>
        <v>918175.7</v>
      </c>
    </row>
    <row r="616" spans="1:21" ht="17.100000000000001" customHeight="1" x14ac:dyDescent="0.25">
      <c r="A616" s="20">
        <f>IF(C616="","",COUNTA($C$4:C616))</f>
        <v>613</v>
      </c>
      <c r="B616" s="20" t="str">
        <f t="shared" si="146"/>
        <v>August</v>
      </c>
      <c r="C616" s="45">
        <v>45898</v>
      </c>
      <c r="D616" s="31" t="s">
        <v>1379</v>
      </c>
      <c r="E616" s="105" t="s">
        <v>1380</v>
      </c>
      <c r="F616" s="26" t="s">
        <v>1377</v>
      </c>
      <c r="G616" s="157" t="s">
        <v>151</v>
      </c>
      <c r="H616" s="106" t="s">
        <v>1381</v>
      </c>
      <c r="I616" s="159" t="s">
        <v>154</v>
      </c>
      <c r="J616" s="22">
        <v>5510</v>
      </c>
      <c r="K616" s="22">
        <v>70.75</v>
      </c>
      <c r="L616" s="23">
        <f t="shared" si="145"/>
        <v>389832.5</v>
      </c>
      <c r="M616" s="23">
        <v>10185</v>
      </c>
      <c r="N616" s="23">
        <v>0</v>
      </c>
      <c r="O616" s="112">
        <f t="shared" si="141"/>
        <v>400017.5</v>
      </c>
      <c r="P616" s="33">
        <v>0.18</v>
      </c>
      <c r="Q616" s="118">
        <v>0</v>
      </c>
      <c r="R616" s="114">
        <f t="shared" si="147"/>
        <v>36001.574999999997</v>
      </c>
      <c r="S616" s="112">
        <f t="shared" si="148"/>
        <v>36001.574999999997</v>
      </c>
      <c r="T616" s="23">
        <v>0</v>
      </c>
      <c r="U616" s="112">
        <f t="shared" si="149"/>
        <v>472020.65</v>
      </c>
    </row>
    <row r="617" spans="1:21" ht="17.100000000000001" customHeight="1" x14ac:dyDescent="0.25">
      <c r="A617" s="20">
        <f>IF(C617="","",COUNTA($C$4:C617))</f>
        <v>614</v>
      </c>
      <c r="B617" s="20" t="str">
        <f t="shared" si="146"/>
        <v>August</v>
      </c>
      <c r="C617" s="45">
        <v>45898</v>
      </c>
      <c r="D617" s="31" t="s">
        <v>1379</v>
      </c>
      <c r="E617" s="105" t="s">
        <v>1380</v>
      </c>
      <c r="F617" s="26" t="s">
        <v>1377</v>
      </c>
      <c r="G617" s="157" t="s">
        <v>151</v>
      </c>
      <c r="H617" s="106" t="s">
        <v>1382</v>
      </c>
      <c r="I617" s="159" t="s">
        <v>278</v>
      </c>
      <c r="J617" s="22">
        <v>9040</v>
      </c>
      <c r="K617" s="22">
        <v>70.75</v>
      </c>
      <c r="L617" s="23">
        <f t="shared" si="145"/>
        <v>639580</v>
      </c>
      <c r="M617" s="23">
        <v>0</v>
      </c>
      <c r="N617" s="23">
        <v>0</v>
      </c>
      <c r="O617" s="112">
        <f t="shared" si="141"/>
        <v>639580</v>
      </c>
      <c r="P617" s="33">
        <v>0.18</v>
      </c>
      <c r="Q617" s="118">
        <v>0</v>
      </c>
      <c r="R617" s="114">
        <f t="shared" si="147"/>
        <v>57562.2</v>
      </c>
      <c r="S617" s="112">
        <f t="shared" si="148"/>
        <v>57562.2</v>
      </c>
      <c r="T617" s="23">
        <v>0</v>
      </c>
      <c r="U617" s="112">
        <f t="shared" si="149"/>
        <v>754704.39999999991</v>
      </c>
    </row>
    <row r="618" spans="1:21" ht="17.100000000000001" customHeight="1" x14ac:dyDescent="0.25">
      <c r="A618" s="20">
        <f>IF(C618="","",COUNTA($C$4:C618))</f>
        <v>615</v>
      </c>
      <c r="B618" s="20" t="str">
        <f t="shared" si="146"/>
        <v>February</v>
      </c>
      <c r="C618" s="45">
        <v>46079</v>
      </c>
      <c r="D618" s="31" t="s">
        <v>2879</v>
      </c>
      <c r="E618" s="105" t="s">
        <v>2880</v>
      </c>
      <c r="F618" s="26"/>
      <c r="G618" s="157" t="s">
        <v>965</v>
      </c>
      <c r="H618" s="106" t="s">
        <v>2881</v>
      </c>
      <c r="J618" s="22">
        <v>4</v>
      </c>
      <c r="K618" s="22">
        <v>1680</v>
      </c>
      <c r="L618" s="23">
        <f t="shared" si="145"/>
        <v>6720</v>
      </c>
      <c r="M618" s="23">
        <v>0</v>
      </c>
      <c r="N618" s="23">
        <v>0</v>
      </c>
      <c r="O618" s="112">
        <f t="shared" si="141"/>
        <v>6720</v>
      </c>
      <c r="P618" s="33">
        <v>0.18</v>
      </c>
      <c r="Q618" s="119">
        <v>0</v>
      </c>
      <c r="R618" s="112">
        <f t="shared" si="147"/>
        <v>604.79999999999995</v>
      </c>
      <c r="S618" s="112">
        <f t="shared" si="148"/>
        <v>604.79999999999995</v>
      </c>
      <c r="T618" s="23">
        <v>0</v>
      </c>
      <c r="U618" s="112">
        <f t="shared" si="149"/>
        <v>7929.6</v>
      </c>
    </row>
    <row r="619" spans="1:21" ht="17.100000000000001" customHeight="1" x14ac:dyDescent="0.25">
      <c r="A619" s="20">
        <f>IF(C619="","",COUNTA($C$4:C619))</f>
        <v>616</v>
      </c>
      <c r="B619" s="20" t="str">
        <f t="shared" si="146"/>
        <v>February</v>
      </c>
      <c r="C619" s="45">
        <v>46079</v>
      </c>
      <c r="D619" s="31" t="s">
        <v>2882</v>
      </c>
      <c r="E619" s="105" t="s">
        <v>2883</v>
      </c>
      <c r="F619" s="26" t="s">
        <v>2884</v>
      </c>
      <c r="G619" s="157" t="s">
        <v>2885</v>
      </c>
      <c r="H619" s="106" t="s">
        <v>2886</v>
      </c>
      <c r="J619" s="22">
        <v>420</v>
      </c>
      <c r="K619" s="22">
        <v>180</v>
      </c>
      <c r="L619" s="23">
        <f t="shared" si="145"/>
        <v>75600</v>
      </c>
      <c r="M619" s="23">
        <v>0</v>
      </c>
      <c r="N619" s="23">
        <v>0</v>
      </c>
      <c r="O619" s="112">
        <f t="shared" si="141"/>
        <v>75600</v>
      </c>
      <c r="P619" s="33">
        <v>0.18</v>
      </c>
      <c r="Q619" s="119">
        <v>0</v>
      </c>
      <c r="R619" s="112">
        <f t="shared" si="147"/>
        <v>6804</v>
      </c>
      <c r="S619" s="112">
        <f t="shared" si="148"/>
        <v>6804</v>
      </c>
      <c r="T619" s="23">
        <v>0</v>
      </c>
      <c r="U619" s="112">
        <f t="shared" si="149"/>
        <v>89208</v>
      </c>
    </row>
    <row r="620" spans="1:21" ht="17.100000000000001" customHeight="1" x14ac:dyDescent="0.25">
      <c r="A620" s="20">
        <f>IF(C620="","",COUNTA($C$4:C620))</f>
        <v>617</v>
      </c>
      <c r="B620" s="20" t="str">
        <f t="shared" si="146"/>
        <v>February</v>
      </c>
      <c r="C620" s="45">
        <v>46079</v>
      </c>
      <c r="D620" s="31" t="s">
        <v>2882</v>
      </c>
      <c r="E620" s="105" t="s">
        <v>2883</v>
      </c>
      <c r="F620" s="26" t="s">
        <v>2884</v>
      </c>
      <c r="G620" s="157" t="s">
        <v>2885</v>
      </c>
      <c r="H620" s="106" t="s">
        <v>2887</v>
      </c>
      <c r="J620" s="22">
        <v>250</v>
      </c>
      <c r="K620" s="22">
        <v>185</v>
      </c>
      <c r="L620" s="23">
        <f t="shared" si="145"/>
        <v>46250</v>
      </c>
      <c r="M620" s="23">
        <v>0</v>
      </c>
      <c r="N620" s="23">
        <v>0</v>
      </c>
      <c r="O620" s="112">
        <f t="shared" si="141"/>
        <v>46250</v>
      </c>
      <c r="P620" s="33">
        <v>0.18</v>
      </c>
      <c r="Q620" s="119">
        <v>0</v>
      </c>
      <c r="R620" s="112">
        <f t="shared" si="147"/>
        <v>4162.5</v>
      </c>
      <c r="S620" s="112">
        <f t="shared" si="148"/>
        <v>4162.5</v>
      </c>
      <c r="T620" s="23">
        <v>0</v>
      </c>
      <c r="U620" s="112">
        <f t="shared" si="149"/>
        <v>54575</v>
      </c>
    </row>
    <row r="621" spans="1:21" ht="17.100000000000001" customHeight="1" x14ac:dyDescent="0.25">
      <c r="A621" s="20">
        <f>IF(C621="","",COUNTA($C$4:C621))</f>
        <v>618</v>
      </c>
      <c r="B621" s="20" t="str">
        <f t="shared" si="146"/>
        <v>February</v>
      </c>
      <c r="C621" s="45">
        <v>46079</v>
      </c>
      <c r="D621" s="31" t="s">
        <v>2882</v>
      </c>
      <c r="E621" s="105" t="s">
        <v>2883</v>
      </c>
      <c r="F621" s="26" t="s">
        <v>2884</v>
      </c>
      <c r="G621" s="157" t="s">
        <v>2885</v>
      </c>
      <c r="H621" s="106" t="s">
        <v>3133</v>
      </c>
      <c r="J621" s="22">
        <v>25</v>
      </c>
      <c r="K621" s="22">
        <v>295</v>
      </c>
      <c r="L621" s="23">
        <f t="shared" si="145"/>
        <v>7375</v>
      </c>
      <c r="M621" s="23">
        <v>0</v>
      </c>
      <c r="N621" s="23">
        <v>0</v>
      </c>
      <c r="O621" s="112">
        <f t="shared" si="141"/>
        <v>7375</v>
      </c>
      <c r="P621" s="33">
        <v>0.18</v>
      </c>
      <c r="Q621" s="119">
        <v>0</v>
      </c>
      <c r="R621" s="112">
        <f t="shared" si="147"/>
        <v>663.75</v>
      </c>
      <c r="S621" s="112">
        <f t="shared" si="148"/>
        <v>663.75</v>
      </c>
      <c r="T621" s="23">
        <v>0</v>
      </c>
      <c r="U621" s="112">
        <f t="shared" si="149"/>
        <v>8702.5</v>
      </c>
    </row>
    <row r="622" spans="1:21" ht="17.100000000000001" customHeight="1" x14ac:dyDescent="0.25">
      <c r="A622" s="20">
        <f>IF(C622="","",COUNTA($C$4:C622))</f>
        <v>619</v>
      </c>
      <c r="B622" s="20" t="str">
        <f t="shared" si="146"/>
        <v>February</v>
      </c>
      <c r="C622" s="45">
        <v>46081</v>
      </c>
      <c r="D622" s="31" t="s">
        <v>2909</v>
      </c>
      <c r="E622" s="105" t="s">
        <v>2910</v>
      </c>
      <c r="F622" s="26" t="s">
        <v>1600</v>
      </c>
      <c r="G622" s="157" t="s">
        <v>254</v>
      </c>
      <c r="H622" s="106" t="s">
        <v>2911</v>
      </c>
      <c r="J622" s="22">
        <v>8650</v>
      </c>
      <c r="K622" s="22">
        <v>6.5</v>
      </c>
      <c r="L622" s="23">
        <f t="shared" si="145"/>
        <v>56225</v>
      </c>
      <c r="M622" s="23">
        <v>0</v>
      </c>
      <c r="N622" s="23">
        <v>0</v>
      </c>
      <c r="O622" s="112">
        <f t="shared" si="141"/>
        <v>56225</v>
      </c>
      <c r="P622" s="33">
        <v>0.18</v>
      </c>
      <c r="Q622" s="119">
        <v>0</v>
      </c>
      <c r="R622" s="112">
        <f t="shared" si="147"/>
        <v>5060.25</v>
      </c>
      <c r="S622" s="112">
        <f t="shared" si="148"/>
        <v>5060.25</v>
      </c>
      <c r="T622" s="23">
        <v>0</v>
      </c>
      <c r="U622" s="112">
        <f t="shared" si="149"/>
        <v>66345.5</v>
      </c>
    </row>
    <row r="623" spans="1:21" ht="17.100000000000001" customHeight="1" x14ac:dyDescent="0.25">
      <c r="A623" s="20">
        <f>IF(C623="","",COUNTA($C$4:C623))</f>
        <v>620</v>
      </c>
      <c r="B623" s="20" t="str">
        <f t="shared" si="146"/>
        <v>February</v>
      </c>
      <c r="C623" s="45">
        <v>46081</v>
      </c>
      <c r="D623" s="31" t="s">
        <v>2912</v>
      </c>
      <c r="E623" s="105" t="s">
        <v>2913</v>
      </c>
      <c r="F623" s="26" t="s">
        <v>2800</v>
      </c>
      <c r="G623" s="157" t="s">
        <v>254</v>
      </c>
      <c r="H623" s="106" t="s">
        <v>2914</v>
      </c>
      <c r="J623" s="22">
        <v>6350</v>
      </c>
      <c r="K623" s="22">
        <v>6.5</v>
      </c>
      <c r="L623" s="23">
        <f t="shared" si="145"/>
        <v>41275</v>
      </c>
      <c r="M623" s="23">
        <v>0</v>
      </c>
      <c r="N623" s="23">
        <v>0</v>
      </c>
      <c r="O623" s="112">
        <f t="shared" si="141"/>
        <v>41275</v>
      </c>
      <c r="P623" s="33">
        <v>0.18</v>
      </c>
      <c r="Q623" s="119">
        <v>0</v>
      </c>
      <c r="R623" s="112">
        <f t="shared" si="147"/>
        <v>3714.75</v>
      </c>
      <c r="S623" s="112">
        <f t="shared" si="148"/>
        <v>3714.75</v>
      </c>
      <c r="T623" s="23">
        <v>0</v>
      </c>
      <c r="U623" s="112">
        <f t="shared" si="149"/>
        <v>48704.5</v>
      </c>
    </row>
    <row r="624" spans="1:21" ht="17.100000000000001" customHeight="1" x14ac:dyDescent="0.25">
      <c r="A624" s="20">
        <f>IF(C624="","",COUNTA($C$4:C624))</f>
        <v>621</v>
      </c>
      <c r="B624" s="20" t="str">
        <f t="shared" si="146"/>
        <v>February</v>
      </c>
      <c r="C624" s="45">
        <v>46081</v>
      </c>
      <c r="D624" s="31" t="s">
        <v>2915</v>
      </c>
      <c r="E624" s="105" t="s">
        <v>2916</v>
      </c>
      <c r="F624" s="26"/>
      <c r="G624" s="157" t="s">
        <v>342</v>
      </c>
      <c r="H624" s="106" t="s">
        <v>207</v>
      </c>
      <c r="L624" s="23">
        <v>1880</v>
      </c>
      <c r="M624" s="23">
        <v>0</v>
      </c>
      <c r="N624" s="23">
        <v>0</v>
      </c>
      <c r="O624" s="112">
        <f t="shared" si="141"/>
        <v>1880</v>
      </c>
      <c r="P624" s="33">
        <v>0.18</v>
      </c>
      <c r="Q624" s="119">
        <v>0</v>
      </c>
      <c r="R624" s="112">
        <f t="shared" si="147"/>
        <v>169.2</v>
      </c>
      <c r="S624" s="112">
        <f t="shared" si="148"/>
        <v>169.2</v>
      </c>
      <c r="T624" s="23">
        <v>0</v>
      </c>
      <c r="U624" s="112">
        <f t="shared" si="149"/>
        <v>2218.3999999999996</v>
      </c>
    </row>
    <row r="625" spans="1:21" ht="17.100000000000001" customHeight="1" x14ac:dyDescent="0.25">
      <c r="A625" s="20">
        <f>IF(C625="","",COUNTA($C$4:C625))</f>
        <v>622</v>
      </c>
      <c r="B625" s="20" t="str">
        <f t="shared" si="146"/>
        <v>April</v>
      </c>
      <c r="C625" s="29">
        <v>45757</v>
      </c>
      <c r="D625" s="31" t="s">
        <v>106</v>
      </c>
      <c r="E625" s="106" t="s">
        <v>107</v>
      </c>
      <c r="F625" s="26" t="s">
        <v>108</v>
      </c>
      <c r="G625" s="158" t="s">
        <v>109</v>
      </c>
      <c r="H625" s="106" t="s">
        <v>110</v>
      </c>
      <c r="J625" s="22">
        <v>240</v>
      </c>
      <c r="K625" s="64">
        <v>385</v>
      </c>
      <c r="L625" s="23">
        <f t="shared" ref="L625:L643" si="150">J625*K625</f>
        <v>92400</v>
      </c>
      <c r="M625" s="23">
        <v>12000</v>
      </c>
      <c r="N625" s="23">
        <v>0</v>
      </c>
      <c r="O625" s="112">
        <f t="shared" si="141"/>
        <v>104400</v>
      </c>
      <c r="P625" s="33">
        <v>0.18</v>
      </c>
      <c r="Q625" s="118">
        <f>O625*18/100</f>
        <v>18792</v>
      </c>
      <c r="R625" s="115">
        <v>0</v>
      </c>
      <c r="S625" s="115">
        <v>0</v>
      </c>
      <c r="T625" s="23">
        <v>0</v>
      </c>
      <c r="U625" s="112">
        <f>O625+Q625</f>
        <v>123192</v>
      </c>
    </row>
    <row r="626" spans="1:21" ht="17.100000000000001" customHeight="1" x14ac:dyDescent="0.25">
      <c r="A626" s="20">
        <f>IF(C626="","",COUNTA($C$4:C626))</f>
        <v>623</v>
      </c>
      <c r="B626" s="20" t="str">
        <f t="shared" si="146"/>
        <v>April</v>
      </c>
      <c r="C626" s="45">
        <v>45770</v>
      </c>
      <c r="D626" s="31" t="s">
        <v>241</v>
      </c>
      <c r="E626" s="105" t="s">
        <v>242</v>
      </c>
      <c r="F626" s="26" t="s">
        <v>243</v>
      </c>
      <c r="G626" s="157" t="s">
        <v>109</v>
      </c>
      <c r="H626" s="106" t="s">
        <v>244</v>
      </c>
      <c r="J626" s="22">
        <v>144</v>
      </c>
      <c r="K626" s="64">
        <v>385</v>
      </c>
      <c r="L626" s="23">
        <f t="shared" si="150"/>
        <v>55440</v>
      </c>
      <c r="M626" s="23">
        <v>7500</v>
      </c>
      <c r="N626" s="23">
        <v>0</v>
      </c>
      <c r="O626" s="112">
        <f t="shared" si="141"/>
        <v>62940</v>
      </c>
      <c r="P626" s="33">
        <v>0.18</v>
      </c>
      <c r="Q626" s="118">
        <f>O626*18/100</f>
        <v>11329.2</v>
      </c>
      <c r="R626" s="115">
        <v>0</v>
      </c>
      <c r="S626" s="115">
        <v>0</v>
      </c>
      <c r="T626" s="23">
        <v>0</v>
      </c>
      <c r="U626" s="112">
        <f>O626+Q626</f>
        <v>74269.2</v>
      </c>
    </row>
    <row r="627" spans="1:21" ht="17.100000000000001" customHeight="1" x14ac:dyDescent="0.25">
      <c r="A627" s="20">
        <f>IF(C627="","",COUNTA($C$4:C627))</f>
        <v>624</v>
      </c>
      <c r="B627" s="20" t="str">
        <f t="shared" si="146"/>
        <v>March</v>
      </c>
      <c r="C627" s="45">
        <v>46088</v>
      </c>
      <c r="D627" s="31" t="s">
        <v>2922</v>
      </c>
      <c r="E627" s="105" t="s">
        <v>2923</v>
      </c>
      <c r="F627" s="26" t="s">
        <v>2924</v>
      </c>
      <c r="G627" s="157" t="s">
        <v>836</v>
      </c>
      <c r="H627" s="106" t="s">
        <v>2925</v>
      </c>
      <c r="J627" s="22">
        <v>1</v>
      </c>
      <c r="K627" s="22">
        <v>5522</v>
      </c>
      <c r="L627" s="23">
        <f t="shared" si="150"/>
        <v>5522</v>
      </c>
      <c r="M627" s="23">
        <v>850</v>
      </c>
      <c r="N627" s="23">
        <v>0</v>
      </c>
      <c r="O627" s="112">
        <f t="shared" si="141"/>
        <v>6372</v>
      </c>
      <c r="P627" s="33">
        <v>0.18</v>
      </c>
      <c r="Q627" s="115">
        <v>0</v>
      </c>
      <c r="R627" s="112">
        <f>O627*9/100</f>
        <v>573.48</v>
      </c>
      <c r="S627" s="112">
        <f>O627*9/100</f>
        <v>573.48</v>
      </c>
      <c r="T627" s="23">
        <v>0</v>
      </c>
      <c r="U627" s="112">
        <f>O627+R627+S627</f>
        <v>7518.9599999999991</v>
      </c>
    </row>
    <row r="628" spans="1:21" ht="17.100000000000001" customHeight="1" x14ac:dyDescent="0.25">
      <c r="A628" s="20">
        <f>IF(C628="","",COUNTA($C$4:C628))</f>
        <v>625</v>
      </c>
      <c r="B628" s="20" t="str">
        <f t="shared" si="146"/>
        <v>September</v>
      </c>
      <c r="C628" s="45">
        <v>45906</v>
      </c>
      <c r="D628" s="31" t="s">
        <v>1473</v>
      </c>
      <c r="E628" s="105" t="s">
        <v>1474</v>
      </c>
      <c r="F628" s="26" t="s">
        <v>1475</v>
      </c>
      <c r="G628" s="157" t="s">
        <v>151</v>
      </c>
      <c r="H628" s="106" t="s">
        <v>1476</v>
      </c>
      <c r="I628" s="160" t="s">
        <v>1479</v>
      </c>
      <c r="J628" s="22">
        <v>11510</v>
      </c>
      <c r="K628" s="22">
        <v>72.55</v>
      </c>
      <c r="L628" s="23">
        <f t="shared" si="150"/>
        <v>835050.5</v>
      </c>
      <c r="M628" s="23">
        <v>12180</v>
      </c>
      <c r="N628" s="23">
        <v>0</v>
      </c>
      <c r="O628" s="112">
        <f t="shared" si="141"/>
        <v>847230.5</v>
      </c>
      <c r="P628" s="33">
        <v>0.18</v>
      </c>
      <c r="Q628" s="118">
        <v>0</v>
      </c>
      <c r="R628" s="112">
        <f>O628*9/100</f>
        <v>76250.744999999995</v>
      </c>
      <c r="S628" s="112">
        <f>O628*9/100</f>
        <v>76250.744999999995</v>
      </c>
      <c r="T628" s="23">
        <v>0</v>
      </c>
      <c r="U628" s="112">
        <f>O628+R628+S628</f>
        <v>999731.99</v>
      </c>
    </row>
    <row r="629" spans="1:21" ht="17.100000000000001" customHeight="1" x14ac:dyDescent="0.25">
      <c r="A629" s="20">
        <f>IF(C629="","",COUNTA($C$4:C629))</f>
        <v>626</v>
      </c>
      <c r="B629" s="20" t="str">
        <f t="shared" si="146"/>
        <v>September</v>
      </c>
      <c r="C629" s="45">
        <v>45906</v>
      </c>
      <c r="D629" s="31" t="s">
        <v>1473</v>
      </c>
      <c r="E629" s="105" t="s">
        <v>1474</v>
      </c>
      <c r="F629" s="26" t="s">
        <v>1475</v>
      </c>
      <c r="G629" s="157" t="s">
        <v>151</v>
      </c>
      <c r="H629" s="106" t="s">
        <v>1480</v>
      </c>
      <c r="I629" s="159" t="s">
        <v>1481</v>
      </c>
      <c r="J629" s="22">
        <v>5895</v>
      </c>
      <c r="K629" s="22">
        <v>71.55</v>
      </c>
      <c r="L629" s="23">
        <f t="shared" si="150"/>
        <v>421787.25</v>
      </c>
      <c r="M629" s="23">
        <v>0</v>
      </c>
      <c r="N629" s="23">
        <v>0</v>
      </c>
      <c r="O629" s="112">
        <f t="shared" si="141"/>
        <v>421787.25</v>
      </c>
      <c r="P629" s="33">
        <v>0.18</v>
      </c>
      <c r="Q629" s="118">
        <v>0</v>
      </c>
      <c r="R629" s="112">
        <f>O629*9/100</f>
        <v>37960.852500000001</v>
      </c>
      <c r="S629" s="112">
        <f>O629*9/100</f>
        <v>37960.852500000001</v>
      </c>
      <c r="T629" s="23">
        <v>0</v>
      </c>
      <c r="U629" s="112">
        <f>O629+R629+S629</f>
        <v>497708.95499999996</v>
      </c>
    </row>
    <row r="630" spans="1:21" ht="17.100000000000001" customHeight="1" x14ac:dyDescent="0.25">
      <c r="A630" s="20">
        <f>IF(C630="","",COUNTA($C$4:C630))</f>
        <v>627</v>
      </c>
      <c r="B630" s="20" t="str">
        <f t="shared" si="146"/>
        <v>September</v>
      </c>
      <c r="C630" s="45">
        <v>45913</v>
      </c>
      <c r="D630" s="31" t="s">
        <v>1563</v>
      </c>
      <c r="E630" s="105" t="s">
        <v>1564</v>
      </c>
      <c r="F630" s="26"/>
      <c r="G630" s="157" t="s">
        <v>151</v>
      </c>
      <c r="H630" s="106" t="s">
        <v>1565</v>
      </c>
      <c r="I630" s="159" t="s">
        <v>1566</v>
      </c>
      <c r="J630" s="22">
        <v>5225</v>
      </c>
      <c r="K630" s="22">
        <v>71.55</v>
      </c>
      <c r="L630" s="23">
        <f t="shared" si="150"/>
        <v>373848.75</v>
      </c>
      <c r="M630" s="23">
        <v>3650</v>
      </c>
      <c r="N630" s="23">
        <v>0</v>
      </c>
      <c r="O630" s="112">
        <f t="shared" si="141"/>
        <v>377498.75</v>
      </c>
      <c r="P630" s="33">
        <v>0.18</v>
      </c>
      <c r="Q630" s="118">
        <v>0</v>
      </c>
      <c r="R630" s="112">
        <f>O630*9/100</f>
        <v>33974.887499999997</v>
      </c>
      <c r="S630" s="112">
        <f>O630*9/100</f>
        <v>33974.887499999997</v>
      </c>
      <c r="T630" s="23">
        <v>0</v>
      </c>
      <c r="U630" s="112">
        <f>O630+R630+S630</f>
        <v>445448.52500000002</v>
      </c>
    </row>
    <row r="631" spans="1:21" ht="17.100000000000001" customHeight="1" x14ac:dyDescent="0.25">
      <c r="A631" s="20">
        <f>IF(C631="","",COUNTA($C$4:C631))</f>
        <v>628</v>
      </c>
      <c r="B631" s="20" t="str">
        <f t="shared" si="146"/>
        <v>April</v>
      </c>
      <c r="C631" s="45">
        <v>45770</v>
      </c>
      <c r="D631" s="31" t="s">
        <v>241</v>
      </c>
      <c r="E631" s="105" t="s">
        <v>242</v>
      </c>
      <c r="F631" s="26" t="s">
        <v>243</v>
      </c>
      <c r="G631" s="157" t="s">
        <v>109</v>
      </c>
      <c r="H631" s="106" t="s">
        <v>245</v>
      </c>
      <c r="J631" s="22">
        <v>12</v>
      </c>
      <c r="K631" s="64">
        <v>540</v>
      </c>
      <c r="L631" s="23">
        <f t="shared" si="150"/>
        <v>6480</v>
      </c>
      <c r="M631" s="23">
        <v>0</v>
      </c>
      <c r="N631" s="23">
        <v>0</v>
      </c>
      <c r="O631" s="112">
        <f t="shared" si="141"/>
        <v>6480</v>
      </c>
      <c r="P631" s="33">
        <v>0.18</v>
      </c>
      <c r="Q631" s="118">
        <f>O631*18/100</f>
        <v>1166.4000000000001</v>
      </c>
      <c r="R631" s="115">
        <v>0</v>
      </c>
      <c r="S631" s="115">
        <v>0</v>
      </c>
      <c r="T631" s="23">
        <v>0</v>
      </c>
      <c r="U631" s="112">
        <f>O631+Q631</f>
        <v>7646.4</v>
      </c>
    </row>
    <row r="632" spans="1:21" ht="17.100000000000001" customHeight="1" x14ac:dyDescent="0.25">
      <c r="A632" s="20">
        <f>IF(C632="","",COUNTA($C$4:C632))</f>
        <v>629</v>
      </c>
      <c r="B632" s="20" t="str">
        <f t="shared" si="146"/>
        <v>May</v>
      </c>
      <c r="C632" s="45">
        <v>45797</v>
      </c>
      <c r="D632" s="31" t="s">
        <v>518</v>
      </c>
      <c r="E632" s="105" t="s">
        <v>519</v>
      </c>
      <c r="F632" s="26" t="s">
        <v>520</v>
      </c>
      <c r="G632" s="157" t="s">
        <v>109</v>
      </c>
      <c r="H632" s="106" t="s">
        <v>521</v>
      </c>
      <c r="J632" s="22">
        <v>240</v>
      </c>
      <c r="K632" s="64">
        <v>385</v>
      </c>
      <c r="L632" s="23">
        <f t="shared" si="150"/>
        <v>92400</v>
      </c>
      <c r="M632" s="23">
        <v>13000</v>
      </c>
      <c r="N632" s="23">
        <v>0</v>
      </c>
      <c r="O632" s="112">
        <f t="shared" si="141"/>
        <v>105400</v>
      </c>
      <c r="P632" s="33">
        <v>0.18</v>
      </c>
      <c r="Q632" s="118">
        <f>O632*18/100</f>
        <v>18972</v>
      </c>
      <c r="R632" s="115">
        <v>0</v>
      </c>
      <c r="S632" s="115">
        <v>0</v>
      </c>
      <c r="T632" s="23">
        <v>0</v>
      </c>
      <c r="U632" s="112">
        <f>O632+Q632</f>
        <v>124372</v>
      </c>
    </row>
    <row r="633" spans="1:21" ht="17.100000000000001" customHeight="1" x14ac:dyDescent="0.25">
      <c r="A633" s="20">
        <f>IF(C633="","",COUNTA($C$4:C633))</f>
        <v>630</v>
      </c>
      <c r="B633" s="20" t="str">
        <f t="shared" si="146"/>
        <v>June</v>
      </c>
      <c r="C633" s="45">
        <v>45813</v>
      </c>
      <c r="D633" s="31" t="s">
        <v>674</v>
      </c>
      <c r="E633" s="105" t="s">
        <v>675</v>
      </c>
      <c r="F633" s="26" t="s">
        <v>676</v>
      </c>
      <c r="G633" s="157" t="s">
        <v>109</v>
      </c>
      <c r="H633" s="106" t="s">
        <v>677</v>
      </c>
      <c r="J633" s="22">
        <v>3600</v>
      </c>
      <c r="K633" s="64">
        <v>385</v>
      </c>
      <c r="L633" s="23">
        <f t="shared" si="150"/>
        <v>1386000</v>
      </c>
      <c r="M633" s="23">
        <v>58000</v>
      </c>
      <c r="N633" s="23">
        <v>0</v>
      </c>
      <c r="O633" s="112">
        <f t="shared" si="141"/>
        <v>1444000</v>
      </c>
      <c r="P633" s="33">
        <v>0.18</v>
      </c>
      <c r="Q633" s="118">
        <f>O633*18/100</f>
        <v>259920</v>
      </c>
      <c r="R633" s="115">
        <v>0</v>
      </c>
      <c r="S633" s="115">
        <v>0</v>
      </c>
      <c r="T633" s="23">
        <v>0</v>
      </c>
      <c r="U633" s="112">
        <f>O633+Q633</f>
        <v>1703920</v>
      </c>
    </row>
    <row r="634" spans="1:21" ht="17.100000000000001" customHeight="1" x14ac:dyDescent="0.25">
      <c r="A634" s="20">
        <f>IF(C634="","",COUNTA($C$4:C634))</f>
        <v>631</v>
      </c>
      <c r="B634" s="20" t="str">
        <f t="shared" si="146"/>
        <v>March</v>
      </c>
      <c r="C634" s="45">
        <v>46091</v>
      </c>
      <c r="D634" s="31" t="s">
        <v>2926</v>
      </c>
      <c r="E634" s="105" t="s">
        <v>2927</v>
      </c>
      <c r="F634" s="26" t="s">
        <v>2928</v>
      </c>
      <c r="G634" s="157" t="s">
        <v>151</v>
      </c>
      <c r="H634" s="106" t="s">
        <v>2929</v>
      </c>
      <c r="I634" s="159" t="s">
        <v>2349</v>
      </c>
      <c r="J634" s="22">
        <v>6424</v>
      </c>
      <c r="K634" s="22">
        <v>82.6</v>
      </c>
      <c r="L634" s="23">
        <f t="shared" si="150"/>
        <v>530622.39999999991</v>
      </c>
      <c r="M634" s="23">
        <v>16575</v>
      </c>
      <c r="N634" s="23">
        <v>0</v>
      </c>
      <c r="O634" s="112">
        <f t="shared" si="141"/>
        <v>547197.39999999991</v>
      </c>
      <c r="P634" s="33">
        <v>0.18</v>
      </c>
      <c r="Q634" s="115">
        <v>0</v>
      </c>
      <c r="R634" s="112">
        <f>O634*9/100</f>
        <v>49247.765999999996</v>
      </c>
      <c r="S634" s="112">
        <f>O634*9/100</f>
        <v>49247.765999999996</v>
      </c>
      <c r="T634" s="23">
        <v>0</v>
      </c>
      <c r="U634" s="112">
        <f t="shared" ref="U634:U639" si="151">O634+R634+S634</f>
        <v>645692.9319999998</v>
      </c>
    </row>
    <row r="635" spans="1:21" ht="17.100000000000001" customHeight="1" x14ac:dyDescent="0.25">
      <c r="A635" s="20">
        <f>IF(C635="","",COUNTA($C$4:C635))</f>
        <v>632</v>
      </c>
      <c r="B635" s="20" t="str">
        <f t="shared" si="146"/>
        <v>March</v>
      </c>
      <c r="C635" s="45">
        <v>46091</v>
      </c>
      <c r="D635" s="31" t="s">
        <v>2926</v>
      </c>
      <c r="E635" s="105" t="s">
        <v>2927</v>
      </c>
      <c r="F635" s="26" t="s">
        <v>2928</v>
      </c>
      <c r="G635" s="157" t="s">
        <v>151</v>
      </c>
      <c r="H635" s="106" t="s">
        <v>2930</v>
      </c>
      <c r="I635" s="159" t="s">
        <v>266</v>
      </c>
      <c r="J635" s="22">
        <v>10956</v>
      </c>
      <c r="K635" s="22">
        <v>80.55</v>
      </c>
      <c r="L635" s="23">
        <f t="shared" si="150"/>
        <v>882505.79999999993</v>
      </c>
      <c r="M635" s="23">
        <v>0</v>
      </c>
      <c r="N635" s="23">
        <v>0</v>
      </c>
      <c r="O635" s="112">
        <f t="shared" si="141"/>
        <v>882505.79999999993</v>
      </c>
      <c r="P635" s="33">
        <v>0.18</v>
      </c>
      <c r="Q635" s="115">
        <v>0</v>
      </c>
      <c r="R635" s="112">
        <f>O635*9/100</f>
        <v>79425.521999999997</v>
      </c>
      <c r="S635" s="112">
        <f>O635*9/100</f>
        <v>79425.521999999997</v>
      </c>
      <c r="T635" s="23">
        <v>0</v>
      </c>
      <c r="U635" s="112">
        <f t="shared" si="151"/>
        <v>1041356.8439999999</v>
      </c>
    </row>
    <row r="636" spans="1:21" ht="17.100000000000001" customHeight="1" x14ac:dyDescent="0.25">
      <c r="A636" s="20">
        <f>IF(C636="","",COUNTA($C$4:C636))</f>
        <v>633</v>
      </c>
      <c r="B636" s="20" t="str">
        <f t="shared" si="146"/>
        <v>March</v>
      </c>
      <c r="C636" s="45">
        <v>46091</v>
      </c>
      <c r="D636" s="31" t="s">
        <v>2926</v>
      </c>
      <c r="E636" s="105" t="s">
        <v>2927</v>
      </c>
      <c r="F636" s="26" t="s">
        <v>2928</v>
      </c>
      <c r="G636" s="157" t="s">
        <v>151</v>
      </c>
      <c r="H636" s="106" t="s">
        <v>2931</v>
      </c>
      <c r="I636" s="159" t="s">
        <v>276</v>
      </c>
      <c r="J636" s="22">
        <v>6300</v>
      </c>
      <c r="K636" s="22">
        <v>78.5</v>
      </c>
      <c r="L636" s="23">
        <f t="shared" si="150"/>
        <v>494550</v>
      </c>
      <c r="M636" s="23">
        <v>0</v>
      </c>
      <c r="N636" s="23">
        <v>0</v>
      </c>
      <c r="O636" s="112">
        <f t="shared" si="141"/>
        <v>494550</v>
      </c>
      <c r="P636" s="33">
        <v>0.18</v>
      </c>
      <c r="Q636" s="119">
        <v>0</v>
      </c>
      <c r="R636" s="112">
        <f>O636*9/100</f>
        <v>44509.5</v>
      </c>
      <c r="S636" s="112">
        <f>O636*9/100</f>
        <v>44509.5</v>
      </c>
      <c r="T636" s="23">
        <v>0</v>
      </c>
      <c r="U636" s="112">
        <f t="shared" si="151"/>
        <v>583569</v>
      </c>
    </row>
    <row r="637" spans="1:21" ht="17.100000000000001" customHeight="1" x14ac:dyDescent="0.25">
      <c r="A637" s="20">
        <f>IF(C637="","",COUNTA($C$4:C637))</f>
        <v>634</v>
      </c>
      <c r="B637" s="20" t="str">
        <f t="shared" si="146"/>
        <v>March</v>
      </c>
      <c r="C637" s="45">
        <v>46094</v>
      </c>
      <c r="D637" s="31" t="s">
        <v>2939</v>
      </c>
      <c r="E637" s="105" t="s">
        <v>2946</v>
      </c>
      <c r="F637" s="26" t="s">
        <v>2940</v>
      </c>
      <c r="G637" s="157" t="s">
        <v>151</v>
      </c>
      <c r="H637" s="106" t="s">
        <v>2941</v>
      </c>
      <c r="I637" s="159" t="s">
        <v>2349</v>
      </c>
      <c r="J637" s="22">
        <v>6547</v>
      </c>
      <c r="K637" s="22">
        <v>82.6</v>
      </c>
      <c r="L637" s="23">
        <f t="shared" si="150"/>
        <v>540782.19999999995</v>
      </c>
      <c r="M637" s="23">
        <v>20010</v>
      </c>
      <c r="N637" s="23">
        <v>0</v>
      </c>
      <c r="O637" s="112">
        <f t="shared" si="141"/>
        <v>560792.19999999995</v>
      </c>
      <c r="P637" s="33">
        <v>0.18</v>
      </c>
      <c r="Q637" s="115">
        <v>0</v>
      </c>
      <c r="R637" s="112">
        <f>O637*9/100</f>
        <v>50471.297999999995</v>
      </c>
      <c r="S637" s="112">
        <f>O637*9/100</f>
        <v>50471.297999999995</v>
      </c>
      <c r="T637" s="23">
        <v>0</v>
      </c>
      <c r="U637" s="112">
        <f t="shared" si="151"/>
        <v>661734.79599999986</v>
      </c>
    </row>
    <row r="638" spans="1:21" ht="17.100000000000001" customHeight="1" x14ac:dyDescent="0.25">
      <c r="A638" s="20">
        <f>IF(C638="","",COUNTA($C$4:C638))</f>
        <v>635</v>
      </c>
      <c r="B638" s="20" t="str">
        <f t="shared" si="146"/>
        <v>March</v>
      </c>
      <c r="C638" s="45">
        <v>46094</v>
      </c>
      <c r="D638" s="31" t="s">
        <v>2945</v>
      </c>
      <c r="E638" s="105" t="s">
        <v>2947</v>
      </c>
      <c r="F638" s="26" t="s">
        <v>2800</v>
      </c>
      <c r="G638" s="157" t="s">
        <v>254</v>
      </c>
      <c r="H638" s="106" t="s">
        <v>2797</v>
      </c>
      <c r="J638" s="22">
        <v>18500</v>
      </c>
      <c r="K638" s="22">
        <v>6.5</v>
      </c>
      <c r="L638" s="23">
        <f t="shared" si="150"/>
        <v>120250</v>
      </c>
      <c r="M638" s="23">
        <v>0</v>
      </c>
      <c r="N638" s="23">
        <v>0</v>
      </c>
      <c r="O638" s="112">
        <f t="shared" si="141"/>
        <v>120250</v>
      </c>
      <c r="P638" s="33">
        <v>0.18</v>
      </c>
      <c r="Q638" s="115">
        <v>0</v>
      </c>
      <c r="R638" s="112">
        <f>O638*9/100</f>
        <v>10822.5</v>
      </c>
      <c r="S638" s="112">
        <f>O638*9/100</f>
        <v>10822.5</v>
      </c>
      <c r="T638" s="23">
        <v>0</v>
      </c>
      <c r="U638" s="112">
        <f t="shared" si="151"/>
        <v>141895</v>
      </c>
    </row>
    <row r="639" spans="1:21" ht="17.100000000000001" customHeight="1" x14ac:dyDescent="0.25">
      <c r="A639" s="20">
        <f>IF(C639="","",COUNTA($C$4:C639))</f>
        <v>636</v>
      </c>
      <c r="B639" s="20" t="str">
        <f t="shared" si="146"/>
        <v>March</v>
      </c>
      <c r="C639" s="45">
        <v>46094</v>
      </c>
      <c r="D639" s="31" t="s">
        <v>2948</v>
      </c>
      <c r="E639" s="105" t="s">
        <v>2949</v>
      </c>
      <c r="F639" s="26"/>
      <c r="G639" s="157" t="s">
        <v>248</v>
      </c>
      <c r="H639" s="106" t="s">
        <v>2442</v>
      </c>
      <c r="J639" s="22">
        <v>50</v>
      </c>
      <c r="K639" s="22">
        <v>58</v>
      </c>
      <c r="L639" s="23">
        <f t="shared" si="150"/>
        <v>2900</v>
      </c>
      <c r="M639" s="23">
        <v>0</v>
      </c>
      <c r="N639" s="23">
        <v>0</v>
      </c>
      <c r="O639" s="112">
        <f t="shared" si="141"/>
        <v>2900</v>
      </c>
      <c r="P639" s="33">
        <v>0.18</v>
      </c>
      <c r="Q639" s="115">
        <v>0</v>
      </c>
      <c r="R639" s="112">
        <f>O639*2.5/100</f>
        <v>72.5</v>
      </c>
      <c r="S639" s="112">
        <f>O639*2.5/100</f>
        <v>72.5</v>
      </c>
      <c r="T639" s="23">
        <v>0</v>
      </c>
      <c r="U639" s="112">
        <f t="shared" si="151"/>
        <v>3045</v>
      </c>
    </row>
    <row r="640" spans="1:21" ht="17.100000000000001" customHeight="1" x14ac:dyDescent="0.25">
      <c r="A640" s="20">
        <f>IF(C640="","",COUNTA($C$4:C640))</f>
        <v>637</v>
      </c>
      <c r="B640" s="20" t="str">
        <f t="shared" si="146"/>
        <v>March</v>
      </c>
      <c r="C640" s="45">
        <v>46097</v>
      </c>
      <c r="D640" s="31" t="s">
        <v>2950</v>
      </c>
      <c r="E640" s="105" t="s">
        <v>2951</v>
      </c>
      <c r="F640" s="26" t="s">
        <v>2829</v>
      </c>
      <c r="G640" s="157" t="s">
        <v>93</v>
      </c>
      <c r="H640" s="106" t="s">
        <v>2952</v>
      </c>
      <c r="J640" s="22">
        <v>100.8</v>
      </c>
      <c r="K640" s="22">
        <v>304</v>
      </c>
      <c r="L640" s="23">
        <f t="shared" si="150"/>
        <v>30643.200000000001</v>
      </c>
      <c r="M640" s="23">
        <v>0</v>
      </c>
      <c r="N640" s="23">
        <v>0</v>
      </c>
      <c r="O640" s="112">
        <f t="shared" si="141"/>
        <v>30643.200000000001</v>
      </c>
      <c r="P640" s="33">
        <v>0.18</v>
      </c>
      <c r="Q640" s="119">
        <f>O640*18/100</f>
        <v>5515.7759999999998</v>
      </c>
      <c r="R640" s="115">
        <v>0</v>
      </c>
      <c r="S640" s="115">
        <v>0</v>
      </c>
      <c r="T640" s="23">
        <v>0</v>
      </c>
      <c r="U640" s="112">
        <f>O640+Q640</f>
        <v>36158.976000000002</v>
      </c>
    </row>
    <row r="641" spans="1:21" ht="17.100000000000001" customHeight="1" x14ac:dyDescent="0.25">
      <c r="A641" s="20">
        <f>IF(C641="","",COUNTA($C$4:C641))</f>
        <v>638</v>
      </c>
      <c r="B641" s="20" t="str">
        <f t="shared" si="146"/>
        <v>June</v>
      </c>
      <c r="C641" s="45">
        <v>45813</v>
      </c>
      <c r="D641" s="31" t="s">
        <v>674</v>
      </c>
      <c r="E641" s="105" t="s">
        <v>675</v>
      </c>
      <c r="F641" s="26" t="s">
        <v>676</v>
      </c>
      <c r="G641" s="157" t="s">
        <v>109</v>
      </c>
      <c r="H641" s="106" t="s">
        <v>678</v>
      </c>
      <c r="J641" s="22">
        <v>48</v>
      </c>
      <c r="K641" s="64">
        <v>540</v>
      </c>
      <c r="L641" s="23">
        <f t="shared" si="150"/>
        <v>25920</v>
      </c>
      <c r="M641" s="23">
        <v>0</v>
      </c>
      <c r="N641" s="23">
        <v>0</v>
      </c>
      <c r="O641" s="112">
        <f t="shared" si="141"/>
        <v>25920</v>
      </c>
      <c r="P641" s="33">
        <v>0.18</v>
      </c>
      <c r="Q641" s="118">
        <f>O641*18/100</f>
        <v>4665.6000000000004</v>
      </c>
      <c r="R641" s="115">
        <v>0</v>
      </c>
      <c r="S641" s="112" t="s">
        <v>679</v>
      </c>
      <c r="T641" s="23">
        <v>0</v>
      </c>
      <c r="U641" s="112">
        <f>O641+Q641</f>
        <v>30585.599999999999</v>
      </c>
    </row>
    <row r="642" spans="1:21" ht="17.100000000000001" customHeight="1" x14ac:dyDescent="0.25">
      <c r="A642" s="20">
        <f>IF(C642="","",COUNTA($C$4:C642))</f>
        <v>639</v>
      </c>
      <c r="B642" s="20" t="str">
        <f t="shared" si="146"/>
        <v>July</v>
      </c>
      <c r="C642" s="45">
        <v>45859</v>
      </c>
      <c r="D642" s="31" t="s">
        <v>1036</v>
      </c>
      <c r="E642" s="105" t="s">
        <v>1037</v>
      </c>
      <c r="F642" s="26" t="s">
        <v>1038</v>
      </c>
      <c r="G642" s="157" t="s">
        <v>109</v>
      </c>
      <c r="H642" s="106" t="s">
        <v>1039</v>
      </c>
      <c r="J642" s="22">
        <v>60</v>
      </c>
      <c r="K642" s="64">
        <v>540</v>
      </c>
      <c r="L642" s="23">
        <f t="shared" si="150"/>
        <v>32400</v>
      </c>
      <c r="M642" s="23">
        <v>1000</v>
      </c>
      <c r="N642" s="23">
        <v>0</v>
      </c>
      <c r="O642" s="112">
        <f t="shared" si="141"/>
        <v>33400</v>
      </c>
      <c r="P642" s="33">
        <v>0.18</v>
      </c>
      <c r="Q642" s="118">
        <f>O642*18/100</f>
        <v>6012</v>
      </c>
      <c r="R642" s="115">
        <v>0</v>
      </c>
      <c r="S642" s="115">
        <v>0</v>
      </c>
      <c r="T642" s="23">
        <v>0</v>
      </c>
      <c r="U642" s="112">
        <f>O642+Q642</f>
        <v>39412</v>
      </c>
    </row>
    <row r="643" spans="1:21" ht="17.100000000000001" customHeight="1" x14ac:dyDescent="0.25">
      <c r="A643" s="20">
        <f>IF(C643="","",COUNTA($C$4:C643))</f>
        <v>640</v>
      </c>
      <c r="B643" s="20" t="str">
        <f t="shared" si="146"/>
        <v>August</v>
      </c>
      <c r="C643" s="45">
        <v>45870</v>
      </c>
      <c r="D643" s="31" t="s">
        <v>1180</v>
      </c>
      <c r="E643" s="105" t="s">
        <v>1181</v>
      </c>
      <c r="F643" s="26" t="s">
        <v>1182</v>
      </c>
      <c r="G643" s="157" t="s">
        <v>109</v>
      </c>
      <c r="H643" s="106" t="s">
        <v>1183</v>
      </c>
      <c r="J643" s="22">
        <v>3000</v>
      </c>
      <c r="K643" s="22">
        <v>385</v>
      </c>
      <c r="L643" s="23">
        <f t="shared" si="150"/>
        <v>1155000</v>
      </c>
      <c r="M643" s="23">
        <v>58000</v>
      </c>
      <c r="N643" s="23">
        <v>0</v>
      </c>
      <c r="O643" s="112">
        <f t="shared" si="141"/>
        <v>1213000</v>
      </c>
      <c r="P643" s="33">
        <v>0.18</v>
      </c>
      <c r="Q643" s="118">
        <f>O643*18/100</f>
        <v>218340</v>
      </c>
      <c r="R643" s="115">
        <v>0</v>
      </c>
      <c r="S643" s="115">
        <v>0</v>
      </c>
      <c r="T643" s="23">
        <v>0</v>
      </c>
      <c r="U643" s="112">
        <f>O643+Q643</f>
        <v>1431340</v>
      </c>
    </row>
    <row r="644" spans="1:21" ht="17.100000000000001" customHeight="1" x14ac:dyDescent="0.25">
      <c r="A644" s="20">
        <f>IF(C644="","",COUNTA($C$4:C644))</f>
        <v>641</v>
      </c>
      <c r="B644" s="20" t="str">
        <f t="shared" si="146"/>
        <v>March</v>
      </c>
      <c r="C644" s="45">
        <v>46098</v>
      </c>
      <c r="D644" s="31" t="s">
        <v>2958</v>
      </c>
      <c r="E644" s="105" t="s">
        <v>2959</v>
      </c>
      <c r="F644" s="26"/>
      <c r="G644" s="157" t="s">
        <v>206</v>
      </c>
      <c r="H644" s="106" t="s">
        <v>2960</v>
      </c>
      <c r="L644" s="23">
        <v>80055</v>
      </c>
      <c r="M644" s="23">
        <v>0</v>
      </c>
      <c r="N644" s="23">
        <v>0</v>
      </c>
      <c r="O644" s="112">
        <f t="shared" si="141"/>
        <v>80055</v>
      </c>
      <c r="P644" s="33">
        <v>0.18</v>
      </c>
      <c r="Q644" s="119">
        <v>0</v>
      </c>
      <c r="R644" s="112">
        <f t="shared" ref="R644:R651" si="152">O644*9/100</f>
        <v>7204.95</v>
      </c>
      <c r="S644" s="112">
        <f t="shared" ref="S644:S651" si="153">O644*9/100</f>
        <v>7204.95</v>
      </c>
      <c r="T644" s="23">
        <v>0</v>
      </c>
      <c r="U644" s="112">
        <f t="shared" ref="U644:U651" si="154">O644+R644+S644</f>
        <v>94464.9</v>
      </c>
    </row>
    <row r="645" spans="1:21" ht="17.100000000000001" customHeight="1" x14ac:dyDescent="0.25">
      <c r="A645" s="20">
        <f>IF(C645="","",COUNTA($C$4:C645))</f>
        <v>642</v>
      </c>
      <c r="B645" s="20" t="str">
        <f t="shared" si="146"/>
        <v>March</v>
      </c>
      <c r="C645" s="45">
        <v>46098</v>
      </c>
      <c r="D645" s="31" t="s">
        <v>2961</v>
      </c>
      <c r="E645" s="105" t="s">
        <v>2962</v>
      </c>
      <c r="F645" s="26" t="s">
        <v>2963</v>
      </c>
      <c r="G645" s="157" t="s">
        <v>2964</v>
      </c>
      <c r="H645" s="106" t="s">
        <v>2965</v>
      </c>
      <c r="L645" s="23">
        <v>103300</v>
      </c>
      <c r="M645" s="23">
        <v>0</v>
      </c>
      <c r="N645" s="23">
        <v>0</v>
      </c>
      <c r="O645" s="112">
        <f t="shared" si="141"/>
        <v>103300</v>
      </c>
      <c r="P645" s="33">
        <v>0.18</v>
      </c>
      <c r="Q645" s="119">
        <v>0</v>
      </c>
      <c r="R645" s="112">
        <f t="shared" si="152"/>
        <v>9297</v>
      </c>
      <c r="S645" s="112">
        <f t="shared" si="153"/>
        <v>9297</v>
      </c>
      <c r="T645" s="23">
        <v>0</v>
      </c>
      <c r="U645" s="112">
        <f t="shared" si="154"/>
        <v>121894</v>
      </c>
    </row>
    <row r="646" spans="1:21" ht="17.100000000000001" customHeight="1" x14ac:dyDescent="0.25">
      <c r="A646" s="20">
        <f>IF(C646="","",COUNTA($C$4:C646))</f>
        <v>643</v>
      </c>
      <c r="B646" s="20" t="str">
        <f t="shared" si="146"/>
        <v>March</v>
      </c>
      <c r="C646" s="45">
        <v>46094</v>
      </c>
      <c r="D646" s="31" t="s">
        <v>2939</v>
      </c>
      <c r="E646" s="105" t="s">
        <v>2946</v>
      </c>
      <c r="F646" s="26" t="s">
        <v>2940</v>
      </c>
      <c r="G646" s="157" t="s">
        <v>151</v>
      </c>
      <c r="H646" s="106" t="s">
        <v>2942</v>
      </c>
      <c r="I646" s="159" t="s">
        <v>2349</v>
      </c>
      <c r="J646" s="22">
        <v>6390</v>
      </c>
      <c r="K646" s="22">
        <v>82.6</v>
      </c>
      <c r="L646" s="23">
        <f>J646*K646</f>
        <v>527814</v>
      </c>
      <c r="M646" s="23">
        <v>0</v>
      </c>
      <c r="N646" s="23">
        <v>0</v>
      </c>
      <c r="O646" s="112">
        <f t="shared" si="141"/>
        <v>527814</v>
      </c>
      <c r="P646" s="33">
        <v>0.18</v>
      </c>
      <c r="Q646" s="115">
        <v>0</v>
      </c>
      <c r="R646" s="112">
        <f t="shared" si="152"/>
        <v>47503.26</v>
      </c>
      <c r="S646" s="112">
        <f t="shared" si="153"/>
        <v>47503.26</v>
      </c>
      <c r="T646" s="23">
        <v>0</v>
      </c>
      <c r="U646" s="112">
        <f t="shared" si="154"/>
        <v>622820.52</v>
      </c>
    </row>
    <row r="647" spans="1:21" ht="17.100000000000001" customHeight="1" x14ac:dyDescent="0.25">
      <c r="A647" s="20">
        <f>IF(C647="","",COUNTA($C$4:C647))</f>
        <v>644</v>
      </c>
      <c r="B647" s="20" t="str">
        <f t="shared" si="146"/>
        <v>March</v>
      </c>
      <c r="C647" s="45">
        <v>46094</v>
      </c>
      <c r="D647" s="31" t="s">
        <v>2939</v>
      </c>
      <c r="E647" s="105" t="s">
        <v>2946</v>
      </c>
      <c r="F647" s="26" t="s">
        <v>2940</v>
      </c>
      <c r="G647" s="157" t="s">
        <v>151</v>
      </c>
      <c r="H647" s="106" t="s">
        <v>2943</v>
      </c>
      <c r="I647" s="159" t="s">
        <v>1145</v>
      </c>
      <c r="J647" s="22">
        <v>4765</v>
      </c>
      <c r="K647" s="22">
        <v>78.5</v>
      </c>
      <c r="L647" s="23">
        <f>J647*K647</f>
        <v>374052.5</v>
      </c>
      <c r="M647" s="23">
        <v>0</v>
      </c>
      <c r="N647" s="23">
        <v>0</v>
      </c>
      <c r="O647" s="112">
        <f t="shared" ref="O647:O658" si="155">L647+M647+N647</f>
        <v>374052.5</v>
      </c>
      <c r="P647" s="33">
        <v>0.18</v>
      </c>
      <c r="Q647" s="115">
        <v>0</v>
      </c>
      <c r="R647" s="112">
        <f t="shared" si="152"/>
        <v>33664.724999999999</v>
      </c>
      <c r="S647" s="112">
        <f t="shared" si="153"/>
        <v>33664.724999999999</v>
      </c>
      <c r="T647" s="23">
        <v>0</v>
      </c>
      <c r="U647" s="112">
        <f t="shared" si="154"/>
        <v>441381.94999999995</v>
      </c>
    </row>
    <row r="648" spans="1:21" ht="17.100000000000001" customHeight="1" x14ac:dyDescent="0.25">
      <c r="A648" s="20">
        <f>IF(C648="","",COUNTA($C$4:C648))</f>
        <v>645</v>
      </c>
      <c r="B648" s="20" t="str">
        <f t="shared" si="146"/>
        <v>March</v>
      </c>
      <c r="C648" s="45">
        <v>46101</v>
      </c>
      <c r="D648" s="31" t="s">
        <v>2970</v>
      </c>
      <c r="E648" s="105" t="s">
        <v>2971</v>
      </c>
      <c r="F648" s="26" t="s">
        <v>2972</v>
      </c>
      <c r="G648" s="157" t="s">
        <v>2973</v>
      </c>
      <c r="H648" s="106" t="s">
        <v>2974</v>
      </c>
      <c r="J648" s="22">
        <v>1</v>
      </c>
      <c r="K648" s="22">
        <v>25137</v>
      </c>
      <c r="L648" s="23">
        <f>J648*K648</f>
        <v>25137</v>
      </c>
      <c r="M648" s="23">
        <v>0</v>
      </c>
      <c r="N648" s="23">
        <v>0</v>
      </c>
      <c r="O648" s="112">
        <f t="shared" si="155"/>
        <v>25137</v>
      </c>
      <c r="P648" s="33">
        <v>0.18</v>
      </c>
      <c r="Q648" s="119">
        <v>0</v>
      </c>
      <c r="R648" s="112">
        <f t="shared" si="152"/>
        <v>2262.33</v>
      </c>
      <c r="S648" s="112">
        <f t="shared" si="153"/>
        <v>2262.33</v>
      </c>
      <c r="T648" s="23">
        <v>0</v>
      </c>
      <c r="U648" s="112">
        <f t="shared" si="154"/>
        <v>29661.660000000003</v>
      </c>
    </row>
    <row r="649" spans="1:21" ht="17.100000000000001" customHeight="1" x14ac:dyDescent="0.25">
      <c r="A649" s="20">
        <f>IF(C649="","",COUNTA($C$4:C649))</f>
        <v>646</v>
      </c>
      <c r="B649" s="20" t="str">
        <f t="shared" si="146"/>
        <v>March</v>
      </c>
      <c r="C649" s="45">
        <v>46106</v>
      </c>
      <c r="D649" s="31" t="s">
        <v>3055</v>
      </c>
      <c r="E649" s="105" t="s">
        <v>3056</v>
      </c>
      <c r="F649" s="26" t="s">
        <v>3057</v>
      </c>
      <c r="G649" s="157" t="s">
        <v>316</v>
      </c>
      <c r="H649" s="106" t="s">
        <v>2455</v>
      </c>
      <c r="L649" s="23">
        <v>37520</v>
      </c>
      <c r="M649" s="23">
        <v>0</v>
      </c>
      <c r="N649" s="23">
        <v>0</v>
      </c>
      <c r="O649" s="112">
        <f t="shared" si="155"/>
        <v>37520</v>
      </c>
      <c r="P649" s="33">
        <v>0.18</v>
      </c>
      <c r="Q649" s="119">
        <v>0</v>
      </c>
      <c r="R649" s="112">
        <f t="shared" si="152"/>
        <v>3376.8</v>
      </c>
      <c r="S649" s="112">
        <f t="shared" si="153"/>
        <v>3376.8</v>
      </c>
      <c r="T649" s="23">
        <v>0</v>
      </c>
      <c r="U649" s="112">
        <f t="shared" si="154"/>
        <v>44273.600000000006</v>
      </c>
    </row>
    <row r="650" spans="1:21" ht="17.100000000000001" customHeight="1" x14ac:dyDescent="0.25">
      <c r="A650" s="20">
        <f>IF(C650="","",COUNTA($C$4:C650))</f>
        <v>647</v>
      </c>
      <c r="B650" s="20" t="str">
        <f t="shared" si="146"/>
        <v>March</v>
      </c>
      <c r="C650" s="45">
        <v>46106</v>
      </c>
      <c r="D650" s="31" t="s">
        <v>3058</v>
      </c>
      <c r="E650" s="105" t="s">
        <v>3059</v>
      </c>
      <c r="F650" s="26" t="s">
        <v>2800</v>
      </c>
      <c r="G650" s="157" t="s">
        <v>254</v>
      </c>
      <c r="H650" s="106" t="s">
        <v>2914</v>
      </c>
      <c r="I650" s="159" t="s">
        <v>679</v>
      </c>
      <c r="J650" s="22">
        <v>14500</v>
      </c>
      <c r="K650" s="22">
        <v>6.5</v>
      </c>
      <c r="L650" s="23">
        <f t="shared" ref="L650:L658" si="156">J650*K650</f>
        <v>94250</v>
      </c>
      <c r="M650" s="23">
        <v>0</v>
      </c>
      <c r="N650" s="23">
        <v>0</v>
      </c>
      <c r="O650" s="112">
        <f t="shared" si="155"/>
        <v>94250</v>
      </c>
      <c r="P650" s="33">
        <v>0.18</v>
      </c>
      <c r="Q650" s="115">
        <v>0</v>
      </c>
      <c r="R650" s="112">
        <f t="shared" si="152"/>
        <v>8482.5</v>
      </c>
      <c r="S650" s="112">
        <f t="shared" si="153"/>
        <v>8482.5</v>
      </c>
      <c r="T650" s="23">
        <v>0</v>
      </c>
      <c r="U650" s="112">
        <f t="shared" si="154"/>
        <v>111215</v>
      </c>
    </row>
    <row r="651" spans="1:21" ht="17.100000000000001" customHeight="1" x14ac:dyDescent="0.25">
      <c r="A651" s="20">
        <f>IF(C651="","",COUNTA($C$4:C651))</f>
        <v>648</v>
      </c>
      <c r="B651" s="20" t="str">
        <f t="shared" si="146"/>
        <v>March</v>
      </c>
      <c r="C651" s="45">
        <v>46106</v>
      </c>
      <c r="D651" s="31" t="s">
        <v>3060</v>
      </c>
      <c r="E651" s="105" t="s">
        <v>3061</v>
      </c>
      <c r="F651" s="26" t="s">
        <v>3062</v>
      </c>
      <c r="G651" s="157" t="s">
        <v>254</v>
      </c>
      <c r="H651" s="106" t="s">
        <v>2914</v>
      </c>
      <c r="J651" s="22">
        <v>4000</v>
      </c>
      <c r="K651" s="22">
        <v>6.5</v>
      </c>
      <c r="L651" s="23">
        <f t="shared" si="156"/>
        <v>26000</v>
      </c>
      <c r="M651" s="23">
        <v>0</v>
      </c>
      <c r="N651" s="23">
        <v>0</v>
      </c>
      <c r="O651" s="112">
        <f t="shared" si="155"/>
        <v>26000</v>
      </c>
      <c r="P651" s="33">
        <v>0.18</v>
      </c>
      <c r="Q651" s="115">
        <v>0</v>
      </c>
      <c r="R651" s="112">
        <f t="shared" si="152"/>
        <v>2340</v>
      </c>
      <c r="S651" s="112">
        <f t="shared" si="153"/>
        <v>2340</v>
      </c>
      <c r="T651" s="23">
        <v>0</v>
      </c>
      <c r="U651" s="112">
        <f t="shared" si="154"/>
        <v>30680</v>
      </c>
    </row>
    <row r="652" spans="1:21" ht="17.100000000000001" customHeight="1" x14ac:dyDescent="0.25">
      <c r="A652" s="20">
        <f>IF(C652="","",COUNTA($C$4:C652))</f>
        <v>649</v>
      </c>
      <c r="B652" s="20" t="str">
        <f t="shared" si="146"/>
        <v>August</v>
      </c>
      <c r="C652" s="45">
        <v>45870</v>
      </c>
      <c r="D652" s="31" t="s">
        <v>1180</v>
      </c>
      <c r="E652" s="105" t="s">
        <v>1181</v>
      </c>
      <c r="F652" s="26" t="s">
        <v>1182</v>
      </c>
      <c r="G652" s="157" t="s">
        <v>109</v>
      </c>
      <c r="H652" s="106" t="s">
        <v>1184</v>
      </c>
      <c r="J652" s="22">
        <v>1320</v>
      </c>
      <c r="K652" s="22">
        <v>320</v>
      </c>
      <c r="L652" s="23">
        <f t="shared" si="156"/>
        <v>422400</v>
      </c>
      <c r="M652" s="23">
        <v>0</v>
      </c>
      <c r="N652" s="23">
        <v>0</v>
      </c>
      <c r="O652" s="112">
        <f t="shared" si="155"/>
        <v>422400</v>
      </c>
      <c r="P652" s="33">
        <v>0.18</v>
      </c>
      <c r="Q652" s="118">
        <f>O652*18/100</f>
        <v>76032</v>
      </c>
      <c r="R652" s="115">
        <v>0</v>
      </c>
      <c r="S652" s="115">
        <v>0</v>
      </c>
      <c r="T652" s="23">
        <v>0</v>
      </c>
      <c r="U652" s="112">
        <f>O652+Q652</f>
        <v>498432</v>
      </c>
    </row>
    <row r="653" spans="1:21" ht="17.100000000000001" customHeight="1" x14ac:dyDescent="0.25">
      <c r="A653" s="20">
        <f>IF(C653="","",COUNTA($C$4:C653))</f>
        <v>650</v>
      </c>
      <c r="B653" s="20" t="str">
        <f t="shared" si="146"/>
        <v>August</v>
      </c>
      <c r="C653" s="45">
        <v>45870</v>
      </c>
      <c r="D653" s="31" t="s">
        <v>1180</v>
      </c>
      <c r="E653" s="105" t="s">
        <v>1181</v>
      </c>
      <c r="F653" s="26" t="s">
        <v>1182</v>
      </c>
      <c r="G653" s="157" t="s">
        <v>109</v>
      </c>
      <c r="H653" s="106" t="s">
        <v>1185</v>
      </c>
      <c r="J653" s="22">
        <v>120</v>
      </c>
      <c r="K653" s="22">
        <v>540</v>
      </c>
      <c r="L653" s="23">
        <f t="shared" si="156"/>
        <v>64800</v>
      </c>
      <c r="M653" s="23">
        <v>0</v>
      </c>
      <c r="N653" s="23">
        <v>0</v>
      </c>
      <c r="O653" s="112">
        <f t="shared" si="155"/>
        <v>64800</v>
      </c>
      <c r="P653" s="33">
        <v>0.18</v>
      </c>
      <c r="Q653" s="118">
        <f>O653*18/100</f>
        <v>11664</v>
      </c>
      <c r="R653" s="115">
        <v>0</v>
      </c>
      <c r="S653" s="115">
        <v>0</v>
      </c>
      <c r="T653" s="23">
        <v>0</v>
      </c>
      <c r="U653" s="112">
        <f>O653+Q653</f>
        <v>76464</v>
      </c>
    </row>
    <row r="654" spans="1:21" ht="17.100000000000001" customHeight="1" x14ac:dyDescent="0.25">
      <c r="A654" s="20">
        <f>IF(C654="","",COUNTA($C$4:C654))</f>
        <v>651</v>
      </c>
      <c r="B654" s="20" t="str">
        <f t="shared" si="146"/>
        <v>March</v>
      </c>
      <c r="C654" s="45">
        <v>46094</v>
      </c>
      <c r="D654" s="31" t="s">
        <v>2939</v>
      </c>
      <c r="E654" s="105" t="s">
        <v>2946</v>
      </c>
      <c r="F654" s="26" t="s">
        <v>2940</v>
      </c>
      <c r="G654" s="157" t="s">
        <v>151</v>
      </c>
      <c r="H654" s="106" t="s">
        <v>2944</v>
      </c>
      <c r="I654" s="159" t="s">
        <v>160</v>
      </c>
      <c r="J654" s="22">
        <v>10888</v>
      </c>
      <c r="K654" s="22">
        <v>78.5</v>
      </c>
      <c r="L654" s="23">
        <f t="shared" si="156"/>
        <v>854708</v>
      </c>
      <c r="M654" s="23">
        <v>0</v>
      </c>
      <c r="N654" s="23">
        <v>0</v>
      </c>
      <c r="O654" s="112">
        <f t="shared" si="155"/>
        <v>854708</v>
      </c>
      <c r="P654" s="33">
        <v>0.18</v>
      </c>
      <c r="Q654" s="115">
        <v>0</v>
      </c>
      <c r="R654" s="112">
        <f>O654*9/100</f>
        <v>76923.72</v>
      </c>
      <c r="S654" s="112">
        <f>O654*9/100</f>
        <v>76923.72</v>
      </c>
      <c r="T654" s="23">
        <v>0</v>
      </c>
      <c r="U654" s="112">
        <f>O654+R654+S654</f>
        <v>1008555.44</v>
      </c>
    </row>
    <row r="655" spans="1:21" ht="17.100000000000001" customHeight="1" x14ac:dyDescent="0.25">
      <c r="A655" s="20">
        <f>IF(C655="","",COUNTA($C$4:C655))</f>
        <v>652</v>
      </c>
      <c r="B655" s="20" t="str">
        <f t="shared" si="146"/>
        <v>March</v>
      </c>
      <c r="C655" s="45">
        <v>46109</v>
      </c>
      <c r="D655" s="31" t="s">
        <v>3070</v>
      </c>
      <c r="E655" s="105" t="s">
        <v>3071</v>
      </c>
      <c r="F655" s="26" t="s">
        <v>3072</v>
      </c>
      <c r="G655" s="157" t="s">
        <v>3073</v>
      </c>
      <c r="H655" s="106" t="s">
        <v>3074</v>
      </c>
      <c r="J655" s="22">
        <v>1</v>
      </c>
      <c r="K655" s="22">
        <v>130000</v>
      </c>
      <c r="L655" s="23">
        <f t="shared" si="156"/>
        <v>130000</v>
      </c>
      <c r="M655" s="23">
        <v>0</v>
      </c>
      <c r="N655" s="23">
        <v>0</v>
      </c>
      <c r="O655" s="112">
        <f t="shared" si="155"/>
        <v>130000</v>
      </c>
      <c r="P655" s="33">
        <v>0.18</v>
      </c>
      <c r="Q655" s="119">
        <f>O655*18/100</f>
        <v>23400</v>
      </c>
      <c r="R655" s="115">
        <v>0</v>
      </c>
      <c r="S655" s="115">
        <v>0</v>
      </c>
      <c r="T655" s="23">
        <v>0</v>
      </c>
      <c r="U655" s="112">
        <f>O655+Q655</f>
        <v>153400</v>
      </c>
    </row>
    <row r="656" spans="1:21" ht="17.100000000000001" customHeight="1" x14ac:dyDescent="0.25">
      <c r="A656" s="20">
        <f>IF(C656="","",COUNTA($C$4:C656))</f>
        <v>653</v>
      </c>
      <c r="B656" s="20" t="str">
        <f t="shared" si="146"/>
        <v>March</v>
      </c>
      <c r="C656" s="45">
        <v>46111</v>
      </c>
      <c r="D656" s="31" t="s">
        <v>3075</v>
      </c>
      <c r="E656" s="105" t="s">
        <v>3076</v>
      </c>
      <c r="F656" s="26" t="s">
        <v>3064</v>
      </c>
      <c r="G656" s="157" t="s">
        <v>746</v>
      </c>
      <c r="H656" s="106" t="s">
        <v>3077</v>
      </c>
      <c r="J656" s="22">
        <v>16.8</v>
      </c>
      <c r="K656" s="22">
        <v>192</v>
      </c>
      <c r="L656" s="23">
        <f t="shared" si="156"/>
        <v>3225.6000000000004</v>
      </c>
      <c r="M656" s="23">
        <v>8500</v>
      </c>
      <c r="N656" s="23">
        <v>0</v>
      </c>
      <c r="O656" s="112">
        <f t="shared" si="155"/>
        <v>11725.6</v>
      </c>
      <c r="P656" s="33">
        <v>0.18</v>
      </c>
      <c r="Q656" s="115">
        <v>0</v>
      </c>
      <c r="R656" s="112">
        <f>O656*9/100</f>
        <v>1055.3040000000001</v>
      </c>
      <c r="S656" s="112">
        <f>O656*9/100</f>
        <v>1055.3040000000001</v>
      </c>
      <c r="T656" s="23">
        <v>0</v>
      </c>
      <c r="U656" s="112">
        <f>O656+R656+S656</f>
        <v>13836.208000000001</v>
      </c>
    </row>
    <row r="657" spans="1:21" ht="17.100000000000001" customHeight="1" x14ac:dyDescent="0.25">
      <c r="A657" s="20">
        <f>IF(C657="","",COUNTA($C$4:C657))</f>
        <v>654</v>
      </c>
      <c r="B657" s="20" t="str">
        <f t="shared" si="146"/>
        <v>March</v>
      </c>
      <c r="C657" s="45">
        <v>46111</v>
      </c>
      <c r="D657" s="31" t="s">
        <v>3075</v>
      </c>
      <c r="E657" s="105" t="s">
        <v>3076</v>
      </c>
      <c r="F657" s="26" t="s">
        <v>3064</v>
      </c>
      <c r="G657" s="157" t="s">
        <v>746</v>
      </c>
      <c r="H657" s="106" t="s">
        <v>3078</v>
      </c>
      <c r="J657" s="22">
        <v>756</v>
      </c>
      <c r="K657" s="22">
        <v>454</v>
      </c>
      <c r="L657" s="23">
        <f t="shared" si="156"/>
        <v>343224</v>
      </c>
      <c r="M657" s="23">
        <v>0</v>
      </c>
      <c r="N657" s="23">
        <v>0</v>
      </c>
      <c r="O657" s="112">
        <f t="shared" si="155"/>
        <v>343224</v>
      </c>
      <c r="P657" s="33">
        <v>0.18</v>
      </c>
      <c r="Q657" s="115">
        <v>0</v>
      </c>
      <c r="R657" s="112">
        <f>O657*9/100</f>
        <v>30890.16</v>
      </c>
      <c r="S657" s="112">
        <f>O657*9/100</f>
        <v>30890.16</v>
      </c>
      <c r="T657" s="23">
        <v>0</v>
      </c>
      <c r="U657" s="112">
        <f>O657+R657+S657</f>
        <v>405004.31999999995</v>
      </c>
    </row>
    <row r="658" spans="1:21" ht="17.100000000000001" customHeight="1" x14ac:dyDescent="0.25">
      <c r="A658" s="20">
        <f>IF(C658="","",COUNTA($C$4:C658))</f>
        <v>655</v>
      </c>
      <c r="B658" s="20" t="str">
        <f t="shared" si="146"/>
        <v>December</v>
      </c>
      <c r="C658" s="45">
        <v>46018</v>
      </c>
      <c r="D658" s="131" t="s">
        <v>2434</v>
      </c>
      <c r="E658" s="105" t="s">
        <v>2435</v>
      </c>
      <c r="F658" s="26" t="s">
        <v>2436</v>
      </c>
      <c r="G658" s="157" t="s">
        <v>2437</v>
      </c>
      <c r="H658" s="106" t="s">
        <v>2438</v>
      </c>
      <c r="J658" s="22">
        <v>474</v>
      </c>
      <c r="K658" s="22">
        <v>320</v>
      </c>
      <c r="L658" s="23">
        <f t="shared" si="156"/>
        <v>151680</v>
      </c>
      <c r="M658" s="23">
        <v>14000</v>
      </c>
      <c r="N658" s="23">
        <v>0</v>
      </c>
      <c r="O658" s="112">
        <f t="shared" si="155"/>
        <v>165680</v>
      </c>
      <c r="P658" s="33">
        <v>0.18</v>
      </c>
      <c r="Q658" s="118">
        <f>O658*18/100</f>
        <v>29822.400000000001</v>
      </c>
      <c r="R658" s="115">
        <v>0</v>
      </c>
      <c r="S658" s="115">
        <v>0</v>
      </c>
      <c r="T658" s="23">
        <v>0</v>
      </c>
      <c r="U658" s="112">
        <f>O658+Q658</f>
        <v>195502.4</v>
      </c>
    </row>
    <row r="659" spans="1:21" ht="17.100000000000001" customHeight="1" x14ac:dyDescent="0.25">
      <c r="A659" s="20">
        <f>IF(C659="","",COUNTA($C$4:C659))</f>
        <v>656</v>
      </c>
      <c r="B659" s="20" t="str">
        <f t="shared" ref="B659:B728" si="157">IF(C659="","",TEXT(C659,"mmmm"))</f>
        <v>March</v>
      </c>
      <c r="C659" s="45">
        <v>46111</v>
      </c>
      <c r="D659" s="31" t="s">
        <v>3080</v>
      </c>
      <c r="E659" s="105" t="s">
        <v>3081</v>
      </c>
      <c r="F659" s="26" t="s">
        <v>3082</v>
      </c>
      <c r="G659" s="157" t="s">
        <v>3086</v>
      </c>
      <c r="H659" s="106" t="s">
        <v>3083</v>
      </c>
      <c r="L659" s="23">
        <v>805084.9</v>
      </c>
      <c r="M659" s="23">
        <v>0</v>
      </c>
      <c r="N659" s="23">
        <v>0</v>
      </c>
      <c r="O659" s="112">
        <f t="shared" ref="O659:O662" si="158">L659+M659+N659</f>
        <v>805084.9</v>
      </c>
      <c r="P659" s="33">
        <v>0.18</v>
      </c>
      <c r="Q659" s="115">
        <v>0</v>
      </c>
      <c r="R659" s="112">
        <f t="shared" ref="R659:R662" si="159">O659*9/100</f>
        <v>72457.641000000003</v>
      </c>
      <c r="S659" s="112">
        <f t="shared" ref="S659:S662" si="160">O659*9/100</f>
        <v>72457.641000000003</v>
      </c>
      <c r="T659" s="23">
        <v>0</v>
      </c>
      <c r="U659" s="112">
        <f t="shared" ref="U659:U662" si="161">O659+R659+S659</f>
        <v>950000.18200000003</v>
      </c>
    </row>
    <row r="660" spans="1:21" ht="17.100000000000001" customHeight="1" x14ac:dyDescent="0.25">
      <c r="A660" s="20">
        <f>IF(C660="","",COUNTA($C$4:C660))</f>
        <v>657</v>
      </c>
      <c r="B660" s="20" t="str">
        <f t="shared" si="157"/>
        <v>March</v>
      </c>
      <c r="C660" s="45">
        <v>46112</v>
      </c>
      <c r="D660" s="31" t="s">
        <v>3084</v>
      </c>
      <c r="E660" s="105" t="s">
        <v>3088</v>
      </c>
      <c r="F660" s="26" t="s">
        <v>3085</v>
      </c>
      <c r="G660" s="157" t="s">
        <v>3086</v>
      </c>
      <c r="H660" s="106" t="s">
        <v>3087</v>
      </c>
      <c r="L660" s="23">
        <v>39720</v>
      </c>
      <c r="M660" s="23">
        <v>0</v>
      </c>
      <c r="N660" s="23">
        <v>0</v>
      </c>
      <c r="O660" s="112">
        <f t="shared" si="158"/>
        <v>39720</v>
      </c>
      <c r="P660" s="33">
        <v>0.18</v>
      </c>
      <c r="Q660" s="115">
        <v>0</v>
      </c>
      <c r="R660" s="112">
        <f t="shared" si="159"/>
        <v>3574.8</v>
      </c>
      <c r="S660" s="112">
        <f t="shared" si="160"/>
        <v>3574.8</v>
      </c>
      <c r="T660" s="23">
        <v>0</v>
      </c>
      <c r="U660" s="112">
        <f t="shared" si="161"/>
        <v>46869.600000000006</v>
      </c>
    </row>
    <row r="661" spans="1:21" ht="17.100000000000001" customHeight="1" thickBot="1" x14ac:dyDescent="0.3">
      <c r="A661" s="20">
        <f>IF(C661="","",COUNTA($C$4:C661))</f>
        <v>658</v>
      </c>
      <c r="B661" s="20" t="str">
        <f t="shared" si="157"/>
        <v>March</v>
      </c>
      <c r="C661" s="45">
        <v>46112</v>
      </c>
      <c r="D661" s="31" t="s">
        <v>3089</v>
      </c>
      <c r="E661" s="105" t="s">
        <v>3090</v>
      </c>
      <c r="F661" s="26" t="s">
        <v>3091</v>
      </c>
      <c r="G661" s="157" t="s">
        <v>3086</v>
      </c>
      <c r="H661" s="106" t="s">
        <v>3092</v>
      </c>
      <c r="L661" s="23">
        <v>494000</v>
      </c>
      <c r="M661" s="23">
        <v>0</v>
      </c>
      <c r="N661" s="23">
        <v>0</v>
      </c>
      <c r="O661" s="112">
        <f t="shared" si="158"/>
        <v>494000</v>
      </c>
      <c r="P661" s="33">
        <v>0.18</v>
      </c>
      <c r="Q661" s="119">
        <v>0</v>
      </c>
      <c r="R661" s="112">
        <f t="shared" si="159"/>
        <v>44460</v>
      </c>
      <c r="S661" s="112">
        <f t="shared" si="160"/>
        <v>44460</v>
      </c>
      <c r="T661" s="23">
        <v>0</v>
      </c>
      <c r="U661" s="112">
        <f t="shared" si="161"/>
        <v>582920</v>
      </c>
    </row>
    <row r="662" spans="1:21" ht="17.100000000000001" customHeight="1" thickBot="1" x14ac:dyDescent="0.3">
      <c r="A662" s="162">
        <f>IF(C662="","",COUNTA($C$4:C662))</f>
        <v>659</v>
      </c>
      <c r="B662" s="163" t="str">
        <f t="shared" si="157"/>
        <v>March</v>
      </c>
      <c r="C662" s="164">
        <v>46112</v>
      </c>
      <c r="D662" s="165" t="s">
        <v>3093</v>
      </c>
      <c r="E662" s="166" t="s">
        <v>3094</v>
      </c>
      <c r="F662" s="167"/>
      <c r="G662" s="168" t="s">
        <v>206</v>
      </c>
      <c r="H662" s="169" t="s">
        <v>2142</v>
      </c>
      <c r="I662" s="170"/>
      <c r="J662" s="171"/>
      <c r="K662" s="171"/>
      <c r="L662" s="172">
        <v>56800</v>
      </c>
      <c r="M662" s="172">
        <v>0</v>
      </c>
      <c r="N662" s="172">
        <v>0</v>
      </c>
      <c r="O662" s="173">
        <f t="shared" si="158"/>
        <v>56800</v>
      </c>
      <c r="P662" s="174">
        <v>0.18</v>
      </c>
      <c r="Q662" s="175">
        <v>0</v>
      </c>
      <c r="R662" s="173">
        <f t="shared" si="159"/>
        <v>5112</v>
      </c>
      <c r="S662" s="173">
        <f t="shared" si="160"/>
        <v>5112</v>
      </c>
      <c r="T662" s="172">
        <v>0</v>
      </c>
      <c r="U662" s="176">
        <f t="shared" si="161"/>
        <v>67024</v>
      </c>
    </row>
    <row r="663" spans="1:21" ht="17.100000000000001" customHeight="1" x14ac:dyDescent="0.25">
      <c r="A663" s="20" t="str">
        <f>IF(C663="","",COUNTA($C$4:C663))</f>
        <v/>
      </c>
      <c r="B663" s="20" t="str">
        <f t="shared" si="157"/>
        <v/>
      </c>
      <c r="C663" s="45"/>
      <c r="D663" s="31"/>
      <c r="E663" s="105"/>
      <c r="F663" s="26"/>
      <c r="G663" s="26"/>
      <c r="L663" s="23"/>
      <c r="M663" s="23"/>
      <c r="N663" s="23"/>
      <c r="O663" s="112"/>
      <c r="P663" s="33"/>
      <c r="Q663" s="115"/>
      <c r="R663" s="112"/>
      <c r="S663" s="112"/>
      <c r="T663" s="23"/>
      <c r="U663" s="112"/>
    </row>
    <row r="664" spans="1:21" ht="17.100000000000001" customHeight="1" x14ac:dyDescent="0.25">
      <c r="A664" s="20" t="str">
        <f>IF(C664="","",COUNTA($C$4:C664))</f>
        <v/>
      </c>
      <c r="B664" s="20" t="str">
        <f t="shared" si="157"/>
        <v/>
      </c>
      <c r="C664" s="45"/>
      <c r="D664" s="31"/>
      <c r="E664" s="105"/>
      <c r="F664" s="26"/>
      <c r="G664" s="26"/>
      <c r="L664" s="23"/>
      <c r="M664" s="23"/>
      <c r="N664" s="23"/>
      <c r="O664" s="112"/>
      <c r="P664" s="33"/>
      <c r="Q664" s="115"/>
      <c r="R664" s="112"/>
      <c r="S664" s="112"/>
      <c r="T664" s="23"/>
      <c r="U664" s="112"/>
    </row>
    <row r="665" spans="1:21" ht="17.100000000000001" customHeight="1" x14ac:dyDescent="0.25">
      <c r="A665" s="20" t="str">
        <f>IF(C665="","",COUNTA($C$4:C665))</f>
        <v/>
      </c>
      <c r="B665" s="20" t="str">
        <f t="shared" si="157"/>
        <v/>
      </c>
      <c r="C665" s="45"/>
      <c r="D665" s="31"/>
      <c r="E665" s="105"/>
      <c r="F665" s="26"/>
      <c r="G665" s="26"/>
      <c r="L665" s="23"/>
      <c r="M665" s="23"/>
      <c r="N665" s="23"/>
      <c r="O665" s="112"/>
      <c r="P665" s="33"/>
      <c r="Q665" s="115"/>
      <c r="R665" s="112"/>
      <c r="S665" s="112"/>
      <c r="T665" s="23"/>
      <c r="U665" s="112"/>
    </row>
    <row r="666" spans="1:21" ht="17.100000000000001" customHeight="1" x14ac:dyDescent="0.25">
      <c r="A666" s="20" t="str">
        <f>IF(C666="","",COUNTA($C$4:C666))</f>
        <v/>
      </c>
      <c r="B666" s="20" t="str">
        <f t="shared" si="157"/>
        <v/>
      </c>
      <c r="C666" s="45"/>
      <c r="D666" s="31"/>
      <c r="E666" s="105"/>
      <c r="F666" s="26"/>
      <c r="G666" s="26"/>
      <c r="L666" s="23"/>
      <c r="M666" s="23"/>
      <c r="N666" s="23"/>
      <c r="O666" s="112"/>
      <c r="P666" s="33"/>
      <c r="Q666" s="115"/>
      <c r="R666" s="112"/>
      <c r="S666" s="112"/>
      <c r="T666" s="23"/>
      <c r="U666" s="112"/>
    </row>
    <row r="667" spans="1:21" ht="17.100000000000001" customHeight="1" x14ac:dyDescent="0.25">
      <c r="A667" s="20" t="str">
        <f>IF(C667="","",COUNTA($C$4:C667))</f>
        <v/>
      </c>
      <c r="B667" s="20" t="str">
        <f t="shared" si="157"/>
        <v/>
      </c>
      <c r="C667" s="45"/>
      <c r="D667" s="101"/>
      <c r="E667" s="105"/>
      <c r="F667" s="26"/>
      <c r="G667" s="26"/>
      <c r="L667" s="23"/>
      <c r="M667" s="23"/>
      <c r="N667" s="23"/>
      <c r="O667" s="112"/>
      <c r="P667" s="33"/>
      <c r="Q667" s="115"/>
      <c r="R667" s="112"/>
      <c r="S667" s="112"/>
      <c r="T667" s="23"/>
      <c r="U667" s="112"/>
    </row>
    <row r="668" spans="1:21" ht="17.100000000000001" customHeight="1" x14ac:dyDescent="0.25">
      <c r="A668" s="20" t="str">
        <f>IF(C668="","",COUNTA($C$4:C668))</f>
        <v/>
      </c>
      <c r="B668" s="20" t="str">
        <f t="shared" si="157"/>
        <v/>
      </c>
      <c r="C668" s="45"/>
      <c r="D668" s="101"/>
      <c r="E668" s="105"/>
      <c r="F668" s="26"/>
      <c r="G668" s="26"/>
      <c r="L668" s="23"/>
      <c r="M668" s="23"/>
      <c r="N668" s="23"/>
      <c r="O668" s="112"/>
      <c r="P668" s="33"/>
      <c r="Q668" s="115"/>
      <c r="R668" s="112"/>
      <c r="S668" s="112"/>
      <c r="T668" s="23"/>
      <c r="U668" s="112"/>
    </row>
    <row r="669" spans="1:21" ht="17.100000000000001" customHeight="1" x14ac:dyDescent="0.25">
      <c r="A669" s="20" t="str">
        <f>IF(C669="","",COUNTA($C$4:C669))</f>
        <v/>
      </c>
      <c r="B669" s="20" t="str">
        <f t="shared" si="157"/>
        <v/>
      </c>
      <c r="C669" s="45"/>
      <c r="D669" s="101"/>
      <c r="E669" s="105"/>
      <c r="F669" s="26"/>
      <c r="G669" s="26"/>
      <c r="L669" s="23"/>
      <c r="M669" s="23"/>
      <c r="N669" s="23"/>
      <c r="O669" s="112"/>
      <c r="P669" s="33"/>
      <c r="Q669" s="115"/>
      <c r="R669" s="112"/>
      <c r="S669" s="112"/>
      <c r="T669" s="23"/>
      <c r="U669" s="112"/>
    </row>
    <row r="670" spans="1:21" ht="17.100000000000001" customHeight="1" x14ac:dyDescent="0.25">
      <c r="A670" s="20" t="str">
        <f>IF(C670="","",COUNTA($C$4:C670))</f>
        <v/>
      </c>
      <c r="B670" s="20" t="str">
        <f t="shared" si="157"/>
        <v/>
      </c>
      <c r="C670" s="45"/>
      <c r="D670" s="31"/>
      <c r="E670" s="105"/>
      <c r="F670" s="26"/>
      <c r="G670" s="26"/>
      <c r="L670" s="23"/>
      <c r="M670" s="23"/>
      <c r="N670" s="23"/>
      <c r="O670" s="112"/>
      <c r="P670" s="33"/>
      <c r="Q670" s="115"/>
      <c r="R670" s="112"/>
      <c r="S670" s="112"/>
      <c r="T670" s="23"/>
      <c r="U670" s="112"/>
    </row>
    <row r="671" spans="1:21" ht="17.100000000000001" customHeight="1" x14ac:dyDescent="0.25">
      <c r="A671" s="20" t="str">
        <f>IF(C671="","",COUNTA($C$4:C671))</f>
        <v/>
      </c>
      <c r="B671" s="20" t="str">
        <f t="shared" si="157"/>
        <v/>
      </c>
      <c r="C671" s="45"/>
      <c r="D671" s="31"/>
      <c r="E671" s="105"/>
      <c r="F671" s="26"/>
      <c r="G671" s="26"/>
      <c r="L671" s="23"/>
      <c r="M671" s="23"/>
      <c r="N671" s="23"/>
      <c r="O671" s="112"/>
      <c r="P671" s="33"/>
      <c r="Q671" s="115"/>
      <c r="R671" s="112"/>
      <c r="S671" s="112"/>
      <c r="T671" s="23"/>
      <c r="U671" s="112"/>
    </row>
    <row r="672" spans="1:21" ht="17.100000000000001" customHeight="1" x14ac:dyDescent="0.25">
      <c r="A672" s="20" t="str">
        <f>IF(C672="","",COUNTA($C$4:C672))</f>
        <v/>
      </c>
      <c r="B672" s="20" t="str">
        <f t="shared" si="157"/>
        <v/>
      </c>
      <c r="C672" s="45"/>
      <c r="D672" s="31"/>
      <c r="E672" s="105"/>
      <c r="F672" s="26"/>
      <c r="G672" s="26"/>
      <c r="L672" s="23"/>
      <c r="M672" s="23"/>
      <c r="N672" s="23"/>
      <c r="O672" s="112"/>
      <c r="P672" s="33"/>
      <c r="Q672" s="115"/>
      <c r="R672" s="112"/>
      <c r="S672" s="112"/>
      <c r="T672" s="23"/>
      <c r="U672" s="112"/>
    </row>
    <row r="673" spans="1:21" ht="17.100000000000001" customHeight="1" x14ac:dyDescent="0.25">
      <c r="A673" s="20" t="str">
        <f>IF(C673="","",COUNTA($C$4:C673))</f>
        <v/>
      </c>
      <c r="B673" s="20" t="str">
        <f t="shared" si="157"/>
        <v/>
      </c>
      <c r="C673" s="45"/>
      <c r="D673" s="31"/>
      <c r="E673" s="105"/>
      <c r="F673" s="26"/>
      <c r="G673" s="26"/>
      <c r="L673" s="23"/>
      <c r="M673" s="23"/>
      <c r="N673" s="23"/>
      <c r="O673" s="112"/>
      <c r="P673" s="33"/>
      <c r="Q673" s="115"/>
      <c r="R673" s="112"/>
      <c r="S673" s="112"/>
      <c r="T673" s="23"/>
      <c r="U673" s="112"/>
    </row>
    <row r="674" spans="1:21" ht="17.100000000000001" customHeight="1" x14ac:dyDescent="0.25">
      <c r="A674" s="20" t="str">
        <f>IF(C674="","",COUNTA($C$4:C674))</f>
        <v/>
      </c>
      <c r="B674" s="20" t="str">
        <f t="shared" si="157"/>
        <v/>
      </c>
      <c r="C674" s="45"/>
      <c r="D674" s="31"/>
      <c r="E674" s="105"/>
      <c r="F674" s="26"/>
      <c r="G674" s="26"/>
      <c r="L674" s="23"/>
      <c r="M674" s="23"/>
      <c r="N674" s="23"/>
      <c r="O674" s="112"/>
      <c r="P674" s="33"/>
      <c r="Q674" s="115"/>
      <c r="R674" s="112"/>
      <c r="S674" s="112"/>
      <c r="T674" s="23"/>
      <c r="U674" s="112"/>
    </row>
    <row r="675" spans="1:21" ht="17.100000000000001" customHeight="1" x14ac:dyDescent="0.25">
      <c r="A675" s="20" t="str">
        <f>IF(C675="","",COUNTA($C$4:C675))</f>
        <v/>
      </c>
      <c r="B675" s="20" t="str">
        <f t="shared" si="157"/>
        <v/>
      </c>
      <c r="C675" s="45"/>
      <c r="D675" s="31"/>
      <c r="E675" s="105"/>
      <c r="F675" s="26"/>
      <c r="G675" s="26"/>
      <c r="L675" s="23"/>
      <c r="M675" s="23"/>
      <c r="N675" s="23"/>
      <c r="O675" s="112"/>
      <c r="P675" s="33"/>
      <c r="Q675" s="115"/>
      <c r="R675" s="112"/>
      <c r="S675" s="112"/>
      <c r="T675" s="23"/>
      <c r="U675" s="112"/>
    </row>
    <row r="676" spans="1:21" ht="17.100000000000001" customHeight="1" x14ac:dyDescent="0.25">
      <c r="A676" s="20" t="str">
        <f>IF(C676="","",COUNTA($C$4:C676))</f>
        <v/>
      </c>
      <c r="B676" s="20" t="str">
        <f t="shared" si="157"/>
        <v/>
      </c>
      <c r="C676" s="45"/>
      <c r="D676" s="31"/>
      <c r="E676" s="105"/>
      <c r="F676" s="26"/>
      <c r="G676" s="26"/>
      <c r="L676" s="23"/>
      <c r="M676" s="23"/>
      <c r="N676" s="23"/>
      <c r="O676" s="112"/>
      <c r="P676" s="33"/>
      <c r="Q676" s="115"/>
      <c r="R676" s="112"/>
      <c r="S676" s="112"/>
      <c r="T676" s="23"/>
      <c r="U676" s="112"/>
    </row>
    <row r="677" spans="1:21" ht="17.100000000000001" customHeight="1" x14ac:dyDescent="0.25">
      <c r="A677" s="20" t="str">
        <f>IF(C677="","",COUNTA($C$4:C677))</f>
        <v/>
      </c>
      <c r="B677" s="20" t="str">
        <f t="shared" si="157"/>
        <v/>
      </c>
      <c r="C677" s="45"/>
      <c r="D677" s="31"/>
      <c r="E677" s="105"/>
      <c r="F677" s="26"/>
      <c r="G677" s="26"/>
      <c r="L677" s="23"/>
      <c r="M677" s="23"/>
      <c r="N677" s="23"/>
      <c r="O677" s="112"/>
      <c r="P677" s="33"/>
      <c r="Q677" s="115"/>
      <c r="R677" s="112"/>
      <c r="S677" s="112"/>
      <c r="T677" s="23"/>
      <c r="U677" s="112"/>
    </row>
    <row r="678" spans="1:21" ht="17.100000000000001" customHeight="1" x14ac:dyDescent="0.25">
      <c r="A678" s="20" t="str">
        <f>IF(C678="","",COUNTA($C$4:C678))</f>
        <v/>
      </c>
      <c r="B678" s="20" t="str">
        <f t="shared" si="157"/>
        <v/>
      </c>
      <c r="C678" s="45"/>
      <c r="D678" s="31"/>
      <c r="E678" s="105"/>
      <c r="F678" s="26"/>
      <c r="G678" s="26"/>
      <c r="L678" s="23"/>
      <c r="M678" s="23"/>
      <c r="N678" s="23"/>
      <c r="O678" s="112"/>
      <c r="P678" s="33"/>
      <c r="Q678" s="115"/>
      <c r="R678" s="112"/>
      <c r="S678" s="112"/>
      <c r="T678" s="23"/>
      <c r="U678" s="112"/>
    </row>
    <row r="679" spans="1:21" ht="17.100000000000001" customHeight="1" x14ac:dyDescent="0.25">
      <c r="A679" s="20" t="str">
        <f>IF(C679="","",COUNTA($C$4:C679))</f>
        <v/>
      </c>
      <c r="B679" s="20" t="str">
        <f t="shared" si="157"/>
        <v/>
      </c>
      <c r="C679" s="45"/>
      <c r="D679" s="31"/>
      <c r="E679" s="105"/>
      <c r="F679" s="26"/>
      <c r="G679" s="26"/>
      <c r="L679" s="23"/>
      <c r="M679" s="23"/>
      <c r="N679" s="23"/>
      <c r="O679" s="112"/>
      <c r="P679" s="33"/>
      <c r="Q679" s="115"/>
      <c r="R679" s="112"/>
      <c r="S679" s="112"/>
      <c r="T679" s="23"/>
      <c r="U679" s="112"/>
    </row>
    <row r="680" spans="1:21" ht="17.100000000000001" customHeight="1" x14ac:dyDescent="0.25">
      <c r="A680" s="20" t="str">
        <f>IF(C680="","",COUNTA($C$4:C680))</f>
        <v/>
      </c>
      <c r="B680" s="20" t="str">
        <f t="shared" si="157"/>
        <v/>
      </c>
      <c r="C680" s="45"/>
      <c r="D680" s="31"/>
      <c r="E680" s="105"/>
      <c r="F680" s="26"/>
      <c r="G680" s="26"/>
      <c r="L680" s="23"/>
      <c r="M680" s="23"/>
      <c r="N680" s="23"/>
      <c r="O680" s="112"/>
      <c r="P680" s="33"/>
      <c r="Q680" s="115"/>
      <c r="R680" s="112"/>
      <c r="S680" s="112"/>
      <c r="T680" s="23"/>
      <c r="U680" s="112"/>
    </row>
    <row r="681" spans="1:21" ht="17.100000000000001" customHeight="1" x14ac:dyDescent="0.25">
      <c r="A681" s="20" t="str">
        <f>IF(C681="","",COUNTA($C$4:C681))</f>
        <v/>
      </c>
      <c r="B681" s="20" t="str">
        <f t="shared" si="157"/>
        <v/>
      </c>
      <c r="C681" s="45"/>
      <c r="D681" s="31"/>
      <c r="E681" s="105"/>
      <c r="F681" s="26"/>
      <c r="G681" s="26"/>
      <c r="L681" s="23"/>
      <c r="M681" s="23"/>
      <c r="N681" s="23"/>
      <c r="O681" s="112"/>
      <c r="P681" s="33"/>
      <c r="Q681" s="115"/>
      <c r="R681" s="112"/>
      <c r="S681" s="112"/>
      <c r="T681" s="23"/>
      <c r="U681" s="112"/>
    </row>
    <row r="682" spans="1:21" ht="17.100000000000001" customHeight="1" x14ac:dyDescent="0.25">
      <c r="A682" s="20" t="str">
        <f>IF(C682="","",COUNTA($C$4:C682))</f>
        <v/>
      </c>
      <c r="B682" s="20" t="str">
        <f t="shared" si="157"/>
        <v/>
      </c>
      <c r="C682" s="45"/>
      <c r="D682" s="31"/>
      <c r="E682" s="105"/>
      <c r="F682" s="26"/>
      <c r="G682" s="26"/>
      <c r="L682" s="23"/>
      <c r="M682" s="23"/>
      <c r="N682" s="23"/>
      <c r="O682" s="112"/>
      <c r="P682" s="33"/>
      <c r="Q682" s="119"/>
      <c r="R682" s="112"/>
      <c r="S682" s="112"/>
      <c r="T682" s="23"/>
      <c r="U682" s="112"/>
    </row>
    <row r="683" spans="1:21" ht="17.100000000000001" customHeight="1" x14ac:dyDescent="0.25">
      <c r="A683" s="20" t="str">
        <f>IF(C683="","",COUNTA($C$4:C683))</f>
        <v/>
      </c>
      <c r="B683" s="20" t="str">
        <f t="shared" si="157"/>
        <v/>
      </c>
      <c r="C683" s="45"/>
      <c r="D683" s="31"/>
      <c r="E683" s="105"/>
      <c r="F683" s="26"/>
      <c r="G683" s="26"/>
      <c r="L683" s="23"/>
      <c r="M683" s="23"/>
      <c r="N683" s="23"/>
      <c r="O683" s="112"/>
      <c r="P683" s="33"/>
      <c r="Q683" s="119"/>
      <c r="R683" s="112"/>
      <c r="S683" s="112"/>
      <c r="T683" s="23"/>
      <c r="U683" s="112"/>
    </row>
    <row r="684" spans="1:21" ht="17.100000000000001" customHeight="1" x14ac:dyDescent="0.25">
      <c r="A684" s="20" t="str">
        <f>IF(C684="","",COUNTA($C$4:C684))</f>
        <v/>
      </c>
      <c r="B684" s="20" t="str">
        <f t="shared" si="157"/>
        <v/>
      </c>
      <c r="C684" s="45"/>
      <c r="D684" s="31"/>
      <c r="E684" s="105"/>
      <c r="F684" s="26"/>
      <c r="G684" s="26"/>
      <c r="L684" s="23"/>
      <c r="M684" s="23"/>
      <c r="N684" s="23"/>
      <c r="O684" s="112"/>
      <c r="P684" s="33"/>
      <c r="Q684" s="115"/>
      <c r="R684" s="112"/>
      <c r="S684" s="112"/>
      <c r="T684" s="23"/>
      <c r="U684" s="112"/>
    </row>
    <row r="685" spans="1:21" ht="17.100000000000001" customHeight="1" x14ac:dyDescent="0.25">
      <c r="A685" s="20" t="str">
        <f>IF(C685="","",COUNTA($C$4:C685))</f>
        <v/>
      </c>
      <c r="B685" s="20" t="str">
        <f t="shared" si="157"/>
        <v/>
      </c>
      <c r="C685" s="45"/>
      <c r="D685" s="31"/>
      <c r="E685" s="105"/>
      <c r="F685" s="26"/>
      <c r="G685" s="26"/>
      <c r="L685" s="23"/>
      <c r="M685" s="23"/>
      <c r="N685" s="23"/>
      <c r="O685" s="112"/>
      <c r="P685" s="33"/>
      <c r="Q685" s="115"/>
      <c r="R685" s="112"/>
      <c r="S685" s="112"/>
      <c r="T685" s="23"/>
      <c r="U685" s="112"/>
    </row>
    <row r="686" spans="1:21" ht="17.100000000000001" customHeight="1" x14ac:dyDescent="0.25">
      <c r="A686" s="20" t="str">
        <f>IF(C686="","",COUNTA($C$4:C686))</f>
        <v/>
      </c>
      <c r="B686" s="20" t="str">
        <f t="shared" si="157"/>
        <v/>
      </c>
      <c r="C686" s="45"/>
      <c r="D686" s="31"/>
      <c r="E686" s="105"/>
      <c r="F686" s="26"/>
      <c r="G686" s="26"/>
      <c r="L686" s="23"/>
      <c r="M686" s="23"/>
      <c r="N686" s="23"/>
      <c r="O686" s="112"/>
      <c r="P686" s="33"/>
      <c r="Q686" s="119"/>
      <c r="R686" s="112"/>
      <c r="S686" s="112"/>
      <c r="T686" s="23"/>
      <c r="U686" s="112"/>
    </row>
    <row r="687" spans="1:21" ht="17.100000000000001" customHeight="1" x14ac:dyDescent="0.25">
      <c r="A687" s="20" t="str">
        <f>IF(C687="","",COUNTA($C$4:C687))</f>
        <v/>
      </c>
      <c r="B687" s="20" t="str">
        <f t="shared" si="157"/>
        <v/>
      </c>
      <c r="C687" s="45"/>
      <c r="D687" s="31"/>
      <c r="E687" s="105"/>
      <c r="F687" s="26"/>
      <c r="G687" s="26"/>
      <c r="L687" s="23"/>
      <c r="M687" s="23"/>
      <c r="N687" s="23"/>
      <c r="O687" s="112"/>
      <c r="P687" s="33"/>
      <c r="Q687" s="119"/>
      <c r="R687" s="112"/>
      <c r="S687" s="112"/>
      <c r="T687" s="23"/>
      <c r="U687" s="112"/>
    </row>
    <row r="688" spans="1:21" ht="17.100000000000001" customHeight="1" x14ac:dyDescent="0.25">
      <c r="A688" s="20" t="str">
        <f>IF(C688="","",COUNTA($C$4:C688))</f>
        <v/>
      </c>
      <c r="B688" s="20" t="str">
        <f t="shared" si="157"/>
        <v/>
      </c>
      <c r="C688" s="45"/>
      <c r="D688" s="31"/>
      <c r="E688" s="105"/>
      <c r="F688" s="26"/>
      <c r="G688" s="26"/>
      <c r="L688" s="23"/>
      <c r="M688" s="23"/>
      <c r="N688" s="23"/>
      <c r="O688" s="112"/>
      <c r="P688" s="33"/>
      <c r="Q688" s="115"/>
      <c r="R688" s="112"/>
      <c r="S688" s="112"/>
      <c r="T688" s="23"/>
      <c r="U688" s="112"/>
    </row>
    <row r="689" spans="1:21" ht="17.100000000000001" customHeight="1" x14ac:dyDescent="0.25">
      <c r="A689" s="20" t="str">
        <f>IF(C689="","",COUNTA($C$4:C689))</f>
        <v/>
      </c>
      <c r="B689" s="20" t="str">
        <f t="shared" si="157"/>
        <v/>
      </c>
      <c r="C689" s="45"/>
      <c r="D689" s="31"/>
      <c r="E689" s="105"/>
      <c r="F689" s="26"/>
      <c r="G689" s="26"/>
      <c r="L689" s="23"/>
      <c r="M689" s="23"/>
      <c r="N689" s="23"/>
      <c r="O689" s="112"/>
      <c r="P689" s="33"/>
      <c r="Q689" s="115"/>
      <c r="R689" s="112"/>
      <c r="S689" s="112"/>
      <c r="T689" s="23"/>
      <c r="U689" s="112"/>
    </row>
    <row r="690" spans="1:21" ht="17.100000000000001" customHeight="1" x14ac:dyDescent="0.25">
      <c r="A690" s="20" t="str">
        <f>IF(C690="","",COUNTA($C$4:C690))</f>
        <v/>
      </c>
      <c r="B690" s="20" t="str">
        <f t="shared" si="157"/>
        <v/>
      </c>
      <c r="C690" s="45"/>
      <c r="D690" s="101"/>
      <c r="E690" s="105"/>
      <c r="F690" s="26"/>
      <c r="G690" s="26"/>
      <c r="L690" s="23"/>
      <c r="M690" s="23"/>
      <c r="N690" s="23"/>
      <c r="O690" s="112"/>
      <c r="P690" s="33"/>
      <c r="Q690" s="115"/>
      <c r="R690" s="112"/>
      <c r="S690" s="112"/>
      <c r="T690" s="23"/>
      <c r="U690" s="112"/>
    </row>
    <row r="691" spans="1:21" ht="17.100000000000001" customHeight="1" x14ac:dyDescent="0.25">
      <c r="A691" s="20" t="str">
        <f>IF(C691="","",COUNTA($C$4:C691))</f>
        <v/>
      </c>
      <c r="B691" s="20" t="str">
        <f t="shared" si="157"/>
        <v/>
      </c>
      <c r="C691" s="45"/>
      <c r="D691" s="31"/>
      <c r="E691" s="105"/>
      <c r="F691" s="26"/>
      <c r="G691" s="26"/>
      <c r="L691" s="23"/>
      <c r="M691" s="23"/>
      <c r="N691" s="23"/>
      <c r="O691" s="112"/>
      <c r="P691" s="33"/>
      <c r="Q691" s="115"/>
      <c r="R691" s="112"/>
      <c r="S691" s="112"/>
      <c r="T691" s="23"/>
      <c r="U691" s="112"/>
    </row>
    <row r="692" spans="1:21" ht="17.100000000000001" customHeight="1" x14ac:dyDescent="0.25">
      <c r="A692" s="20" t="str">
        <f>IF(C692="","",COUNTA($C$4:C692))</f>
        <v/>
      </c>
      <c r="B692" s="20" t="str">
        <f t="shared" si="157"/>
        <v/>
      </c>
      <c r="C692" s="45"/>
      <c r="D692" s="101"/>
      <c r="E692" s="105"/>
      <c r="F692" s="26"/>
      <c r="G692" s="26"/>
      <c r="L692" s="23"/>
      <c r="M692" s="23"/>
      <c r="N692" s="23"/>
      <c r="O692" s="112"/>
      <c r="P692" s="33"/>
      <c r="Q692" s="115"/>
      <c r="R692" s="112"/>
      <c r="S692" s="112"/>
      <c r="T692" s="23"/>
      <c r="U692" s="112"/>
    </row>
    <row r="693" spans="1:21" ht="17.100000000000001" customHeight="1" x14ac:dyDescent="0.25">
      <c r="A693" s="20" t="str">
        <f>IF(C693="","",COUNTA($C$4:C693))</f>
        <v/>
      </c>
      <c r="B693" s="20" t="str">
        <f t="shared" si="157"/>
        <v/>
      </c>
      <c r="C693" s="45"/>
      <c r="D693" s="31"/>
      <c r="E693" s="105"/>
      <c r="F693" s="26"/>
      <c r="G693" s="26"/>
      <c r="L693" s="23"/>
      <c r="M693" s="23"/>
      <c r="N693" s="23"/>
      <c r="O693" s="112"/>
      <c r="P693" s="33"/>
      <c r="Q693" s="119"/>
      <c r="R693" s="112"/>
      <c r="S693" s="112"/>
      <c r="T693" s="23"/>
      <c r="U693" s="112"/>
    </row>
    <row r="694" spans="1:21" ht="17.100000000000001" customHeight="1" x14ac:dyDescent="0.25">
      <c r="A694" s="20" t="str">
        <f>IF(C694="","",COUNTA($C$4:C694))</f>
        <v/>
      </c>
      <c r="B694" s="20" t="str">
        <f t="shared" si="157"/>
        <v/>
      </c>
      <c r="C694" s="45"/>
      <c r="D694" s="31"/>
      <c r="E694" s="105"/>
      <c r="F694" s="26"/>
      <c r="G694" s="26"/>
      <c r="L694" s="23"/>
      <c r="M694" s="23"/>
      <c r="N694" s="23"/>
      <c r="O694" s="112"/>
      <c r="P694" s="33"/>
      <c r="Q694" s="115"/>
      <c r="R694" s="112"/>
      <c r="S694" s="112"/>
      <c r="T694" s="23"/>
      <c r="U694" s="112"/>
    </row>
    <row r="695" spans="1:21" ht="17.100000000000001" customHeight="1" x14ac:dyDescent="0.25">
      <c r="A695" s="20" t="str">
        <f>IF(C695="","",COUNTA($C$4:C695))</f>
        <v/>
      </c>
      <c r="B695" s="20" t="str">
        <f t="shared" si="157"/>
        <v/>
      </c>
      <c r="C695" s="45"/>
      <c r="D695" s="31"/>
      <c r="E695" s="105"/>
      <c r="F695" s="26"/>
      <c r="G695" s="26"/>
      <c r="L695" s="23"/>
      <c r="M695" s="23"/>
      <c r="N695" s="23"/>
      <c r="O695" s="112"/>
      <c r="P695" s="33"/>
      <c r="Q695" s="115"/>
      <c r="R695" s="112"/>
      <c r="S695" s="112"/>
      <c r="T695" s="23"/>
      <c r="U695" s="112"/>
    </row>
    <row r="696" spans="1:21" ht="17.100000000000001" customHeight="1" x14ac:dyDescent="0.25">
      <c r="A696" s="20" t="str">
        <f>IF(C696="","",COUNTA($C$4:C696))</f>
        <v/>
      </c>
      <c r="B696" s="20" t="str">
        <f t="shared" si="157"/>
        <v/>
      </c>
      <c r="C696" s="45"/>
      <c r="D696" s="31"/>
      <c r="E696" s="105"/>
      <c r="F696" s="26"/>
      <c r="G696" s="26"/>
      <c r="L696" s="23"/>
      <c r="M696" s="23"/>
      <c r="N696" s="23"/>
      <c r="O696" s="112"/>
      <c r="P696" s="33"/>
      <c r="Q696" s="115"/>
      <c r="R696" s="112"/>
      <c r="S696" s="112"/>
      <c r="T696" s="23"/>
      <c r="U696" s="112"/>
    </row>
    <row r="697" spans="1:21" ht="17.100000000000001" customHeight="1" x14ac:dyDescent="0.25">
      <c r="A697" s="20" t="str">
        <f>IF(C697="","",COUNTA($C$4:C697))</f>
        <v/>
      </c>
      <c r="B697" s="20" t="str">
        <f t="shared" si="157"/>
        <v/>
      </c>
      <c r="C697" s="45"/>
      <c r="D697" s="31"/>
      <c r="E697" s="105"/>
      <c r="F697" s="26"/>
      <c r="G697" s="26"/>
      <c r="L697" s="23"/>
      <c r="M697" s="23"/>
      <c r="N697" s="23"/>
      <c r="O697" s="112"/>
      <c r="P697" s="33"/>
      <c r="Q697" s="115"/>
      <c r="R697" s="112"/>
      <c r="S697" s="112"/>
      <c r="T697" s="23"/>
      <c r="U697" s="112"/>
    </row>
    <row r="698" spans="1:21" ht="17.100000000000001" customHeight="1" x14ac:dyDescent="0.25">
      <c r="A698" s="20" t="str">
        <f>IF(C698="","",COUNTA($C$4:C698))</f>
        <v/>
      </c>
      <c r="B698" s="20" t="str">
        <f t="shared" si="157"/>
        <v/>
      </c>
      <c r="C698" s="45"/>
      <c r="D698" s="31"/>
      <c r="E698" s="105"/>
      <c r="F698" s="26"/>
      <c r="G698" s="26"/>
      <c r="L698" s="23"/>
      <c r="M698" s="23"/>
      <c r="N698" s="23"/>
      <c r="O698" s="112"/>
      <c r="P698" s="33"/>
      <c r="Q698" s="115"/>
      <c r="R698" s="112"/>
      <c r="S698" s="112"/>
      <c r="T698" s="23"/>
      <c r="U698" s="112"/>
    </row>
    <row r="699" spans="1:21" ht="17.100000000000001" customHeight="1" x14ac:dyDescent="0.25">
      <c r="A699" s="20" t="str">
        <f>IF(C699="","",COUNTA($C$4:C699))</f>
        <v/>
      </c>
      <c r="B699" s="20" t="str">
        <f t="shared" si="157"/>
        <v/>
      </c>
      <c r="C699" s="45"/>
      <c r="D699" s="31"/>
      <c r="E699" s="105"/>
      <c r="F699" s="26"/>
      <c r="G699" s="26"/>
      <c r="L699" s="23"/>
      <c r="M699" s="23"/>
      <c r="N699" s="23"/>
      <c r="O699" s="112"/>
      <c r="P699" s="33"/>
      <c r="Q699" s="115"/>
      <c r="R699" s="112"/>
      <c r="S699" s="112"/>
      <c r="T699" s="23"/>
      <c r="U699" s="112"/>
    </row>
    <row r="700" spans="1:21" ht="17.100000000000001" customHeight="1" x14ac:dyDescent="0.25">
      <c r="A700" s="20" t="str">
        <f>IF(C700="","",COUNTA($C$4:C700))</f>
        <v/>
      </c>
      <c r="B700" s="20" t="str">
        <f t="shared" si="157"/>
        <v/>
      </c>
      <c r="C700" s="45"/>
      <c r="D700" s="31"/>
      <c r="E700" s="105"/>
      <c r="F700" s="26"/>
      <c r="G700" s="26"/>
      <c r="L700" s="23"/>
      <c r="M700" s="23"/>
      <c r="N700" s="23"/>
      <c r="O700" s="112"/>
      <c r="P700" s="33"/>
      <c r="Q700" s="115"/>
      <c r="R700" s="112"/>
      <c r="S700" s="112"/>
      <c r="T700" s="23"/>
      <c r="U700" s="112"/>
    </row>
    <row r="701" spans="1:21" ht="17.100000000000001" customHeight="1" x14ac:dyDescent="0.25">
      <c r="A701" s="20" t="str">
        <f>IF(C701="","",COUNTA($C$4:C701))</f>
        <v/>
      </c>
      <c r="B701" s="20" t="str">
        <f t="shared" si="157"/>
        <v/>
      </c>
      <c r="C701" s="45"/>
      <c r="D701" s="31"/>
      <c r="E701" s="105"/>
      <c r="F701" s="26"/>
      <c r="G701" s="26"/>
      <c r="L701" s="34"/>
      <c r="M701" s="23"/>
      <c r="N701" s="23"/>
      <c r="O701" s="112"/>
      <c r="P701" s="33"/>
      <c r="Q701" s="115"/>
      <c r="R701" s="112"/>
      <c r="S701" s="112"/>
      <c r="T701" s="23"/>
      <c r="U701" s="112"/>
    </row>
    <row r="702" spans="1:21" ht="17.100000000000001" customHeight="1" x14ac:dyDescent="0.25">
      <c r="A702" s="20" t="str">
        <f>IF(C702="","",COUNTA($C$4:C702))</f>
        <v/>
      </c>
      <c r="B702" s="20" t="str">
        <f t="shared" si="157"/>
        <v/>
      </c>
      <c r="C702" s="45"/>
      <c r="D702" s="31"/>
      <c r="E702" s="105"/>
      <c r="F702" s="26"/>
      <c r="G702" s="26"/>
      <c r="L702" s="23"/>
      <c r="M702" s="23"/>
      <c r="N702" s="23"/>
      <c r="O702" s="112"/>
      <c r="P702" s="33"/>
      <c r="Q702" s="115"/>
      <c r="R702" s="112"/>
      <c r="S702" s="112"/>
      <c r="T702" s="23"/>
      <c r="U702" s="112"/>
    </row>
    <row r="703" spans="1:21" ht="17.100000000000001" customHeight="1" x14ac:dyDescent="0.25">
      <c r="A703" s="20" t="str">
        <f>IF(C703="","",COUNTA($C$4:C703))</f>
        <v/>
      </c>
      <c r="B703" s="20" t="str">
        <f t="shared" si="157"/>
        <v/>
      </c>
      <c r="C703" s="45"/>
      <c r="D703" s="31"/>
      <c r="E703" s="105"/>
      <c r="F703" s="26"/>
      <c r="G703" s="26"/>
      <c r="L703" s="23"/>
      <c r="M703" s="23"/>
      <c r="N703" s="23"/>
      <c r="O703" s="112"/>
      <c r="P703" s="33"/>
      <c r="Q703" s="115"/>
      <c r="R703" s="112"/>
      <c r="S703" s="112"/>
      <c r="T703" s="23"/>
      <c r="U703" s="112"/>
    </row>
    <row r="704" spans="1:21" ht="17.100000000000001" customHeight="1" x14ac:dyDescent="0.25">
      <c r="A704" s="20" t="str">
        <f>IF(C704="","",COUNTA($C$4:C704))</f>
        <v/>
      </c>
      <c r="B704" s="20" t="str">
        <f t="shared" si="157"/>
        <v/>
      </c>
      <c r="C704" s="45"/>
      <c r="D704" s="31"/>
      <c r="E704" s="105"/>
      <c r="F704" s="26"/>
      <c r="G704" s="26"/>
      <c r="L704" s="23"/>
      <c r="M704" s="23"/>
      <c r="N704" s="23"/>
      <c r="O704" s="112"/>
      <c r="P704" s="33"/>
      <c r="Q704" s="115"/>
      <c r="R704" s="112"/>
      <c r="S704" s="112"/>
      <c r="T704" s="23"/>
      <c r="U704" s="112"/>
    </row>
    <row r="705" spans="1:21" ht="17.100000000000001" customHeight="1" x14ac:dyDescent="0.25">
      <c r="A705" s="20" t="str">
        <f>IF(C705="","",COUNTA($C$4:C705))</f>
        <v/>
      </c>
      <c r="B705" s="20" t="str">
        <f t="shared" si="157"/>
        <v/>
      </c>
      <c r="C705" s="45"/>
      <c r="D705" s="31"/>
      <c r="E705" s="105"/>
      <c r="F705" s="26"/>
      <c r="G705" s="26"/>
      <c r="L705" s="23"/>
      <c r="M705" s="23"/>
      <c r="N705" s="23"/>
      <c r="O705" s="112"/>
      <c r="P705" s="33"/>
      <c r="Q705" s="115"/>
      <c r="R705" s="112"/>
      <c r="S705" s="112"/>
      <c r="T705" s="23"/>
      <c r="U705" s="112"/>
    </row>
    <row r="706" spans="1:21" ht="17.100000000000001" customHeight="1" x14ac:dyDescent="0.25">
      <c r="A706" s="20" t="str">
        <f>IF(C706="","",COUNTA($C$4:C706))</f>
        <v/>
      </c>
      <c r="B706" s="20" t="str">
        <f t="shared" si="157"/>
        <v/>
      </c>
      <c r="C706" s="45"/>
      <c r="D706" s="31"/>
      <c r="E706" s="105"/>
      <c r="F706" s="26"/>
      <c r="G706" s="26"/>
      <c r="L706" s="23"/>
      <c r="M706" s="23"/>
      <c r="N706" s="23"/>
      <c r="O706" s="112"/>
      <c r="P706" s="33"/>
      <c r="Q706" s="119"/>
      <c r="R706" s="115"/>
      <c r="S706" s="115"/>
      <c r="T706" s="23"/>
      <c r="U706" s="112"/>
    </row>
    <row r="707" spans="1:21" ht="17.100000000000001" customHeight="1" x14ac:dyDescent="0.25">
      <c r="A707" s="20" t="str">
        <f>IF(C707="","",COUNTA($C$4:C707))</f>
        <v/>
      </c>
      <c r="B707" s="20" t="str">
        <f t="shared" si="157"/>
        <v/>
      </c>
      <c r="C707" s="45"/>
      <c r="D707" s="31"/>
      <c r="E707" s="105"/>
      <c r="F707" s="26"/>
      <c r="G707" s="26"/>
      <c r="M707" s="23"/>
      <c r="N707" s="23"/>
      <c r="P707" s="33"/>
      <c r="Q707" s="119"/>
      <c r="R707" s="115"/>
      <c r="S707" s="115"/>
      <c r="T707" s="23"/>
      <c r="U707" s="112"/>
    </row>
    <row r="708" spans="1:21" ht="17.100000000000001" customHeight="1" x14ac:dyDescent="0.25">
      <c r="A708" s="20" t="str">
        <f>IF(C708="","",COUNTA($C$4:C708))</f>
        <v/>
      </c>
      <c r="B708" s="20" t="str">
        <f t="shared" si="157"/>
        <v/>
      </c>
      <c r="C708" s="45"/>
      <c r="D708" s="31"/>
      <c r="G708" s="26"/>
      <c r="N708" s="23"/>
      <c r="P708" s="33"/>
      <c r="Q708" s="115"/>
      <c r="R708" s="112"/>
      <c r="S708" s="112"/>
      <c r="T708" s="23"/>
      <c r="U708" s="112"/>
    </row>
    <row r="709" spans="1:21" ht="17.100000000000001" customHeight="1" x14ac:dyDescent="0.25">
      <c r="A709" s="20" t="str">
        <f>IF(C709="","",COUNTA($C$4:C709))</f>
        <v/>
      </c>
      <c r="B709" s="20" t="str">
        <f t="shared" si="157"/>
        <v/>
      </c>
      <c r="C709" s="45"/>
      <c r="D709" s="31"/>
      <c r="G709" s="26"/>
      <c r="M709" s="23"/>
      <c r="N709" s="23"/>
      <c r="P709" s="33"/>
      <c r="Q709" s="115"/>
      <c r="R709" s="112"/>
      <c r="S709" s="112"/>
      <c r="T709" s="23"/>
      <c r="U709" s="112"/>
    </row>
    <row r="710" spans="1:21" ht="17.100000000000001" customHeight="1" x14ac:dyDescent="0.25">
      <c r="A710" s="20" t="str">
        <f>IF(C710="","",COUNTA($C$4:C710))</f>
        <v/>
      </c>
      <c r="B710" s="20" t="str">
        <f t="shared" si="157"/>
        <v/>
      </c>
      <c r="C710" s="45"/>
      <c r="D710" s="31"/>
      <c r="G710" s="26"/>
      <c r="M710" s="23"/>
      <c r="N710" s="23"/>
      <c r="P710" s="33"/>
      <c r="Q710" s="115"/>
      <c r="R710" s="112"/>
      <c r="S710" s="112"/>
      <c r="T710" s="23"/>
      <c r="U710" s="112"/>
    </row>
    <row r="711" spans="1:21" ht="17.100000000000001" customHeight="1" x14ac:dyDescent="0.25">
      <c r="A711" s="20" t="str">
        <f>IF(C711="","",COUNTA($C$4:C711))</f>
        <v/>
      </c>
      <c r="B711" s="20" t="str">
        <f t="shared" si="157"/>
        <v/>
      </c>
      <c r="C711" s="45"/>
      <c r="D711" s="31"/>
      <c r="G711" s="26"/>
      <c r="M711" s="23"/>
      <c r="N711" s="23"/>
      <c r="P711" s="33"/>
      <c r="Q711" s="115"/>
      <c r="R711" s="112"/>
      <c r="S711" s="112"/>
      <c r="T711" s="23"/>
      <c r="U711" s="112"/>
    </row>
    <row r="712" spans="1:21" ht="17.100000000000001" customHeight="1" x14ac:dyDescent="0.25">
      <c r="A712" s="20" t="str">
        <f>IF(C712="","",COUNTA($C$4:C712))</f>
        <v/>
      </c>
      <c r="B712" s="20" t="str">
        <f t="shared" si="157"/>
        <v/>
      </c>
      <c r="C712" s="45"/>
      <c r="D712" s="31"/>
      <c r="M712" s="23"/>
      <c r="N712" s="23"/>
      <c r="P712" s="33"/>
      <c r="Q712" s="115"/>
      <c r="R712" s="112"/>
      <c r="S712" s="112"/>
      <c r="T712" s="23"/>
      <c r="U712" s="112"/>
    </row>
    <row r="713" spans="1:21" ht="17.100000000000001" customHeight="1" x14ac:dyDescent="0.25">
      <c r="A713" s="20" t="str">
        <f>IF(C713="","",COUNTA($C$4:C713))</f>
        <v/>
      </c>
      <c r="B713" s="20" t="str">
        <f t="shared" si="157"/>
        <v/>
      </c>
      <c r="C713" s="45"/>
      <c r="D713" s="31"/>
      <c r="M713" s="23"/>
      <c r="N713" s="23"/>
      <c r="P713" s="33"/>
      <c r="Q713" s="115"/>
      <c r="T713" s="23"/>
    </row>
    <row r="714" spans="1:21" ht="17.100000000000001" customHeight="1" x14ac:dyDescent="0.25">
      <c r="A714" s="20" t="str">
        <f>IF(C714="","",COUNTA($C$4:C714))</f>
        <v/>
      </c>
      <c r="B714" s="20" t="str">
        <f t="shared" si="157"/>
        <v/>
      </c>
      <c r="C714" s="45"/>
      <c r="D714" s="31"/>
      <c r="M714" s="23"/>
      <c r="N714" s="23"/>
      <c r="P714" s="33"/>
      <c r="Q714" s="115"/>
      <c r="T714" s="23"/>
    </row>
    <row r="715" spans="1:21" ht="17.100000000000001" customHeight="1" x14ac:dyDescent="0.25">
      <c r="A715" s="20" t="str">
        <f>IF(C715="","",COUNTA($C$4:C715))</f>
        <v/>
      </c>
      <c r="B715" s="20" t="str">
        <f t="shared" si="157"/>
        <v/>
      </c>
      <c r="C715" s="45"/>
      <c r="D715" s="31"/>
      <c r="G715" s="26"/>
      <c r="H715" s="22"/>
      <c r="N715" s="23"/>
      <c r="P715" s="33"/>
      <c r="Q715" s="115"/>
      <c r="T715" s="23"/>
    </row>
    <row r="716" spans="1:21" ht="17.100000000000001" customHeight="1" x14ac:dyDescent="0.25">
      <c r="A716" s="20" t="str">
        <f>IF(C716="","",COUNTA($C$4:C716))</f>
        <v/>
      </c>
      <c r="B716" s="20" t="str">
        <f t="shared" si="157"/>
        <v/>
      </c>
      <c r="C716" s="45"/>
      <c r="D716" s="101"/>
      <c r="G716" s="26"/>
      <c r="N716" s="23"/>
      <c r="P716" s="33"/>
      <c r="Q716" s="115"/>
      <c r="T716" s="23"/>
    </row>
    <row r="717" spans="1:21" ht="17.100000000000001" customHeight="1" x14ac:dyDescent="0.25">
      <c r="A717" s="20" t="str">
        <f>IF(C717="","",COUNTA($C$4:C717))</f>
        <v/>
      </c>
      <c r="B717" s="20" t="str">
        <f t="shared" si="157"/>
        <v/>
      </c>
      <c r="C717" s="45"/>
      <c r="D717" s="31"/>
      <c r="N717" s="23"/>
      <c r="P717" s="33"/>
      <c r="Q717" s="115"/>
      <c r="T717" s="23"/>
    </row>
    <row r="718" spans="1:21" ht="17.100000000000001" customHeight="1" x14ac:dyDescent="0.25">
      <c r="A718" s="20" t="str">
        <f>IF(C718="","",COUNTA($C$4:C718))</f>
        <v/>
      </c>
      <c r="B718" s="20" t="str">
        <f t="shared" si="157"/>
        <v/>
      </c>
      <c r="C718" s="45"/>
      <c r="D718" s="31"/>
      <c r="P718" s="33"/>
      <c r="Q718" s="115"/>
      <c r="T718" s="23"/>
    </row>
    <row r="719" spans="1:21" ht="17.100000000000001" customHeight="1" x14ac:dyDescent="0.25">
      <c r="A719" s="20" t="str">
        <f>IF(C719="","",COUNTA($C$4:C719))</f>
        <v/>
      </c>
      <c r="B719" s="20" t="str">
        <f t="shared" si="157"/>
        <v/>
      </c>
      <c r="C719" s="45"/>
      <c r="D719" s="31"/>
      <c r="M719" s="23"/>
      <c r="N719" s="23"/>
      <c r="P719" s="33"/>
      <c r="Q719" s="115"/>
      <c r="T719" s="23"/>
    </row>
    <row r="720" spans="1:21" ht="17.100000000000001" customHeight="1" x14ac:dyDescent="0.25">
      <c r="A720" s="20" t="str">
        <f>IF(C720="","",COUNTA($C$4:C720))</f>
        <v/>
      </c>
      <c r="B720" s="20" t="str">
        <f t="shared" si="157"/>
        <v/>
      </c>
      <c r="C720" s="45"/>
      <c r="D720" s="31"/>
      <c r="M720" s="23"/>
      <c r="N720" s="23"/>
      <c r="P720" s="33"/>
      <c r="Q720" s="115"/>
      <c r="T720" s="23"/>
    </row>
    <row r="721" spans="1:21" ht="17.100000000000001" customHeight="1" x14ac:dyDescent="0.25">
      <c r="A721" s="20" t="str">
        <f>IF(C721="","",COUNTA($C$4:C721))</f>
        <v/>
      </c>
      <c r="B721" s="20" t="str">
        <f t="shared" si="157"/>
        <v/>
      </c>
      <c r="C721" s="45"/>
      <c r="D721" s="31"/>
      <c r="M721" s="23"/>
      <c r="N721" s="23"/>
      <c r="P721" s="33"/>
      <c r="Q721" s="115"/>
      <c r="T721" s="23"/>
    </row>
    <row r="722" spans="1:21" ht="17.100000000000001" customHeight="1" x14ac:dyDescent="0.25">
      <c r="A722" s="20" t="str">
        <f>IF(C722="","",COUNTA($C$4:C722))</f>
        <v/>
      </c>
      <c r="B722" s="20" t="str">
        <f t="shared" si="157"/>
        <v/>
      </c>
      <c r="C722" s="45"/>
      <c r="D722" s="31"/>
      <c r="M722" s="23"/>
      <c r="N722" s="23"/>
      <c r="P722" s="33"/>
      <c r="Q722" s="115"/>
      <c r="T722" s="23"/>
    </row>
    <row r="723" spans="1:21" ht="17.100000000000001" customHeight="1" x14ac:dyDescent="0.25">
      <c r="A723" s="20" t="str">
        <f>IF(C723="","",COUNTA($C$4:C723))</f>
        <v/>
      </c>
      <c r="B723" s="20" t="str">
        <f t="shared" si="157"/>
        <v/>
      </c>
      <c r="C723" s="45"/>
      <c r="D723" s="31"/>
      <c r="M723" s="23"/>
      <c r="N723" s="23"/>
      <c r="P723" s="33"/>
      <c r="Q723" s="115"/>
      <c r="T723" s="23"/>
    </row>
    <row r="724" spans="1:21" ht="17.100000000000001" customHeight="1" x14ac:dyDescent="0.25">
      <c r="A724" s="20" t="str">
        <f>IF(C724="","",COUNTA($C$4:C724))</f>
        <v/>
      </c>
      <c r="B724" s="20" t="str">
        <f t="shared" si="157"/>
        <v/>
      </c>
      <c r="C724" s="45"/>
      <c r="D724" s="31"/>
      <c r="M724" s="23"/>
      <c r="N724" s="23"/>
      <c r="P724" s="33"/>
      <c r="Q724" s="115"/>
      <c r="T724" s="23"/>
    </row>
    <row r="725" spans="1:21" ht="17.100000000000001" customHeight="1" x14ac:dyDescent="0.25">
      <c r="A725" s="20" t="str">
        <f>IF(C725="","",COUNTA($C$4:C725))</f>
        <v/>
      </c>
      <c r="B725" s="20" t="str">
        <f t="shared" si="157"/>
        <v/>
      </c>
      <c r="C725" s="45"/>
      <c r="D725" s="31"/>
      <c r="M725" s="23"/>
      <c r="N725" s="23"/>
      <c r="P725" s="33"/>
      <c r="Q725" s="115"/>
      <c r="T725" s="23"/>
    </row>
    <row r="726" spans="1:21" ht="17.100000000000001" customHeight="1" x14ac:dyDescent="0.25">
      <c r="A726" s="20" t="str">
        <f>IF(C726="","",COUNTA($C$4:C726))</f>
        <v/>
      </c>
      <c r="B726" s="20" t="str">
        <f t="shared" si="157"/>
        <v/>
      </c>
      <c r="C726" s="45"/>
      <c r="D726" s="31"/>
      <c r="M726" s="23"/>
      <c r="N726" s="23"/>
      <c r="P726" s="33"/>
      <c r="Q726" s="115"/>
      <c r="T726" s="23"/>
    </row>
    <row r="727" spans="1:21" ht="17.100000000000001" customHeight="1" x14ac:dyDescent="0.25">
      <c r="A727" s="20" t="str">
        <f>IF(C727="","",COUNTA($C$4:C727))</f>
        <v/>
      </c>
      <c r="B727" s="20" t="str">
        <f t="shared" si="157"/>
        <v/>
      </c>
      <c r="C727" s="45"/>
      <c r="D727" s="31"/>
      <c r="P727" s="33"/>
      <c r="Q727" s="115"/>
      <c r="T727" s="23"/>
    </row>
    <row r="728" spans="1:21" ht="17.100000000000001" customHeight="1" x14ac:dyDescent="0.25">
      <c r="A728" s="20" t="str">
        <f>IF(C728="","",COUNTA($C$4:C728))</f>
        <v/>
      </c>
      <c r="B728" s="20" t="str">
        <f t="shared" si="157"/>
        <v/>
      </c>
      <c r="C728" s="45"/>
      <c r="D728" s="31"/>
      <c r="M728" s="23"/>
      <c r="N728" s="23"/>
      <c r="P728" s="33"/>
      <c r="Q728" s="115"/>
      <c r="T728" s="23"/>
    </row>
    <row r="729" spans="1:21" ht="17.100000000000001" customHeight="1" x14ac:dyDescent="0.25">
      <c r="A729" s="20" t="str">
        <f>IF(C729="","",COUNTA($C$4:C729))</f>
        <v/>
      </c>
      <c r="B729" s="20" t="str">
        <f>IF(C729="","",TEXT(C729,"mmmm"))</f>
        <v/>
      </c>
      <c r="C729" s="45"/>
      <c r="D729" s="31"/>
      <c r="M729" s="23"/>
      <c r="N729" s="23"/>
      <c r="P729" s="33"/>
      <c r="Q729" s="115"/>
      <c r="T729" s="23"/>
    </row>
    <row r="730" spans="1:21" ht="17.100000000000001" customHeight="1" x14ac:dyDescent="0.25">
      <c r="A730" s="20" t="str">
        <f>IF(C730="","",COUNTA($C$4:C730))</f>
        <v/>
      </c>
      <c r="B730" s="20" t="str">
        <f>IF(C730="","",TEXT(C730,"mmmm"))</f>
        <v/>
      </c>
      <c r="C730" s="45"/>
      <c r="D730" s="31"/>
      <c r="N730" s="23"/>
      <c r="P730" s="33"/>
      <c r="Q730" s="119"/>
      <c r="R730" s="115"/>
      <c r="S730" s="115"/>
      <c r="T730" s="23"/>
      <c r="U730" s="112"/>
    </row>
    <row r="731" spans="1:21" ht="17.100000000000001" customHeight="1" x14ac:dyDescent="0.25">
      <c r="A731" s="20" t="str">
        <f>IF(C731="","",COUNTA($C$4:C731))</f>
        <v/>
      </c>
      <c r="B731" s="20" t="str">
        <f>IF(C731="","",TEXT(C731,"mmmm"))</f>
        <v/>
      </c>
      <c r="C731" s="45"/>
      <c r="D731" s="31"/>
      <c r="M731" s="23"/>
      <c r="N731" s="23"/>
      <c r="P731" s="33"/>
      <c r="Q731" s="119"/>
      <c r="R731" s="115"/>
      <c r="S731" s="115"/>
      <c r="T731" s="23"/>
      <c r="U731" s="112"/>
    </row>
    <row r="732" spans="1:21" ht="17.100000000000001" customHeight="1" x14ac:dyDescent="0.25">
      <c r="A732" s="20" t="str">
        <f>IF(C732="","",COUNTA($C$4:C732))</f>
        <v/>
      </c>
      <c r="B732" s="20" t="str">
        <f>IF(C732="","",TEXT(C732,"mmmm"))</f>
        <v/>
      </c>
      <c r="C732" s="45"/>
      <c r="D732" s="102"/>
      <c r="M732" s="23"/>
      <c r="N732" s="23"/>
      <c r="P732" s="33"/>
      <c r="Q732" s="119"/>
      <c r="R732" s="115"/>
      <c r="S732" s="115"/>
      <c r="T732" s="23"/>
      <c r="U732" s="112"/>
    </row>
  </sheetData>
  <sheetProtection autoFilter="0"/>
  <autoFilter ref="A3:U732" xr:uid="{00000000-0001-0000-0200-000000000000}">
    <sortState xmlns:xlrd2="http://schemas.microsoft.com/office/spreadsheetml/2017/richdata2" ref="A7:U658">
      <sortCondition ref="G3:G732"/>
    </sortState>
  </autoFilter>
  <mergeCells count="1">
    <mergeCell ref="A1:U1"/>
  </mergeCells>
  <pageMargins left="0.7" right="0.7" top="0.75" bottom="0.75" header="0.3" footer="0.3"/>
  <pageSetup orientation="portrait" r:id="rId1"/>
  <ignoredErrors>
    <ignoredError sqref="A4:A5 V567:XFD579 A659:A663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49"/>
  <sheetViews>
    <sheetView showGridLines="0" zoomScaleNormal="100" workbookViewId="0">
      <pane ySplit="3" topLeftCell="A537" activePane="bottomLeft" state="frozen"/>
      <selection pane="bottomLeft" activeCell="B555" sqref="B555"/>
    </sheetView>
  </sheetViews>
  <sheetFormatPr defaultRowHeight="17.100000000000001" customHeight="1" x14ac:dyDescent="0.25"/>
  <cols>
    <col min="1" max="1" width="9.140625" bestFit="1" customWidth="1"/>
    <col min="2" max="2" width="11.28515625" bestFit="1" customWidth="1"/>
    <col min="3" max="3" width="11.28515625" customWidth="1"/>
    <col min="4" max="4" width="15.5703125" bestFit="1" customWidth="1"/>
    <col min="5" max="5" width="45.5703125" style="11" bestFit="1" customWidth="1"/>
    <col min="6" max="6" width="27.140625" style="31" bestFit="1" customWidth="1"/>
    <col min="7" max="7" width="35.140625" style="11" customWidth="1"/>
    <col min="8" max="8" width="95.28515625" style="11" bestFit="1" customWidth="1"/>
    <col min="9" max="9" width="16.28515625" customWidth="1"/>
    <col min="10" max="10" width="8.42578125" customWidth="1"/>
    <col min="11" max="11" width="16.42578125" bestFit="1" customWidth="1"/>
    <col min="12" max="12" width="14.85546875" bestFit="1" customWidth="1"/>
    <col min="13" max="13" width="15" bestFit="1" customWidth="1"/>
    <col min="14" max="14" width="20.42578125" bestFit="1" customWidth="1"/>
    <col min="15" max="15" width="18.28515625" bestFit="1" customWidth="1"/>
    <col min="16" max="16" width="16.140625" customWidth="1"/>
  </cols>
  <sheetData>
    <row r="1" spans="1:16" ht="21" customHeight="1" thickBot="1" x14ac:dyDescent="0.4">
      <c r="A1" s="155" t="s">
        <v>76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3"/>
    </row>
    <row r="2" spans="1:16" ht="21" customHeight="1" x14ac:dyDescent="0.3">
      <c r="A2" s="32"/>
      <c r="B2" s="32"/>
      <c r="C2" s="16"/>
      <c r="D2" s="16"/>
      <c r="E2" s="16"/>
      <c r="F2" s="16"/>
      <c r="G2" s="16"/>
      <c r="H2" s="16"/>
      <c r="I2" s="41">
        <f>SUM(I4:I688)</f>
        <v>37456816.619999997</v>
      </c>
      <c r="J2" s="41"/>
      <c r="K2" s="41">
        <f>SUM(K4:K688)</f>
        <v>33483.682800000002</v>
      </c>
      <c r="L2" s="41">
        <f>SUM(L4:L688)</f>
        <v>2937513.9400000004</v>
      </c>
      <c r="M2" s="41">
        <f>SUM(M4:M688)</f>
        <v>2937513.9400000004</v>
      </c>
      <c r="N2" s="95">
        <f>SUM(N4:N688)</f>
        <v>43382105.182800002</v>
      </c>
      <c r="O2" s="17"/>
      <c r="P2" s="13"/>
    </row>
    <row r="3" spans="1:16" s="14" customFormat="1" ht="32.25" customHeight="1" thickBot="1" x14ac:dyDescent="0.3">
      <c r="A3" s="18" t="s">
        <v>50</v>
      </c>
      <c r="B3" s="19" t="s">
        <v>51</v>
      </c>
      <c r="C3" s="30" t="s">
        <v>52</v>
      </c>
      <c r="D3" s="44" t="s">
        <v>35</v>
      </c>
      <c r="E3" s="44" t="s">
        <v>49</v>
      </c>
      <c r="F3" s="44" t="s">
        <v>3</v>
      </c>
      <c r="G3" s="44" t="s">
        <v>47</v>
      </c>
      <c r="H3" s="44" t="s">
        <v>37</v>
      </c>
      <c r="I3" s="44" t="s">
        <v>39</v>
      </c>
      <c r="J3" s="44" t="s">
        <v>45</v>
      </c>
      <c r="K3" s="44" t="s">
        <v>46</v>
      </c>
      <c r="L3" s="44" t="s">
        <v>41</v>
      </c>
      <c r="M3" s="44" t="s">
        <v>42</v>
      </c>
      <c r="N3" s="44" t="s">
        <v>48</v>
      </c>
      <c r="O3" s="44" t="s">
        <v>36</v>
      </c>
      <c r="P3" s="15"/>
    </row>
    <row r="4" spans="1:16" ht="17.100000000000001" customHeight="1" x14ac:dyDescent="0.25">
      <c r="A4" s="27">
        <f>IF(C4="","",COUNTA($C$4:C4))</f>
        <v>1</v>
      </c>
      <c r="B4" s="27" t="str">
        <f t="shared" ref="B4:B122" si="0">IF(C4="","",TEXT(C4,"mmmm"))</f>
        <v>April</v>
      </c>
      <c r="C4" s="36">
        <v>45749</v>
      </c>
      <c r="D4" s="23" t="s">
        <v>112</v>
      </c>
      <c r="E4" s="48" t="s">
        <v>111</v>
      </c>
      <c r="F4" s="51">
        <v>1243199003929</v>
      </c>
      <c r="G4" s="48" t="s">
        <v>113</v>
      </c>
      <c r="H4" s="38" t="s">
        <v>117</v>
      </c>
      <c r="I4" s="23">
        <v>197441</v>
      </c>
      <c r="J4" s="42">
        <v>0</v>
      </c>
      <c r="K4" s="62">
        <v>0</v>
      </c>
      <c r="L4" s="24">
        <v>0</v>
      </c>
      <c r="M4" s="23">
        <v>0</v>
      </c>
      <c r="N4" s="37">
        <f t="shared" ref="N4:N7" si="1">+I4+L4+M4</f>
        <v>197441</v>
      </c>
      <c r="O4" s="22"/>
      <c r="P4" s="12"/>
    </row>
    <row r="5" spans="1:16" ht="17.100000000000001" customHeight="1" x14ac:dyDescent="0.25">
      <c r="A5" s="27">
        <f>IF(C5="","",COUNTA($C$4:C5))</f>
        <v>2</v>
      </c>
      <c r="B5" s="27" t="str">
        <f t="shared" si="0"/>
        <v>April</v>
      </c>
      <c r="C5" s="36">
        <v>45751</v>
      </c>
      <c r="D5" s="23" t="s">
        <v>114</v>
      </c>
      <c r="E5" s="48" t="s">
        <v>115</v>
      </c>
      <c r="F5" s="51">
        <v>2015</v>
      </c>
      <c r="G5" s="26" t="s">
        <v>116</v>
      </c>
      <c r="H5" s="26" t="s">
        <v>118</v>
      </c>
      <c r="I5" s="23">
        <v>10600</v>
      </c>
      <c r="J5" s="42">
        <v>0.18</v>
      </c>
      <c r="K5" s="62">
        <v>0</v>
      </c>
      <c r="L5" s="24">
        <f t="shared" ref="L5:L6" si="2">I5*9/100</f>
        <v>954</v>
      </c>
      <c r="M5" s="23">
        <f t="shared" ref="M5:M6" si="3">I5*9/100</f>
        <v>954</v>
      </c>
      <c r="N5" s="37">
        <f t="shared" si="1"/>
        <v>12508</v>
      </c>
      <c r="O5" s="22"/>
      <c r="P5" s="12"/>
    </row>
    <row r="6" spans="1:16" ht="17.100000000000001" customHeight="1" x14ac:dyDescent="0.25">
      <c r="A6" s="27">
        <f>IF(C6="","",COUNTA($C$4:C6))</f>
        <v>3</v>
      </c>
      <c r="B6" s="27" t="str">
        <f t="shared" si="0"/>
        <v>April</v>
      </c>
      <c r="C6" s="36">
        <v>45762</v>
      </c>
      <c r="D6" s="23" t="s">
        <v>137</v>
      </c>
      <c r="E6" s="48" t="s">
        <v>138</v>
      </c>
      <c r="F6" s="21">
        <v>16</v>
      </c>
      <c r="G6" s="48" t="s">
        <v>116</v>
      </c>
      <c r="H6" s="39" t="s">
        <v>139</v>
      </c>
      <c r="I6" s="23">
        <v>66969</v>
      </c>
      <c r="J6" s="42">
        <v>0.18</v>
      </c>
      <c r="K6" s="62">
        <v>0</v>
      </c>
      <c r="L6" s="24">
        <f t="shared" si="2"/>
        <v>6027.21</v>
      </c>
      <c r="M6" s="23">
        <f t="shared" si="3"/>
        <v>6027.21</v>
      </c>
      <c r="N6" s="37">
        <f t="shared" si="1"/>
        <v>79023.420000000013</v>
      </c>
      <c r="O6" s="22"/>
      <c r="P6" s="12"/>
    </row>
    <row r="7" spans="1:16" ht="17.100000000000001" customHeight="1" x14ac:dyDescent="0.25">
      <c r="A7" s="27">
        <f>IF(C7="","",COUNTA($C$4:C7))</f>
        <v>4</v>
      </c>
      <c r="B7" s="27" t="str">
        <f t="shared" si="0"/>
        <v>April</v>
      </c>
      <c r="C7" s="36">
        <v>45762</v>
      </c>
      <c r="D7" s="23" t="s">
        <v>140</v>
      </c>
      <c r="E7" s="48" t="s">
        <v>141</v>
      </c>
      <c r="F7" s="51">
        <v>13</v>
      </c>
      <c r="G7" s="48" t="s">
        <v>142</v>
      </c>
      <c r="H7" s="26" t="s">
        <v>143</v>
      </c>
      <c r="I7" s="23">
        <v>10884</v>
      </c>
      <c r="J7" s="42">
        <v>0</v>
      </c>
      <c r="K7" s="62">
        <v>0</v>
      </c>
      <c r="L7" s="24">
        <v>0</v>
      </c>
      <c r="M7" s="23">
        <v>0</v>
      </c>
      <c r="N7" s="37">
        <f t="shared" si="1"/>
        <v>10884</v>
      </c>
      <c r="O7" s="22"/>
      <c r="P7" s="12"/>
    </row>
    <row r="8" spans="1:16" ht="17.100000000000001" customHeight="1" x14ac:dyDescent="0.25">
      <c r="A8" s="27">
        <f>IF(C8="","",COUNTA($C$4:C8))</f>
        <v>5</v>
      </c>
      <c r="B8" s="27" t="str">
        <f t="shared" si="0"/>
        <v>April</v>
      </c>
      <c r="C8" s="36">
        <v>45764</v>
      </c>
      <c r="D8" s="126" t="s">
        <v>144</v>
      </c>
      <c r="E8" s="48" t="s">
        <v>145</v>
      </c>
      <c r="F8" s="51">
        <v>1</v>
      </c>
      <c r="G8" s="26" t="s">
        <v>146</v>
      </c>
      <c r="H8" s="26" t="s">
        <v>147</v>
      </c>
      <c r="I8" s="23">
        <v>15900</v>
      </c>
      <c r="J8" s="42">
        <v>0.18</v>
      </c>
      <c r="K8" s="24">
        <v>0</v>
      </c>
      <c r="L8" s="24">
        <f t="shared" ref="L8" si="4">I8*9/100</f>
        <v>1431</v>
      </c>
      <c r="M8" s="23">
        <f t="shared" ref="M8" si="5">I8*9/100</f>
        <v>1431</v>
      </c>
      <c r="N8" s="37">
        <f t="shared" ref="N8" si="6">+I8+L8+M8</f>
        <v>18762</v>
      </c>
      <c r="O8" s="22"/>
      <c r="P8" s="12"/>
    </row>
    <row r="9" spans="1:16" ht="17.100000000000001" customHeight="1" x14ac:dyDescent="0.25">
      <c r="A9" s="27">
        <f>IF(C9="","",COUNTA($C$4:C9))</f>
        <v>6</v>
      </c>
      <c r="B9" s="27" t="str">
        <f t="shared" si="0"/>
        <v>April</v>
      </c>
      <c r="C9" s="36">
        <v>45765</v>
      </c>
      <c r="D9" s="23" t="s">
        <v>279</v>
      </c>
      <c r="E9" s="22" t="s">
        <v>280</v>
      </c>
      <c r="F9" s="21" t="s">
        <v>281</v>
      </c>
      <c r="G9" s="26" t="s">
        <v>146</v>
      </c>
      <c r="H9" s="26" t="s">
        <v>282</v>
      </c>
      <c r="I9" s="23">
        <v>30138</v>
      </c>
      <c r="J9" s="42">
        <v>0.18</v>
      </c>
      <c r="K9" s="62">
        <f>I9*18/100</f>
        <v>5424.84</v>
      </c>
      <c r="L9" s="24">
        <v>0</v>
      </c>
      <c r="M9" s="23">
        <v>0</v>
      </c>
      <c r="N9" s="37">
        <f>I9+K9</f>
        <v>35562.839999999997</v>
      </c>
      <c r="O9" s="22"/>
      <c r="P9" s="12"/>
    </row>
    <row r="10" spans="1:16" ht="17.100000000000001" customHeight="1" x14ac:dyDescent="0.25">
      <c r="A10" s="27">
        <f>IF(C10="","",COUNTA($C$4:C10))</f>
        <v>7</v>
      </c>
      <c r="B10" s="27" t="str">
        <f t="shared" si="0"/>
        <v>April</v>
      </c>
      <c r="C10" s="36">
        <v>45769</v>
      </c>
      <c r="D10" s="23" t="s">
        <v>283</v>
      </c>
      <c r="E10" s="26" t="s">
        <v>284</v>
      </c>
      <c r="F10" s="21">
        <v>3334</v>
      </c>
      <c r="G10" s="48" t="s">
        <v>285</v>
      </c>
      <c r="H10" s="26" t="s">
        <v>286</v>
      </c>
      <c r="I10" s="23">
        <v>3100</v>
      </c>
      <c r="J10" s="42">
        <v>0.18</v>
      </c>
      <c r="K10" s="24">
        <v>0</v>
      </c>
      <c r="L10" s="24">
        <f t="shared" ref="L10" si="7">I10*9/100</f>
        <v>279</v>
      </c>
      <c r="M10" s="23">
        <f t="shared" ref="M10" si="8">I10*9/100</f>
        <v>279</v>
      </c>
      <c r="N10" s="37">
        <f t="shared" ref="N10" si="9">+I10+L10+M10</f>
        <v>3658</v>
      </c>
      <c r="O10" s="22"/>
      <c r="P10" s="12"/>
    </row>
    <row r="11" spans="1:16" ht="17.100000000000001" customHeight="1" x14ac:dyDescent="0.25">
      <c r="A11" s="27">
        <f>IF(C11="","",COUNTA($C$4:C11))</f>
        <v>8</v>
      </c>
      <c r="B11" s="27" t="str">
        <f t="shared" si="0"/>
        <v>April</v>
      </c>
      <c r="C11" s="36">
        <v>45768</v>
      </c>
      <c r="D11" s="23" t="s">
        <v>287</v>
      </c>
      <c r="E11" s="48" t="s">
        <v>288</v>
      </c>
      <c r="F11" s="51">
        <v>3</v>
      </c>
      <c r="G11" s="26" t="s">
        <v>146</v>
      </c>
      <c r="H11" s="26" t="s">
        <v>289</v>
      </c>
      <c r="I11" s="23">
        <v>18000</v>
      </c>
      <c r="J11" s="42">
        <v>0.18</v>
      </c>
      <c r="K11" s="62">
        <f>I11*18/100</f>
        <v>3240</v>
      </c>
      <c r="L11" s="24">
        <v>0</v>
      </c>
      <c r="M11" s="23">
        <v>0</v>
      </c>
      <c r="N11" s="37">
        <f>I11+K11</f>
        <v>21240</v>
      </c>
      <c r="O11" s="22"/>
      <c r="P11" s="12"/>
    </row>
    <row r="12" spans="1:16" ht="17.100000000000001" customHeight="1" x14ac:dyDescent="0.25">
      <c r="A12" s="27">
        <f>IF(C12="","",COUNTA($C$4:C12))</f>
        <v>9</v>
      </c>
      <c r="B12" s="27" t="str">
        <f>IF(C12="","",TEXT(C12,"mmmm"))</f>
        <v>April</v>
      </c>
      <c r="C12" s="36">
        <v>45771</v>
      </c>
      <c r="D12" s="126" t="s">
        <v>290</v>
      </c>
      <c r="E12" s="48" t="s">
        <v>291</v>
      </c>
      <c r="F12" s="51">
        <v>25</v>
      </c>
      <c r="G12" s="26" t="s">
        <v>292</v>
      </c>
      <c r="H12" s="26" t="s">
        <v>293</v>
      </c>
      <c r="I12" s="23">
        <v>2000</v>
      </c>
      <c r="J12" s="42">
        <v>0.18</v>
      </c>
      <c r="K12" s="24">
        <v>0</v>
      </c>
      <c r="L12" s="24">
        <f t="shared" ref="L12" si="10">I12*9/100</f>
        <v>180</v>
      </c>
      <c r="M12" s="23">
        <f t="shared" ref="M12" si="11">I12*9/100</f>
        <v>180</v>
      </c>
      <c r="N12" s="37">
        <f t="shared" ref="N12" si="12">+I12+L12+M12</f>
        <v>2360</v>
      </c>
      <c r="O12" s="22"/>
      <c r="P12" s="12"/>
    </row>
    <row r="13" spans="1:16" ht="17.100000000000001" customHeight="1" x14ac:dyDescent="0.25">
      <c r="A13" s="27">
        <f>IF(C13="","",COUNTA($C$4:C13))</f>
        <v>10</v>
      </c>
      <c r="B13" s="27" t="str">
        <f t="shared" si="0"/>
        <v>April</v>
      </c>
      <c r="C13" s="36">
        <v>45765</v>
      </c>
      <c r="D13" s="24" t="s">
        <v>353</v>
      </c>
      <c r="E13" s="22" t="s">
        <v>354</v>
      </c>
      <c r="F13" s="51">
        <v>226</v>
      </c>
      <c r="G13" s="48" t="s">
        <v>355</v>
      </c>
      <c r="H13" s="26" t="s">
        <v>356</v>
      </c>
      <c r="I13" s="23">
        <v>2804.46</v>
      </c>
      <c r="J13" s="42">
        <v>0.12</v>
      </c>
      <c r="K13" s="24">
        <v>0</v>
      </c>
      <c r="L13" s="24">
        <f>I13*6/100</f>
        <v>168.26760000000002</v>
      </c>
      <c r="M13" s="23">
        <f>I13*6/100</f>
        <v>168.26760000000002</v>
      </c>
      <c r="N13" s="37">
        <f>+I13+L13+M13+420</f>
        <v>3560.9952000000003</v>
      </c>
      <c r="O13" s="22"/>
      <c r="P13" s="12"/>
    </row>
    <row r="14" spans="1:16" ht="17.100000000000001" customHeight="1" x14ac:dyDescent="0.25">
      <c r="A14" s="27">
        <f>IF(C14="","",COUNTA($C$4:C14))</f>
        <v>11</v>
      </c>
      <c r="B14" s="27" t="str">
        <f t="shared" si="0"/>
        <v>April</v>
      </c>
      <c r="C14" s="36">
        <v>45775</v>
      </c>
      <c r="D14" s="24" t="s">
        <v>357</v>
      </c>
      <c r="E14" s="22" t="s">
        <v>358</v>
      </c>
      <c r="F14" s="51" t="s">
        <v>359</v>
      </c>
      <c r="G14" s="26" t="s">
        <v>360</v>
      </c>
      <c r="H14" s="26" t="s">
        <v>361</v>
      </c>
      <c r="I14" s="23">
        <v>7500</v>
      </c>
      <c r="J14" s="42">
        <v>0.18</v>
      </c>
      <c r="K14" s="24">
        <v>0</v>
      </c>
      <c r="L14" s="24">
        <f t="shared" ref="L14" si="13">I14*9/100</f>
        <v>675</v>
      </c>
      <c r="M14" s="23">
        <f t="shared" ref="M14" si="14">I14*9/100</f>
        <v>675</v>
      </c>
      <c r="N14" s="37">
        <f t="shared" ref="N14" si="15">+I14+L14+M14</f>
        <v>8850</v>
      </c>
      <c r="O14" s="22"/>
      <c r="P14" s="12"/>
    </row>
    <row r="15" spans="1:16" ht="17.100000000000001" customHeight="1" x14ac:dyDescent="0.25">
      <c r="A15" s="27">
        <f>IF(C15="","",COUNTA($C$4:C15))</f>
        <v>12</v>
      </c>
      <c r="B15" s="27" t="str">
        <f t="shared" si="0"/>
        <v>April</v>
      </c>
      <c r="C15" s="36">
        <v>45774</v>
      </c>
      <c r="D15" s="24" t="s">
        <v>362</v>
      </c>
      <c r="E15" s="22" t="s">
        <v>354</v>
      </c>
      <c r="F15" s="51">
        <v>374</v>
      </c>
      <c r="G15" s="26" t="s">
        <v>355</v>
      </c>
      <c r="H15" s="26" t="s">
        <v>356</v>
      </c>
      <c r="I15" s="23">
        <v>2975</v>
      </c>
      <c r="J15" s="42">
        <v>0.12</v>
      </c>
      <c r="K15" s="24">
        <v>0</v>
      </c>
      <c r="L15" s="24">
        <f>I15*6/100</f>
        <v>178.5</v>
      </c>
      <c r="M15" s="23">
        <f>I15*6/100</f>
        <v>178.5</v>
      </c>
      <c r="N15" s="37">
        <f>+I15+L15+M15+74+357+158</f>
        <v>3921</v>
      </c>
      <c r="O15" s="22"/>
      <c r="P15" s="12"/>
    </row>
    <row r="16" spans="1:16" ht="17.100000000000001" customHeight="1" x14ac:dyDescent="0.25">
      <c r="A16" s="27">
        <f>IF(C16="","",COUNTA($C$4:C16))</f>
        <v>13</v>
      </c>
      <c r="B16" s="27" t="str">
        <f t="shared" si="0"/>
        <v>April</v>
      </c>
      <c r="C16" s="36">
        <v>45775</v>
      </c>
      <c r="D16" s="24" t="s">
        <v>363</v>
      </c>
      <c r="E16" s="22" t="s">
        <v>364</v>
      </c>
      <c r="F16" s="51" t="s">
        <v>365</v>
      </c>
      <c r="G16" s="26" t="s">
        <v>366</v>
      </c>
      <c r="H16" s="26" t="s">
        <v>367</v>
      </c>
      <c r="I16" s="23">
        <v>3210</v>
      </c>
      <c r="J16" s="42">
        <v>0.18</v>
      </c>
      <c r="K16" s="24">
        <v>0</v>
      </c>
      <c r="L16" s="24">
        <f t="shared" ref="L16" si="16">I16*9/100</f>
        <v>288.89999999999998</v>
      </c>
      <c r="M16" s="23">
        <f t="shared" ref="M16" si="17">I16*9/100</f>
        <v>288.89999999999998</v>
      </c>
      <c r="N16" s="37">
        <f t="shared" ref="N16:N20" si="18">+I16+L16+M16</f>
        <v>3787.8</v>
      </c>
      <c r="O16" s="22"/>
      <c r="P16" s="12"/>
    </row>
    <row r="17" spans="1:16" ht="17.100000000000001" customHeight="1" x14ac:dyDescent="0.25">
      <c r="A17" s="27">
        <f>IF(C17="","",COUNTA($C$4:C17))</f>
        <v>14</v>
      </c>
      <c r="B17" s="27" t="str">
        <f t="shared" si="0"/>
        <v>April</v>
      </c>
      <c r="C17" s="36">
        <v>45777</v>
      </c>
      <c r="D17" s="24" t="s">
        <v>368</v>
      </c>
      <c r="E17" s="22" t="s">
        <v>141</v>
      </c>
      <c r="F17" s="51">
        <v>56</v>
      </c>
      <c r="G17" s="48" t="s">
        <v>369</v>
      </c>
      <c r="H17" s="39" t="s">
        <v>370</v>
      </c>
      <c r="I17" s="23">
        <v>32652</v>
      </c>
      <c r="J17" s="42">
        <v>0</v>
      </c>
      <c r="K17" s="24">
        <v>0</v>
      </c>
      <c r="L17" s="24">
        <v>0</v>
      </c>
      <c r="M17" s="23">
        <v>0</v>
      </c>
      <c r="N17" s="37">
        <f t="shared" si="18"/>
        <v>32652</v>
      </c>
      <c r="O17" s="22"/>
      <c r="P17" s="12"/>
    </row>
    <row r="18" spans="1:16" ht="17.100000000000001" customHeight="1" x14ac:dyDescent="0.25">
      <c r="A18" s="27">
        <f>IF(C18="","",COUNTA($C$4:C18))</f>
        <v>15</v>
      </c>
      <c r="B18" s="27" t="str">
        <f t="shared" ref="B18" si="19">IF(C18="","",TEXT(C18,"mmmm"))</f>
        <v>April</v>
      </c>
      <c r="C18" s="36">
        <v>45749</v>
      </c>
      <c r="D18" s="24" t="s">
        <v>371</v>
      </c>
      <c r="E18" s="48" t="s">
        <v>372</v>
      </c>
      <c r="F18" s="51">
        <v>158</v>
      </c>
      <c r="G18" s="26" t="s">
        <v>373</v>
      </c>
      <c r="H18" s="26" t="s">
        <v>374</v>
      </c>
      <c r="I18" s="23">
        <v>25145</v>
      </c>
      <c r="J18" s="42">
        <v>0</v>
      </c>
      <c r="K18" s="24">
        <v>0</v>
      </c>
      <c r="L18" s="24">
        <v>0</v>
      </c>
      <c r="M18" s="23">
        <v>0</v>
      </c>
      <c r="N18" s="37">
        <f t="shared" si="18"/>
        <v>25145</v>
      </c>
      <c r="O18" s="22"/>
      <c r="P18" s="12"/>
    </row>
    <row r="19" spans="1:16" ht="17.100000000000001" customHeight="1" x14ac:dyDescent="0.25">
      <c r="A19" s="27">
        <f>IF(C19="","",COUNTA($C$4:C19))</f>
        <v>16</v>
      </c>
      <c r="B19" s="27" t="str">
        <f t="shared" si="0"/>
        <v>April</v>
      </c>
      <c r="C19" s="36">
        <v>45777</v>
      </c>
      <c r="D19" s="24" t="s">
        <v>375</v>
      </c>
      <c r="E19" s="48" t="s">
        <v>372</v>
      </c>
      <c r="F19" s="51">
        <v>161</v>
      </c>
      <c r="G19" s="26" t="s">
        <v>373</v>
      </c>
      <c r="H19" s="26" t="s">
        <v>374</v>
      </c>
      <c r="I19" s="23">
        <v>26035</v>
      </c>
      <c r="J19" s="42">
        <v>0</v>
      </c>
      <c r="K19" s="24">
        <v>0</v>
      </c>
      <c r="L19" s="24">
        <v>0</v>
      </c>
      <c r="M19" s="23">
        <v>0</v>
      </c>
      <c r="N19" s="37">
        <f t="shared" si="18"/>
        <v>26035</v>
      </c>
      <c r="O19" s="22"/>
      <c r="P19" s="12"/>
    </row>
    <row r="20" spans="1:16" ht="17.100000000000001" customHeight="1" x14ac:dyDescent="0.25">
      <c r="A20" s="27">
        <f>IF(C20="","",COUNTA($C$4:C20))</f>
        <v>17</v>
      </c>
      <c r="B20" s="27" t="str">
        <f t="shared" si="0"/>
        <v>April</v>
      </c>
      <c r="C20" s="36">
        <v>45777</v>
      </c>
      <c r="D20" s="24" t="s">
        <v>376</v>
      </c>
      <c r="E20" s="48" t="s">
        <v>372</v>
      </c>
      <c r="F20" s="51">
        <v>162</v>
      </c>
      <c r="G20" s="26" t="s">
        <v>373</v>
      </c>
      <c r="H20" s="26" t="s">
        <v>374</v>
      </c>
      <c r="I20" s="23">
        <v>22535</v>
      </c>
      <c r="J20" s="42">
        <v>0</v>
      </c>
      <c r="K20" s="24">
        <v>0</v>
      </c>
      <c r="L20" s="24">
        <v>0</v>
      </c>
      <c r="M20" s="23">
        <v>0</v>
      </c>
      <c r="N20" s="37">
        <f t="shared" si="18"/>
        <v>22535</v>
      </c>
      <c r="O20" s="22"/>
      <c r="P20" s="12"/>
    </row>
    <row r="21" spans="1:16" ht="17.100000000000001" customHeight="1" x14ac:dyDescent="0.25">
      <c r="A21" s="27">
        <f>IF(C21="","",COUNTA($C$4:C21))</f>
        <v>18</v>
      </c>
      <c r="B21" s="27" t="str">
        <f t="shared" si="0"/>
        <v>April</v>
      </c>
      <c r="C21" s="36">
        <v>45777</v>
      </c>
      <c r="D21" s="24" t="s">
        <v>377</v>
      </c>
      <c r="E21" s="22" t="s">
        <v>378</v>
      </c>
      <c r="F21" s="51">
        <v>1254</v>
      </c>
      <c r="G21" s="26" t="s">
        <v>379</v>
      </c>
      <c r="H21" s="39" t="s">
        <v>380</v>
      </c>
      <c r="I21" s="23">
        <v>14843.75</v>
      </c>
      <c r="J21" s="42">
        <v>0.28000000000000003</v>
      </c>
      <c r="K21" s="24">
        <v>0</v>
      </c>
      <c r="L21" s="24">
        <f>I21*14/100</f>
        <v>2078.125</v>
      </c>
      <c r="M21" s="23">
        <f>I21*14/100</f>
        <v>2078.125</v>
      </c>
      <c r="N21" s="37">
        <f t="shared" ref="N21:N44" si="20">+I21+L21+M21</f>
        <v>19000</v>
      </c>
      <c r="O21" s="22"/>
      <c r="P21" s="12"/>
    </row>
    <row r="22" spans="1:16" ht="17.100000000000001" customHeight="1" x14ac:dyDescent="0.25">
      <c r="A22" s="27">
        <f>IF(C22="","",COUNTA($C$4:C22))</f>
        <v>19</v>
      </c>
      <c r="B22" s="27" t="str">
        <f t="shared" si="0"/>
        <v>April</v>
      </c>
      <c r="C22" s="36">
        <v>45777</v>
      </c>
      <c r="D22" s="24" t="s">
        <v>381</v>
      </c>
      <c r="E22" s="48" t="s">
        <v>382</v>
      </c>
      <c r="F22" s="51">
        <v>897</v>
      </c>
      <c r="G22" s="48" t="s">
        <v>383</v>
      </c>
      <c r="H22" s="11" t="s">
        <v>384</v>
      </c>
      <c r="I22" s="23">
        <v>15703</v>
      </c>
      <c r="J22" s="42">
        <v>0</v>
      </c>
      <c r="K22" s="24">
        <v>0</v>
      </c>
      <c r="L22" s="24">
        <v>0</v>
      </c>
      <c r="M22" s="23">
        <v>0</v>
      </c>
      <c r="N22" s="37">
        <f t="shared" si="20"/>
        <v>15703</v>
      </c>
      <c r="O22" s="22"/>
      <c r="P22" s="12"/>
    </row>
    <row r="23" spans="1:16" ht="17.100000000000001" customHeight="1" x14ac:dyDescent="0.25">
      <c r="A23" s="27">
        <f>IF(C23="","",COUNTA($C$4:C23))</f>
        <v>20</v>
      </c>
      <c r="B23" s="27" t="str">
        <f t="shared" si="0"/>
        <v>April</v>
      </c>
      <c r="C23" s="36">
        <v>45776</v>
      </c>
      <c r="D23" s="126" t="s">
        <v>385</v>
      </c>
      <c r="E23" s="48" t="s">
        <v>386</v>
      </c>
      <c r="F23" s="51" t="s">
        <v>387</v>
      </c>
      <c r="G23" s="48" t="s">
        <v>116</v>
      </c>
      <c r="H23" s="39" t="s">
        <v>388</v>
      </c>
      <c r="I23" s="23">
        <v>12840</v>
      </c>
      <c r="J23" s="42">
        <v>0.18</v>
      </c>
      <c r="K23" s="24">
        <v>0</v>
      </c>
      <c r="L23" s="24">
        <f t="shared" ref="L23" si="21">I23*9/100</f>
        <v>1155.5999999999999</v>
      </c>
      <c r="M23" s="23">
        <f t="shared" ref="M23" si="22">I23*9/100</f>
        <v>1155.5999999999999</v>
      </c>
      <c r="N23" s="37">
        <f t="shared" si="20"/>
        <v>15151.2</v>
      </c>
      <c r="O23" s="22"/>
      <c r="P23" s="12"/>
    </row>
    <row r="24" spans="1:16" ht="17.100000000000001" customHeight="1" x14ac:dyDescent="0.25">
      <c r="A24" s="27">
        <f>IF(C24="","",COUNTA($C$4:C24))</f>
        <v>21</v>
      </c>
      <c r="B24" s="27" t="str">
        <f t="shared" si="0"/>
        <v>April</v>
      </c>
      <c r="C24" s="36">
        <v>45777</v>
      </c>
      <c r="D24" s="127" t="s">
        <v>447</v>
      </c>
      <c r="E24" s="48" t="s">
        <v>448</v>
      </c>
      <c r="F24" s="51">
        <v>116</v>
      </c>
      <c r="G24" s="48" t="s">
        <v>449</v>
      </c>
      <c r="H24" s="39" t="s">
        <v>117</v>
      </c>
      <c r="I24" s="23">
        <v>80800</v>
      </c>
      <c r="J24" s="42">
        <v>0</v>
      </c>
      <c r="K24" s="24">
        <v>0</v>
      </c>
      <c r="L24" s="24">
        <v>0</v>
      </c>
      <c r="M24" s="23">
        <v>0</v>
      </c>
      <c r="N24" s="37">
        <f t="shared" si="20"/>
        <v>80800</v>
      </c>
      <c r="O24" s="22"/>
      <c r="P24" s="12"/>
    </row>
    <row r="25" spans="1:16" ht="17.100000000000001" customHeight="1" x14ac:dyDescent="0.25">
      <c r="A25" s="27">
        <f>IF(C25="","",COUNTA($C$4:C25))</f>
        <v>22</v>
      </c>
      <c r="B25" s="27" t="str">
        <f t="shared" si="0"/>
        <v>April</v>
      </c>
      <c r="C25" s="36">
        <v>45777</v>
      </c>
      <c r="D25" s="127" t="s">
        <v>450</v>
      </c>
      <c r="E25" s="48" t="s">
        <v>448</v>
      </c>
      <c r="F25" s="51">
        <v>117</v>
      </c>
      <c r="G25" s="48" t="s">
        <v>449</v>
      </c>
      <c r="H25" s="39" t="s">
        <v>117</v>
      </c>
      <c r="I25" s="23">
        <v>20050</v>
      </c>
      <c r="J25" s="42">
        <v>0</v>
      </c>
      <c r="K25" s="24">
        <v>0</v>
      </c>
      <c r="L25" s="24">
        <v>0</v>
      </c>
      <c r="M25" s="23">
        <v>0</v>
      </c>
      <c r="N25" s="37">
        <f t="shared" si="20"/>
        <v>20050</v>
      </c>
      <c r="O25" s="22"/>
      <c r="P25" s="12"/>
    </row>
    <row r="26" spans="1:16" ht="17.100000000000001" customHeight="1" x14ac:dyDescent="0.25">
      <c r="A26" s="27">
        <f>IF(C26="","",COUNTA($C$4:C26))</f>
        <v>23</v>
      </c>
      <c r="B26" s="27" t="str">
        <f t="shared" si="0"/>
        <v>April</v>
      </c>
      <c r="C26" s="36">
        <v>45777</v>
      </c>
      <c r="D26" s="127" t="s">
        <v>451</v>
      </c>
      <c r="E26" s="48" t="s">
        <v>452</v>
      </c>
      <c r="F26" s="51" t="s">
        <v>453</v>
      </c>
      <c r="G26" s="48" t="s">
        <v>454</v>
      </c>
      <c r="H26" s="39" t="s">
        <v>117</v>
      </c>
      <c r="I26" s="23">
        <f>1014+152.1</f>
        <v>1166.0999999999999</v>
      </c>
      <c r="J26" s="42">
        <v>0.18</v>
      </c>
      <c r="K26" s="24">
        <v>0</v>
      </c>
      <c r="L26" s="24">
        <f t="shared" ref="L26:L27" si="23">I26*9/100</f>
        <v>104.949</v>
      </c>
      <c r="M26" s="23">
        <f t="shared" ref="M26:M27" si="24">I26*9/100</f>
        <v>104.949</v>
      </c>
      <c r="N26" s="37">
        <f t="shared" si="20"/>
        <v>1375.998</v>
      </c>
      <c r="O26" s="22"/>
      <c r="P26" s="12"/>
    </row>
    <row r="27" spans="1:16" ht="17.100000000000001" customHeight="1" x14ac:dyDescent="0.25">
      <c r="A27" s="27">
        <f>IF(C27="","",COUNTA($C$4:C27))</f>
        <v>24</v>
      </c>
      <c r="B27" s="27" t="str">
        <f t="shared" si="0"/>
        <v>April</v>
      </c>
      <c r="C27" s="36">
        <v>45777</v>
      </c>
      <c r="D27" s="127" t="s">
        <v>455</v>
      </c>
      <c r="E27" s="48" t="s">
        <v>456</v>
      </c>
      <c r="F27" s="51" t="s">
        <v>243</v>
      </c>
      <c r="G27" s="26" t="s">
        <v>457</v>
      </c>
      <c r="H27" s="26" t="s">
        <v>458</v>
      </c>
      <c r="I27" s="23">
        <v>1500</v>
      </c>
      <c r="J27" s="42">
        <v>0.18</v>
      </c>
      <c r="K27" s="24">
        <v>0</v>
      </c>
      <c r="L27" s="24">
        <f t="shared" si="23"/>
        <v>135</v>
      </c>
      <c r="M27" s="23">
        <f t="shared" si="24"/>
        <v>135</v>
      </c>
      <c r="N27" s="37">
        <f t="shared" si="20"/>
        <v>1770</v>
      </c>
      <c r="O27" s="22"/>
      <c r="P27" s="12"/>
    </row>
    <row r="28" spans="1:16" ht="17.100000000000001" customHeight="1" x14ac:dyDescent="0.25">
      <c r="A28" s="27">
        <f>IF(C28="","",COUNTA($C$4:C28))</f>
        <v>25</v>
      </c>
      <c r="B28" s="27" t="str">
        <f t="shared" si="0"/>
        <v>April</v>
      </c>
      <c r="C28" s="36">
        <v>45777</v>
      </c>
      <c r="D28" s="127" t="s">
        <v>459</v>
      </c>
      <c r="E28" s="48" t="s">
        <v>460</v>
      </c>
      <c r="F28" s="51" t="s">
        <v>461</v>
      </c>
      <c r="G28" s="48" t="s">
        <v>462</v>
      </c>
      <c r="H28" s="39" t="s">
        <v>117</v>
      </c>
      <c r="I28" s="23">
        <v>19124</v>
      </c>
      <c r="J28" s="42">
        <v>0</v>
      </c>
      <c r="K28" s="24">
        <v>0</v>
      </c>
      <c r="L28" s="24">
        <v>0</v>
      </c>
      <c r="M28" s="23">
        <v>0</v>
      </c>
      <c r="N28" s="37">
        <f t="shared" si="20"/>
        <v>19124</v>
      </c>
      <c r="O28" s="22"/>
      <c r="P28" s="12"/>
    </row>
    <row r="29" spans="1:16" ht="17.100000000000001" customHeight="1" x14ac:dyDescent="0.25">
      <c r="A29" s="27">
        <f>IF(C29="","",COUNTA($C$4:C29))</f>
        <v>26</v>
      </c>
      <c r="B29" s="27" t="str">
        <f t="shared" si="0"/>
        <v>April</v>
      </c>
      <c r="C29" s="36">
        <v>45777</v>
      </c>
      <c r="D29" s="127" t="s">
        <v>477</v>
      </c>
      <c r="E29" s="48" t="s">
        <v>478</v>
      </c>
      <c r="F29" s="51">
        <v>1253</v>
      </c>
      <c r="G29" s="48" t="s">
        <v>116</v>
      </c>
      <c r="H29" s="39" t="s">
        <v>479</v>
      </c>
      <c r="I29" s="23">
        <v>27160.39</v>
      </c>
      <c r="J29" s="42">
        <v>0.18</v>
      </c>
      <c r="K29" s="24">
        <v>0</v>
      </c>
      <c r="L29" s="24">
        <f t="shared" ref="L29:L32" si="25">I29*9/100</f>
        <v>2444.4351000000001</v>
      </c>
      <c r="M29" s="23">
        <f t="shared" ref="M29:M30" si="26">I29*9/100</f>
        <v>2444.4351000000001</v>
      </c>
      <c r="N29" s="37">
        <f t="shared" ref="N29:N30" si="27">+I29+L29+M29</f>
        <v>32049.260199999997</v>
      </c>
      <c r="O29" s="22"/>
      <c r="P29" s="12"/>
    </row>
    <row r="30" spans="1:16" ht="17.100000000000001" customHeight="1" x14ac:dyDescent="0.25">
      <c r="A30" s="27">
        <f>IF(C30="","",COUNTA($C$4:C30))</f>
        <v>27</v>
      </c>
      <c r="B30" s="27" t="str">
        <f t="shared" si="0"/>
        <v>April</v>
      </c>
      <c r="C30" s="36">
        <v>45777</v>
      </c>
      <c r="D30" s="127" t="s">
        <v>480</v>
      </c>
      <c r="E30" s="48" t="s">
        <v>478</v>
      </c>
      <c r="F30" s="51">
        <v>1254</v>
      </c>
      <c r="G30" s="48" t="s">
        <v>116</v>
      </c>
      <c r="H30" s="39" t="s">
        <v>481</v>
      </c>
      <c r="I30" s="23">
        <v>16636.04</v>
      </c>
      <c r="J30" s="42">
        <v>0.18</v>
      </c>
      <c r="K30" s="24">
        <v>0</v>
      </c>
      <c r="L30" s="24">
        <f t="shared" si="25"/>
        <v>1497.2436000000002</v>
      </c>
      <c r="M30" s="23">
        <f t="shared" si="26"/>
        <v>1497.2436000000002</v>
      </c>
      <c r="N30" s="37">
        <f t="shared" si="27"/>
        <v>19630.527200000004</v>
      </c>
      <c r="O30" s="22"/>
      <c r="P30" s="12"/>
    </row>
    <row r="31" spans="1:16" ht="17.100000000000001" customHeight="1" x14ac:dyDescent="0.25">
      <c r="A31" s="27">
        <f>IF(C31="","",COUNTA($C$4:C31))</f>
        <v>28</v>
      </c>
      <c r="B31" s="27" t="str">
        <f t="shared" si="0"/>
        <v>April</v>
      </c>
      <c r="C31" s="36">
        <v>45777</v>
      </c>
      <c r="D31" s="127" t="s">
        <v>482</v>
      </c>
      <c r="E31" s="48" t="s">
        <v>478</v>
      </c>
      <c r="F31" s="51">
        <v>1255</v>
      </c>
      <c r="G31" s="48" t="s">
        <v>116</v>
      </c>
      <c r="H31" s="39" t="s">
        <v>483</v>
      </c>
      <c r="I31" s="23">
        <v>13046.5</v>
      </c>
      <c r="J31" s="42">
        <v>0.18</v>
      </c>
      <c r="K31" s="24">
        <v>0</v>
      </c>
      <c r="L31" s="24">
        <f t="shared" si="25"/>
        <v>1174.1849999999999</v>
      </c>
      <c r="M31" s="23">
        <f t="shared" ref="M31:M43" si="28">I31*9/100</f>
        <v>1174.1849999999999</v>
      </c>
      <c r="N31" s="37">
        <f t="shared" ref="N31:N43" si="29">+I31+L31+M31</f>
        <v>15394.869999999999</v>
      </c>
      <c r="O31" s="22"/>
      <c r="P31" s="12"/>
    </row>
    <row r="32" spans="1:16" ht="17.100000000000001" customHeight="1" x14ac:dyDescent="0.25">
      <c r="A32" s="27">
        <f>IF(C32="","",COUNTA($C$4:C32))</f>
        <v>29</v>
      </c>
      <c r="B32" s="27" t="str">
        <f t="shared" si="0"/>
        <v>April</v>
      </c>
      <c r="C32" s="36">
        <v>45777</v>
      </c>
      <c r="D32" s="127" t="s">
        <v>484</v>
      </c>
      <c r="E32" s="48" t="s">
        <v>478</v>
      </c>
      <c r="F32" s="51">
        <v>1256</v>
      </c>
      <c r="G32" s="48" t="s">
        <v>116</v>
      </c>
      <c r="H32" s="39" t="s">
        <v>481</v>
      </c>
      <c r="I32" s="23">
        <v>28861.01</v>
      </c>
      <c r="J32" s="42">
        <v>0.18</v>
      </c>
      <c r="K32" s="24">
        <v>0</v>
      </c>
      <c r="L32" s="24">
        <f t="shared" si="25"/>
        <v>2597.4908999999998</v>
      </c>
      <c r="M32" s="23">
        <f t="shared" si="28"/>
        <v>2597.4908999999998</v>
      </c>
      <c r="N32" s="37">
        <f t="shared" si="29"/>
        <v>34055.991799999996</v>
      </c>
      <c r="O32" s="22"/>
      <c r="P32" s="12"/>
    </row>
    <row r="33" spans="1:16" ht="17.100000000000001" customHeight="1" x14ac:dyDescent="0.25">
      <c r="A33" s="27">
        <f>IF(C33="","",COUNTA($C$4:C33))</f>
        <v>30</v>
      </c>
      <c r="B33" s="27" t="str">
        <f t="shared" si="0"/>
        <v>April</v>
      </c>
      <c r="C33" s="36">
        <v>45777</v>
      </c>
      <c r="D33" s="127" t="s">
        <v>485</v>
      </c>
      <c r="E33" s="48" t="s">
        <v>478</v>
      </c>
      <c r="F33" s="51">
        <v>1257</v>
      </c>
      <c r="G33" s="48" t="s">
        <v>116</v>
      </c>
      <c r="H33" s="39" t="s">
        <v>479</v>
      </c>
      <c r="I33" s="23">
        <v>15019.88</v>
      </c>
      <c r="J33" s="42">
        <v>0.18</v>
      </c>
      <c r="K33" s="24">
        <v>0</v>
      </c>
      <c r="L33" s="24">
        <f t="shared" ref="L33:L43" si="30">I33*9/100</f>
        <v>1351.7891999999999</v>
      </c>
      <c r="M33" s="23">
        <f t="shared" si="28"/>
        <v>1351.7891999999999</v>
      </c>
      <c r="N33" s="37">
        <f t="shared" si="29"/>
        <v>17723.4584</v>
      </c>
      <c r="O33" s="22"/>
      <c r="P33" s="12"/>
    </row>
    <row r="34" spans="1:16" ht="17.100000000000001" customHeight="1" x14ac:dyDescent="0.25">
      <c r="A34" s="27">
        <f>IF(C34="","",COUNTA($C$4:C34))</f>
        <v>31</v>
      </c>
      <c r="B34" s="27" t="str">
        <f t="shared" si="0"/>
        <v>April</v>
      </c>
      <c r="C34" s="36">
        <v>45777</v>
      </c>
      <c r="D34" s="127" t="s">
        <v>486</v>
      </c>
      <c r="E34" s="48" t="s">
        <v>478</v>
      </c>
      <c r="F34" s="51">
        <v>1258</v>
      </c>
      <c r="G34" s="48" t="s">
        <v>116</v>
      </c>
      <c r="H34" s="39" t="s">
        <v>479</v>
      </c>
      <c r="I34" s="23">
        <v>72802.16</v>
      </c>
      <c r="J34" s="42">
        <v>0.18</v>
      </c>
      <c r="K34" s="24">
        <v>0</v>
      </c>
      <c r="L34" s="24">
        <f t="shared" si="30"/>
        <v>6552.1944000000003</v>
      </c>
      <c r="M34" s="23">
        <f t="shared" si="28"/>
        <v>6552.1944000000003</v>
      </c>
      <c r="N34" s="37">
        <f t="shared" si="29"/>
        <v>85906.548800000019</v>
      </c>
      <c r="O34" s="22"/>
      <c r="P34" s="12"/>
    </row>
    <row r="35" spans="1:16" ht="17.100000000000001" customHeight="1" x14ac:dyDescent="0.25">
      <c r="A35" s="27">
        <f>IF(C35="","",COUNTA($C$4:C35))</f>
        <v>32</v>
      </c>
      <c r="B35" s="27" t="str">
        <f t="shared" si="0"/>
        <v>April</v>
      </c>
      <c r="C35" s="36">
        <v>45777</v>
      </c>
      <c r="D35" s="127" t="s">
        <v>487</v>
      </c>
      <c r="E35" s="48" t="s">
        <v>478</v>
      </c>
      <c r="F35" s="51">
        <v>1259</v>
      </c>
      <c r="G35" s="48" t="s">
        <v>116</v>
      </c>
      <c r="H35" s="39" t="s">
        <v>479</v>
      </c>
      <c r="I35" s="23">
        <v>68356.13</v>
      </c>
      <c r="J35" s="42">
        <v>0.18</v>
      </c>
      <c r="K35" s="24">
        <v>0</v>
      </c>
      <c r="L35" s="24">
        <f t="shared" si="30"/>
        <v>6152.0517</v>
      </c>
      <c r="M35" s="23">
        <f t="shared" si="28"/>
        <v>6152.0517</v>
      </c>
      <c r="N35" s="37">
        <f t="shared" si="29"/>
        <v>80660.233399999997</v>
      </c>
      <c r="O35" s="22"/>
      <c r="P35" s="12"/>
    </row>
    <row r="36" spans="1:16" ht="17.100000000000001" customHeight="1" x14ac:dyDescent="0.25">
      <c r="A36" s="27">
        <f>IF(C36="","",COUNTA($C$4:C36))</f>
        <v>33</v>
      </c>
      <c r="B36" s="27" t="str">
        <f t="shared" si="0"/>
        <v>April</v>
      </c>
      <c r="C36" s="36">
        <v>45777</v>
      </c>
      <c r="D36" s="127" t="s">
        <v>488</v>
      </c>
      <c r="E36" s="48" t="s">
        <v>478</v>
      </c>
      <c r="F36" s="51">
        <v>1260</v>
      </c>
      <c r="G36" s="48" t="s">
        <v>116</v>
      </c>
      <c r="H36" s="39" t="s">
        <v>489</v>
      </c>
      <c r="I36" s="23">
        <v>4035</v>
      </c>
      <c r="J36" s="42">
        <v>0.18</v>
      </c>
      <c r="K36" s="24">
        <v>0</v>
      </c>
      <c r="L36" s="24">
        <f t="shared" si="30"/>
        <v>363.15</v>
      </c>
      <c r="M36" s="23">
        <f t="shared" si="28"/>
        <v>363.15</v>
      </c>
      <c r="N36" s="37">
        <f t="shared" si="29"/>
        <v>4761.2999999999993</v>
      </c>
      <c r="O36" s="22"/>
      <c r="P36" s="12"/>
    </row>
    <row r="37" spans="1:16" ht="17.100000000000001" customHeight="1" x14ac:dyDescent="0.25">
      <c r="A37" s="27">
        <f>IF(C37="","",COUNTA($C$4:C37))</f>
        <v>34</v>
      </c>
      <c r="B37" s="27" t="str">
        <f t="shared" si="0"/>
        <v>April</v>
      </c>
      <c r="C37" s="36">
        <v>45777</v>
      </c>
      <c r="D37" s="127" t="s">
        <v>490</v>
      </c>
      <c r="E37" s="48" t="s">
        <v>478</v>
      </c>
      <c r="F37" s="51">
        <v>1261</v>
      </c>
      <c r="G37" s="48" t="s">
        <v>116</v>
      </c>
      <c r="H37" s="39" t="s">
        <v>491</v>
      </c>
      <c r="I37" s="23">
        <v>741.36</v>
      </c>
      <c r="J37" s="42">
        <v>0.18</v>
      </c>
      <c r="K37" s="24">
        <v>0</v>
      </c>
      <c r="L37" s="24">
        <f t="shared" si="30"/>
        <v>66.722399999999993</v>
      </c>
      <c r="M37" s="23">
        <f t="shared" si="28"/>
        <v>66.722399999999993</v>
      </c>
      <c r="N37" s="37">
        <f t="shared" si="29"/>
        <v>874.8048</v>
      </c>
      <c r="O37" s="22"/>
      <c r="P37" s="12"/>
    </row>
    <row r="38" spans="1:16" ht="17.100000000000001" customHeight="1" x14ac:dyDescent="0.25">
      <c r="A38" s="27">
        <f>IF(C38="","",COUNTA($C$4:C38))</f>
        <v>35</v>
      </c>
      <c r="B38" s="27" t="str">
        <f t="shared" si="0"/>
        <v>April</v>
      </c>
      <c r="C38" s="36">
        <v>45777</v>
      </c>
      <c r="D38" s="127" t="s">
        <v>492</v>
      </c>
      <c r="E38" s="48" t="s">
        <v>478</v>
      </c>
      <c r="F38" s="51">
        <v>1262</v>
      </c>
      <c r="G38" s="48" t="s">
        <v>116</v>
      </c>
      <c r="H38" s="39" t="s">
        <v>493</v>
      </c>
      <c r="I38" s="23">
        <v>323168.53000000003</v>
      </c>
      <c r="J38" s="42">
        <v>0.18</v>
      </c>
      <c r="K38" s="24">
        <v>0</v>
      </c>
      <c r="L38" s="24">
        <f t="shared" si="30"/>
        <v>29085.167700000005</v>
      </c>
      <c r="M38" s="23">
        <f t="shared" si="28"/>
        <v>29085.167700000005</v>
      </c>
      <c r="N38" s="37">
        <f t="shared" si="29"/>
        <v>381338.86540000001</v>
      </c>
      <c r="O38" s="22"/>
      <c r="P38" s="12"/>
    </row>
    <row r="39" spans="1:16" ht="17.100000000000001" customHeight="1" x14ac:dyDescent="0.25">
      <c r="A39" s="27">
        <f>IF(C39="","",COUNTA($C$4:C39))</f>
        <v>36</v>
      </c>
      <c r="B39" s="27" t="str">
        <f t="shared" si="0"/>
        <v>April</v>
      </c>
      <c r="C39" s="36">
        <v>45777</v>
      </c>
      <c r="D39" s="127" t="s">
        <v>494</v>
      </c>
      <c r="E39" s="48" t="s">
        <v>478</v>
      </c>
      <c r="F39" s="51">
        <v>1263</v>
      </c>
      <c r="G39" s="48" t="s">
        <v>116</v>
      </c>
      <c r="H39" s="39" t="s">
        <v>495</v>
      </c>
      <c r="I39" s="23">
        <v>16812.5</v>
      </c>
      <c r="J39" s="42">
        <v>0.18</v>
      </c>
      <c r="K39" s="24">
        <v>0</v>
      </c>
      <c r="L39" s="24">
        <f t="shared" si="30"/>
        <v>1513.125</v>
      </c>
      <c r="M39" s="23">
        <f t="shared" si="28"/>
        <v>1513.125</v>
      </c>
      <c r="N39" s="37">
        <f t="shared" si="29"/>
        <v>19838.75</v>
      </c>
      <c r="O39" s="22"/>
      <c r="P39" s="12"/>
    </row>
    <row r="40" spans="1:16" ht="17.100000000000001" customHeight="1" x14ac:dyDescent="0.25">
      <c r="A40" s="27">
        <f>IF(C40="","",COUNTA($C$4:C40))</f>
        <v>37</v>
      </c>
      <c r="B40" s="27" t="str">
        <f t="shared" si="0"/>
        <v>April</v>
      </c>
      <c r="C40" s="36">
        <v>45777</v>
      </c>
      <c r="D40" s="127" t="s">
        <v>496</v>
      </c>
      <c r="E40" s="48" t="s">
        <v>478</v>
      </c>
      <c r="F40" s="51">
        <v>1264</v>
      </c>
      <c r="G40" s="48" t="s">
        <v>116</v>
      </c>
      <c r="H40" s="39" t="s">
        <v>483</v>
      </c>
      <c r="I40" s="23">
        <v>4021.55</v>
      </c>
      <c r="J40" s="42">
        <v>0.18</v>
      </c>
      <c r="K40" s="24">
        <v>0</v>
      </c>
      <c r="L40" s="24">
        <f t="shared" si="30"/>
        <v>361.93950000000007</v>
      </c>
      <c r="M40" s="23">
        <f t="shared" si="28"/>
        <v>361.93950000000007</v>
      </c>
      <c r="N40" s="37">
        <f t="shared" si="29"/>
        <v>4745.429000000001</v>
      </c>
      <c r="O40" s="22"/>
      <c r="P40" s="12"/>
    </row>
    <row r="41" spans="1:16" ht="17.100000000000001" customHeight="1" x14ac:dyDescent="0.25">
      <c r="A41" s="27">
        <f>IF(C41="","",COUNTA($C$4:C41))</f>
        <v>38</v>
      </c>
      <c r="B41" s="27" t="str">
        <f t="shared" si="0"/>
        <v>April</v>
      </c>
      <c r="C41" s="36">
        <v>45777</v>
      </c>
      <c r="D41" s="127" t="s">
        <v>498</v>
      </c>
      <c r="E41" s="48" t="s">
        <v>478</v>
      </c>
      <c r="F41" s="51">
        <v>1265</v>
      </c>
      <c r="G41" s="48" t="s">
        <v>116</v>
      </c>
      <c r="H41" s="39" t="s">
        <v>479</v>
      </c>
      <c r="I41" s="23">
        <v>217410.64</v>
      </c>
      <c r="J41" s="42">
        <v>0.18</v>
      </c>
      <c r="K41" s="24">
        <v>0</v>
      </c>
      <c r="L41" s="24">
        <f t="shared" si="30"/>
        <v>19566.957600000002</v>
      </c>
      <c r="M41" s="23">
        <f t="shared" si="28"/>
        <v>19566.957600000002</v>
      </c>
      <c r="N41" s="37">
        <f t="shared" si="29"/>
        <v>256544.5552</v>
      </c>
      <c r="O41" s="22"/>
      <c r="P41" s="12"/>
    </row>
    <row r="42" spans="1:16" ht="17.100000000000001" customHeight="1" x14ac:dyDescent="0.25">
      <c r="A42" s="27">
        <f>IF(C42="","",COUNTA($C$4:C42))</f>
        <v>39</v>
      </c>
      <c r="B42" s="27" t="str">
        <f t="shared" si="0"/>
        <v>April</v>
      </c>
      <c r="C42" s="36">
        <v>45777</v>
      </c>
      <c r="D42" s="127" t="s">
        <v>497</v>
      </c>
      <c r="E42" s="48" t="s">
        <v>478</v>
      </c>
      <c r="F42" s="51">
        <v>1266</v>
      </c>
      <c r="G42" s="48" t="s">
        <v>116</v>
      </c>
      <c r="H42" s="39" t="s">
        <v>483</v>
      </c>
      <c r="I42" s="23">
        <v>24828.7</v>
      </c>
      <c r="J42" s="42">
        <v>0.18</v>
      </c>
      <c r="K42" s="24">
        <v>0</v>
      </c>
      <c r="L42" s="24">
        <f t="shared" si="30"/>
        <v>2234.5830000000001</v>
      </c>
      <c r="M42" s="23">
        <f t="shared" si="28"/>
        <v>2234.5830000000001</v>
      </c>
      <c r="N42" s="37">
        <f t="shared" si="29"/>
        <v>29297.865999999998</v>
      </c>
      <c r="O42" s="22"/>
      <c r="P42" s="12"/>
    </row>
    <row r="43" spans="1:16" ht="17.100000000000001" customHeight="1" x14ac:dyDescent="0.25">
      <c r="A43" s="27">
        <f>IF(C43="","",COUNTA($C$4:C43))</f>
        <v>40</v>
      </c>
      <c r="B43" s="27" t="str">
        <f t="shared" si="0"/>
        <v>April</v>
      </c>
      <c r="C43" s="36">
        <v>45770</v>
      </c>
      <c r="D43" s="127" t="s">
        <v>769</v>
      </c>
      <c r="E43" s="48" t="s">
        <v>100</v>
      </c>
      <c r="F43" s="51" t="s">
        <v>770</v>
      </c>
      <c r="G43" s="48" t="s">
        <v>116</v>
      </c>
      <c r="H43" s="39" t="s">
        <v>771</v>
      </c>
      <c r="I43" s="23">
        <f>359.2+256.38</f>
        <v>615.57999999999993</v>
      </c>
      <c r="J43" s="42">
        <v>0.18</v>
      </c>
      <c r="K43" s="24">
        <v>0</v>
      </c>
      <c r="L43" s="24">
        <f t="shared" si="30"/>
        <v>55.402199999999993</v>
      </c>
      <c r="M43" s="23">
        <f t="shared" si="28"/>
        <v>55.402199999999993</v>
      </c>
      <c r="N43" s="37">
        <f t="shared" si="29"/>
        <v>726.38439999999991</v>
      </c>
      <c r="O43" s="22"/>
      <c r="P43" s="12"/>
    </row>
    <row r="44" spans="1:16" ht="17.100000000000001" customHeight="1" x14ac:dyDescent="0.25">
      <c r="A44" s="27">
        <f>IF(C44="","",COUNTA($C$4:C44))</f>
        <v>41</v>
      </c>
      <c r="B44" s="27" t="str">
        <f t="shared" si="0"/>
        <v>May</v>
      </c>
      <c r="C44" s="36">
        <v>45778</v>
      </c>
      <c r="D44" s="126" t="s">
        <v>389</v>
      </c>
      <c r="E44" s="48" t="s">
        <v>390</v>
      </c>
      <c r="F44" s="51" t="s">
        <v>391</v>
      </c>
      <c r="G44" s="48" t="s">
        <v>392</v>
      </c>
      <c r="H44" s="39" t="s">
        <v>117</v>
      </c>
      <c r="I44" s="23">
        <v>60442</v>
      </c>
      <c r="J44" s="42">
        <v>0</v>
      </c>
      <c r="K44" s="24">
        <v>0</v>
      </c>
      <c r="L44" s="24">
        <v>0</v>
      </c>
      <c r="M44" s="23">
        <v>0</v>
      </c>
      <c r="N44" s="37">
        <f t="shared" si="20"/>
        <v>60442</v>
      </c>
      <c r="O44" s="22"/>
      <c r="P44" s="12"/>
    </row>
    <row r="45" spans="1:16" ht="17.100000000000001" customHeight="1" x14ac:dyDescent="0.25">
      <c r="A45" s="27">
        <f>IF(C45="","",COUNTA($C$4:C45))</f>
        <v>42</v>
      </c>
      <c r="B45" s="27" t="str">
        <f t="shared" si="0"/>
        <v>May</v>
      </c>
      <c r="C45" s="36">
        <v>45778</v>
      </c>
      <c r="D45" s="24" t="s">
        <v>463</v>
      </c>
      <c r="E45" s="48" t="s">
        <v>464</v>
      </c>
      <c r="F45" s="51" t="s">
        <v>465</v>
      </c>
      <c r="G45" s="48" t="s">
        <v>466</v>
      </c>
      <c r="H45" s="11" t="s">
        <v>467</v>
      </c>
      <c r="I45" s="23">
        <v>3500</v>
      </c>
      <c r="J45" s="42">
        <v>0.18</v>
      </c>
      <c r="K45" s="24">
        <v>0</v>
      </c>
      <c r="L45" s="24">
        <f t="shared" ref="L45:L46" si="31">I45*9/100</f>
        <v>315</v>
      </c>
      <c r="M45" s="23">
        <f t="shared" ref="M45:M46" si="32">I45*9/100</f>
        <v>315</v>
      </c>
      <c r="N45" s="37">
        <f t="shared" ref="N45:N47" si="33">+I45+L45+M45</f>
        <v>4130</v>
      </c>
      <c r="O45" s="22"/>
      <c r="P45" s="12"/>
    </row>
    <row r="46" spans="1:16" ht="17.100000000000001" customHeight="1" x14ac:dyDescent="0.25">
      <c r="A46" s="27">
        <f>IF(C46="","",COUNTA($C$4:C46))</f>
        <v>43</v>
      </c>
      <c r="B46" s="27" t="str">
        <f t="shared" si="0"/>
        <v>May</v>
      </c>
      <c r="C46" s="36">
        <v>45782</v>
      </c>
      <c r="D46" s="24" t="s">
        <v>468</v>
      </c>
      <c r="E46" s="48" t="s">
        <v>386</v>
      </c>
      <c r="F46" s="52" t="s">
        <v>469</v>
      </c>
      <c r="G46" s="48" t="s">
        <v>116</v>
      </c>
      <c r="H46" s="39" t="s">
        <v>470</v>
      </c>
      <c r="I46" s="23">
        <v>1350</v>
      </c>
      <c r="J46" s="42">
        <v>0.18</v>
      </c>
      <c r="K46" s="24">
        <v>0</v>
      </c>
      <c r="L46" s="24">
        <f t="shared" si="31"/>
        <v>121.5</v>
      </c>
      <c r="M46" s="23">
        <f t="shared" si="32"/>
        <v>121.5</v>
      </c>
      <c r="N46" s="37">
        <f t="shared" si="33"/>
        <v>1593</v>
      </c>
      <c r="O46" s="22"/>
      <c r="P46" s="12"/>
    </row>
    <row r="47" spans="1:16" ht="17.100000000000001" customHeight="1" x14ac:dyDescent="0.25">
      <c r="A47" s="27">
        <f>IF(C47="","",COUNTA($C$4:C47))</f>
        <v>44</v>
      </c>
      <c r="B47" s="27" t="str">
        <f t="shared" si="0"/>
        <v>May</v>
      </c>
      <c r="C47" s="36">
        <v>45779</v>
      </c>
      <c r="D47" s="24" t="s">
        <v>471</v>
      </c>
      <c r="E47" s="48" t="s">
        <v>111</v>
      </c>
      <c r="F47" s="51">
        <v>1243199005950</v>
      </c>
      <c r="G47" s="26" t="s">
        <v>472</v>
      </c>
      <c r="H47" s="39" t="s">
        <v>117</v>
      </c>
      <c r="I47" s="23">
        <v>55990</v>
      </c>
      <c r="J47" s="42">
        <v>0</v>
      </c>
      <c r="K47" s="24">
        <v>0</v>
      </c>
      <c r="L47" s="24">
        <v>0</v>
      </c>
      <c r="M47" s="23">
        <v>0</v>
      </c>
      <c r="N47" s="37">
        <f t="shared" si="33"/>
        <v>55990</v>
      </c>
      <c r="O47" s="22"/>
      <c r="P47" s="12"/>
    </row>
    <row r="48" spans="1:16" ht="17.100000000000001" customHeight="1" x14ac:dyDescent="0.25">
      <c r="A48" s="27">
        <f>IF(C48="","",COUNTA($C$4:C48))</f>
        <v>45</v>
      </c>
      <c r="B48" s="27" t="str">
        <f t="shared" si="0"/>
        <v>May</v>
      </c>
      <c r="C48" s="36">
        <v>45782</v>
      </c>
      <c r="D48" s="126" t="s">
        <v>473</v>
      </c>
      <c r="E48" s="48" t="s">
        <v>474</v>
      </c>
      <c r="F48" s="52" t="s">
        <v>475</v>
      </c>
      <c r="G48" s="26" t="s">
        <v>116</v>
      </c>
      <c r="H48" s="26" t="s">
        <v>476</v>
      </c>
      <c r="I48" s="23">
        <v>122889</v>
      </c>
      <c r="J48" s="42">
        <v>0.18</v>
      </c>
      <c r="K48" s="24">
        <v>0</v>
      </c>
      <c r="L48" s="24">
        <f t="shared" ref="L48:L50" si="34">I48*9/100</f>
        <v>11060.01</v>
      </c>
      <c r="M48" s="23">
        <f t="shared" ref="M48:M50" si="35">I48*9/100</f>
        <v>11060.01</v>
      </c>
      <c r="N48" s="37">
        <f t="shared" ref="N48:N52" si="36">+I48+L48+M48</f>
        <v>145009.02000000002</v>
      </c>
      <c r="O48" s="22"/>
      <c r="P48" s="12"/>
    </row>
    <row r="49" spans="1:16" ht="17.100000000000001" customHeight="1" x14ac:dyDescent="0.25">
      <c r="A49" s="27">
        <f>IF(C49="","",COUNTA($C$4:C49))</f>
        <v>46</v>
      </c>
      <c r="B49" s="27" t="str">
        <f t="shared" si="0"/>
        <v>May</v>
      </c>
      <c r="C49" s="36">
        <v>45791</v>
      </c>
      <c r="D49" s="24" t="s">
        <v>547</v>
      </c>
      <c r="E49" s="48" t="s">
        <v>548</v>
      </c>
      <c r="F49" s="51" t="s">
        <v>549</v>
      </c>
      <c r="G49" s="26" t="s">
        <v>550</v>
      </c>
      <c r="H49" s="26" t="s">
        <v>117</v>
      </c>
      <c r="I49" s="23">
        <v>495767.52</v>
      </c>
      <c r="J49" s="42">
        <v>0.18</v>
      </c>
      <c r="K49" s="24">
        <v>0</v>
      </c>
      <c r="L49" s="24">
        <f t="shared" si="34"/>
        <v>44619.076799999995</v>
      </c>
      <c r="M49" s="23">
        <f t="shared" si="35"/>
        <v>44619.076799999995</v>
      </c>
      <c r="N49" s="37">
        <f t="shared" si="36"/>
        <v>585005.6736000001</v>
      </c>
      <c r="O49" s="22"/>
      <c r="P49" s="12"/>
    </row>
    <row r="50" spans="1:16" ht="17.100000000000001" customHeight="1" x14ac:dyDescent="0.25">
      <c r="A50" s="27">
        <f>IF(C50="","",COUNTA($C$4:C50))</f>
        <v>47</v>
      </c>
      <c r="B50" s="27" t="str">
        <f t="shared" si="0"/>
        <v>May</v>
      </c>
      <c r="C50" s="36">
        <v>45791</v>
      </c>
      <c r="D50" s="24" t="s">
        <v>551</v>
      </c>
      <c r="E50" s="48" t="s">
        <v>548</v>
      </c>
      <c r="F50" s="51" t="s">
        <v>552</v>
      </c>
      <c r="G50" s="26" t="s">
        <v>553</v>
      </c>
      <c r="H50" s="26" t="s">
        <v>117</v>
      </c>
      <c r="I50" s="23">
        <v>328073.92</v>
      </c>
      <c r="J50" s="42">
        <v>0.18</v>
      </c>
      <c r="K50" s="24">
        <v>0</v>
      </c>
      <c r="L50" s="24">
        <f t="shared" si="34"/>
        <v>29526.652799999996</v>
      </c>
      <c r="M50" s="23">
        <f t="shared" si="35"/>
        <v>29526.652799999996</v>
      </c>
      <c r="N50" s="37">
        <f t="shared" si="36"/>
        <v>387127.22559999995</v>
      </c>
      <c r="O50" s="22"/>
      <c r="P50" s="12"/>
    </row>
    <row r="51" spans="1:16" ht="17.100000000000001" customHeight="1" x14ac:dyDescent="0.25">
      <c r="A51" s="27">
        <f>IF(C51="","",COUNTA($C$4:C51))</f>
        <v>48</v>
      </c>
      <c r="B51" s="27" t="str">
        <f t="shared" si="0"/>
        <v>May</v>
      </c>
      <c r="C51" s="36">
        <v>45792</v>
      </c>
      <c r="D51" s="24" t="s">
        <v>554</v>
      </c>
      <c r="E51" s="48" t="s">
        <v>141</v>
      </c>
      <c r="F51" s="51">
        <v>109</v>
      </c>
      <c r="G51" s="48" t="s">
        <v>369</v>
      </c>
      <c r="H51" s="26" t="s">
        <v>555</v>
      </c>
      <c r="I51" s="23">
        <v>21768</v>
      </c>
      <c r="J51" s="42">
        <v>0</v>
      </c>
      <c r="K51" s="24">
        <v>0</v>
      </c>
      <c r="L51" s="24">
        <v>0</v>
      </c>
      <c r="M51" s="23">
        <v>0</v>
      </c>
      <c r="N51" s="37">
        <f t="shared" si="36"/>
        <v>21768</v>
      </c>
      <c r="O51" s="22"/>
      <c r="P51" s="12"/>
    </row>
    <row r="52" spans="1:16" ht="17.100000000000001" customHeight="1" x14ac:dyDescent="0.25">
      <c r="A52" s="27">
        <f>IF(C52="","",COUNTA($C$4:C52))</f>
        <v>49</v>
      </c>
      <c r="B52" s="27" t="str">
        <f t="shared" ref="B52" si="37">IF(C52="","",TEXT(C52,"mmmm"))</f>
        <v>May</v>
      </c>
      <c r="C52" s="36">
        <v>45793</v>
      </c>
      <c r="D52" s="24" t="s">
        <v>556</v>
      </c>
      <c r="E52" s="48" t="s">
        <v>111</v>
      </c>
      <c r="F52" s="52" t="s">
        <v>557</v>
      </c>
      <c r="G52" s="26" t="s">
        <v>472</v>
      </c>
      <c r="H52" s="39" t="s">
        <v>117</v>
      </c>
      <c r="I52" s="23">
        <v>56851</v>
      </c>
      <c r="J52" s="42">
        <v>0</v>
      </c>
      <c r="K52" s="24"/>
      <c r="L52" s="24">
        <v>0</v>
      </c>
      <c r="M52" s="23">
        <v>0</v>
      </c>
      <c r="N52" s="37">
        <f t="shared" si="36"/>
        <v>56851</v>
      </c>
      <c r="O52" s="22"/>
      <c r="P52" s="12"/>
    </row>
    <row r="53" spans="1:16" ht="17.100000000000001" customHeight="1" x14ac:dyDescent="0.25">
      <c r="A53" s="27">
        <f>IF(C53="","",COUNTA($C$4:C53))</f>
        <v>50</v>
      </c>
      <c r="B53" s="27" t="str">
        <f t="shared" ref="B53" si="38">IF(C53="","",TEXT(C53,"mmmm"))</f>
        <v>May</v>
      </c>
      <c r="C53" s="36">
        <v>45793</v>
      </c>
      <c r="D53" s="24" t="s">
        <v>558</v>
      </c>
      <c r="E53" s="48" t="s">
        <v>559</v>
      </c>
      <c r="F53" s="51" t="s">
        <v>560</v>
      </c>
      <c r="G53" s="26" t="s">
        <v>561</v>
      </c>
      <c r="H53" s="39" t="s">
        <v>562</v>
      </c>
      <c r="I53" s="23">
        <f>7500+4333</f>
        <v>11833</v>
      </c>
      <c r="J53" s="42">
        <v>0.18</v>
      </c>
      <c r="K53" s="62">
        <f>I53*18/100</f>
        <v>2129.94</v>
      </c>
      <c r="L53" s="24">
        <v>0</v>
      </c>
      <c r="M53" s="23">
        <v>0</v>
      </c>
      <c r="N53" s="37">
        <f>I53+K53</f>
        <v>13962.94</v>
      </c>
      <c r="O53" s="22"/>
      <c r="P53" s="12"/>
    </row>
    <row r="54" spans="1:16" ht="17.100000000000001" customHeight="1" x14ac:dyDescent="0.25">
      <c r="A54" s="27">
        <f>IF(C54="","",COUNTA($C$4:C54))</f>
        <v>51</v>
      </c>
      <c r="B54" s="27" t="str">
        <f t="shared" ref="B54" si="39">IF(C54="","",TEXT(C54,"mmmm"))</f>
        <v>May</v>
      </c>
      <c r="C54" s="36">
        <v>45793</v>
      </c>
      <c r="D54" s="24" t="s">
        <v>563</v>
      </c>
      <c r="E54" s="48" t="s">
        <v>564</v>
      </c>
      <c r="F54" s="51" t="s">
        <v>565</v>
      </c>
      <c r="G54" s="26" t="s">
        <v>116</v>
      </c>
      <c r="H54" s="39" t="s">
        <v>566</v>
      </c>
      <c r="I54" s="23">
        <v>1960</v>
      </c>
      <c r="J54" s="42">
        <v>0.18</v>
      </c>
      <c r="K54" s="24">
        <v>0</v>
      </c>
      <c r="L54" s="24">
        <f t="shared" ref="L54" si="40">I54*9/100</f>
        <v>176.4</v>
      </c>
      <c r="M54" s="23">
        <f t="shared" ref="M54" si="41">I54*9/100</f>
        <v>176.4</v>
      </c>
      <c r="N54" s="37">
        <f t="shared" ref="N54:N55" si="42">+I54+L54+M54</f>
        <v>2312.8000000000002</v>
      </c>
      <c r="O54" s="22"/>
      <c r="P54" s="12"/>
    </row>
    <row r="55" spans="1:16" ht="17.100000000000001" customHeight="1" x14ac:dyDescent="0.25">
      <c r="A55" s="27">
        <f>IF(C55="","",COUNTA($C$4:C55))</f>
        <v>52</v>
      </c>
      <c r="B55" s="27" t="str">
        <f t="shared" si="0"/>
        <v>May</v>
      </c>
      <c r="C55" s="36">
        <v>45794</v>
      </c>
      <c r="D55" s="24" t="s">
        <v>567</v>
      </c>
      <c r="E55" s="48" t="s">
        <v>569</v>
      </c>
      <c r="F55" s="51">
        <v>19</v>
      </c>
      <c r="G55" s="26" t="s">
        <v>285</v>
      </c>
      <c r="H55" s="26" t="s">
        <v>568</v>
      </c>
      <c r="I55" s="23">
        <v>2000</v>
      </c>
      <c r="J55" s="42">
        <v>0</v>
      </c>
      <c r="K55" s="24">
        <v>0</v>
      </c>
      <c r="L55" s="24">
        <v>0</v>
      </c>
      <c r="M55" s="23">
        <v>0</v>
      </c>
      <c r="N55" s="37">
        <f t="shared" si="42"/>
        <v>2000</v>
      </c>
      <c r="O55" s="22"/>
      <c r="P55" s="12"/>
    </row>
    <row r="56" spans="1:16" ht="17.100000000000001" customHeight="1" x14ac:dyDescent="0.25">
      <c r="A56" s="27">
        <f>IF(C56="","",COUNTA($C$4:C56))</f>
        <v>53</v>
      </c>
      <c r="B56" s="27" t="str">
        <f t="shared" si="0"/>
        <v>May</v>
      </c>
      <c r="C56" s="36">
        <v>45797</v>
      </c>
      <c r="D56" s="24" t="s">
        <v>570</v>
      </c>
      <c r="E56" s="48" t="s">
        <v>571</v>
      </c>
      <c r="F56" s="51" t="s">
        <v>572</v>
      </c>
      <c r="G56" s="26" t="s">
        <v>573</v>
      </c>
      <c r="H56" s="39" t="s">
        <v>574</v>
      </c>
      <c r="I56" s="23">
        <v>1602</v>
      </c>
      <c r="J56" s="42">
        <v>0.18</v>
      </c>
      <c r="K56" s="24">
        <v>0</v>
      </c>
      <c r="L56" s="24">
        <f t="shared" ref="L56:L58" si="43">I56*9/100</f>
        <v>144.18</v>
      </c>
      <c r="M56" s="23">
        <f t="shared" ref="M56:M58" si="44">I56*9/100</f>
        <v>144.18</v>
      </c>
      <c r="N56" s="37">
        <f t="shared" ref="N56:N59" si="45">+I56+L56+M56</f>
        <v>1890.3600000000001</v>
      </c>
      <c r="O56" s="22"/>
      <c r="P56" s="12"/>
    </row>
    <row r="57" spans="1:16" ht="17.100000000000001" customHeight="1" x14ac:dyDescent="0.25">
      <c r="A57" s="27">
        <f>IF(C57="","",COUNTA($C$4:C57))</f>
        <v>54</v>
      </c>
      <c r="B57" s="27" t="str">
        <f t="shared" si="0"/>
        <v>May</v>
      </c>
      <c r="C57" s="36">
        <v>45796</v>
      </c>
      <c r="D57" s="24" t="s">
        <v>575</v>
      </c>
      <c r="E57" s="48" t="s">
        <v>576</v>
      </c>
      <c r="F57" s="51" t="s">
        <v>577</v>
      </c>
      <c r="G57" s="48" t="s">
        <v>578</v>
      </c>
      <c r="H57" s="39" t="s">
        <v>579</v>
      </c>
      <c r="I57" s="23">
        <v>25500</v>
      </c>
      <c r="J57" s="42">
        <v>0.18</v>
      </c>
      <c r="K57" s="24">
        <v>0</v>
      </c>
      <c r="L57" s="24">
        <f t="shared" si="43"/>
        <v>2295</v>
      </c>
      <c r="M57" s="23">
        <f t="shared" si="44"/>
        <v>2295</v>
      </c>
      <c r="N57" s="37">
        <f t="shared" si="45"/>
        <v>30090</v>
      </c>
      <c r="O57" s="22"/>
      <c r="P57" s="12"/>
    </row>
    <row r="58" spans="1:16" ht="17.100000000000001" customHeight="1" x14ac:dyDescent="0.25">
      <c r="A58" s="27">
        <f>IF(C58="","",COUNTA($C$4:C58))</f>
        <v>55</v>
      </c>
      <c r="B58" s="27" t="str">
        <f t="shared" si="0"/>
        <v>May</v>
      </c>
      <c r="C58" s="36">
        <v>45794</v>
      </c>
      <c r="D58" s="24" t="s">
        <v>580</v>
      </c>
      <c r="E58" s="48" t="s">
        <v>581</v>
      </c>
      <c r="F58" s="52" t="s">
        <v>582</v>
      </c>
      <c r="G58" s="48" t="s">
        <v>583</v>
      </c>
      <c r="H58" s="26" t="s">
        <v>117</v>
      </c>
      <c r="I58" s="23">
        <v>528746</v>
      </c>
      <c r="J58" s="42">
        <v>0.18</v>
      </c>
      <c r="K58" s="24">
        <v>0</v>
      </c>
      <c r="L58" s="24">
        <f t="shared" si="43"/>
        <v>47587.14</v>
      </c>
      <c r="M58" s="23">
        <f t="shared" si="44"/>
        <v>47587.14</v>
      </c>
      <c r="N58" s="37">
        <f t="shared" si="45"/>
        <v>623920.28</v>
      </c>
      <c r="O58" s="22"/>
      <c r="P58" s="12"/>
    </row>
    <row r="59" spans="1:16" ht="17.100000000000001" customHeight="1" x14ac:dyDescent="0.25">
      <c r="A59" s="27">
        <f>IF(C59="","",COUNTA($C$4:C59))</f>
        <v>56</v>
      </c>
      <c r="B59" s="27" t="str">
        <f t="shared" si="0"/>
        <v>May</v>
      </c>
      <c r="C59" s="36">
        <v>45798</v>
      </c>
      <c r="D59" s="24" t="s">
        <v>622</v>
      </c>
      <c r="E59" s="48" t="s">
        <v>354</v>
      </c>
      <c r="F59" s="51" t="s">
        <v>623</v>
      </c>
      <c r="G59" s="48" t="s">
        <v>355</v>
      </c>
      <c r="H59" s="26" t="s">
        <v>624</v>
      </c>
      <c r="I59" s="23">
        <v>5103</v>
      </c>
      <c r="J59" s="42">
        <v>0</v>
      </c>
      <c r="K59" s="24">
        <v>0</v>
      </c>
      <c r="L59" s="24">
        <v>0</v>
      </c>
      <c r="M59" s="23">
        <v>0</v>
      </c>
      <c r="N59" s="37">
        <f t="shared" si="45"/>
        <v>5103</v>
      </c>
      <c r="O59" s="22"/>
      <c r="P59" s="12"/>
    </row>
    <row r="60" spans="1:16" ht="17.100000000000001" customHeight="1" x14ac:dyDescent="0.25">
      <c r="A60" s="27">
        <f>IF(C60="","",COUNTA($C$4:C60))</f>
        <v>57</v>
      </c>
      <c r="B60" s="27" t="str">
        <f t="shared" si="0"/>
        <v>May</v>
      </c>
      <c r="C60" s="36">
        <v>45798</v>
      </c>
      <c r="D60" s="24" t="s">
        <v>625</v>
      </c>
      <c r="E60" s="48" t="s">
        <v>284</v>
      </c>
      <c r="F60" s="51">
        <v>3453</v>
      </c>
      <c r="G60" s="48" t="s">
        <v>285</v>
      </c>
      <c r="H60" s="26" t="s">
        <v>626</v>
      </c>
      <c r="I60" s="23">
        <v>5200</v>
      </c>
      <c r="J60" s="42">
        <v>0.18</v>
      </c>
      <c r="K60" s="24">
        <v>0</v>
      </c>
      <c r="L60" s="24">
        <f t="shared" ref="L60:L62" si="46">I60*9/100</f>
        <v>468</v>
      </c>
      <c r="M60" s="23">
        <f t="shared" ref="M60:M62" si="47">I60*9/100</f>
        <v>468</v>
      </c>
      <c r="N60" s="37">
        <f t="shared" ref="N60:N63" si="48">+I60+L60+M60</f>
        <v>6136</v>
      </c>
      <c r="O60" s="22"/>
      <c r="P60" s="12"/>
    </row>
    <row r="61" spans="1:16" ht="16.5" customHeight="1" x14ac:dyDescent="0.25">
      <c r="A61" s="27">
        <f>IF(C61="","",COUNTA($C$4:C61))</f>
        <v>58</v>
      </c>
      <c r="B61" s="27" t="str">
        <f t="shared" si="0"/>
        <v>May</v>
      </c>
      <c r="C61" s="36">
        <v>45803</v>
      </c>
      <c r="D61" s="24" t="s">
        <v>627</v>
      </c>
      <c r="E61" s="48" t="s">
        <v>60</v>
      </c>
      <c r="F61" s="51">
        <v>110</v>
      </c>
      <c r="G61" s="48" t="s">
        <v>116</v>
      </c>
      <c r="H61" s="26" t="s">
        <v>628</v>
      </c>
      <c r="I61" s="23">
        <v>18226.3</v>
      </c>
      <c r="J61" s="42">
        <v>0.18</v>
      </c>
      <c r="K61" s="24">
        <v>0</v>
      </c>
      <c r="L61" s="24">
        <f t="shared" si="46"/>
        <v>1640.3669999999997</v>
      </c>
      <c r="M61" s="23">
        <f t="shared" si="47"/>
        <v>1640.3669999999997</v>
      </c>
      <c r="N61" s="37">
        <f t="shared" si="48"/>
        <v>21507.033999999996</v>
      </c>
      <c r="O61" s="22"/>
      <c r="P61" s="12"/>
    </row>
    <row r="62" spans="1:16" ht="17.100000000000001" customHeight="1" x14ac:dyDescent="0.25">
      <c r="A62" s="27">
        <f>IF(C62="","",COUNTA($C$4:C62))</f>
        <v>59</v>
      </c>
      <c r="B62" s="27" t="str">
        <f t="shared" si="0"/>
        <v>May</v>
      </c>
      <c r="C62" s="36">
        <v>45803</v>
      </c>
      <c r="D62" s="24" t="s">
        <v>629</v>
      </c>
      <c r="E62" s="48" t="s">
        <v>60</v>
      </c>
      <c r="F62" s="51">
        <v>111</v>
      </c>
      <c r="G62" s="48" t="s">
        <v>116</v>
      </c>
      <c r="H62" s="39" t="s">
        <v>630</v>
      </c>
      <c r="I62" s="23">
        <v>10592.5</v>
      </c>
      <c r="J62" s="42">
        <v>0.18</v>
      </c>
      <c r="K62" s="24">
        <v>0</v>
      </c>
      <c r="L62" s="24">
        <f t="shared" si="46"/>
        <v>953.32500000000005</v>
      </c>
      <c r="M62" s="23">
        <f t="shared" si="47"/>
        <v>953.32500000000005</v>
      </c>
      <c r="N62" s="37">
        <f t="shared" si="48"/>
        <v>12499.150000000001</v>
      </c>
      <c r="O62" s="22"/>
      <c r="P62" s="12"/>
    </row>
    <row r="63" spans="1:16" ht="17.100000000000001" customHeight="1" x14ac:dyDescent="0.25">
      <c r="A63" s="27">
        <f>IF(C63="","",COUNTA($C$4:C63))</f>
        <v>60</v>
      </c>
      <c r="B63" s="27" t="str">
        <f t="shared" si="0"/>
        <v>May</v>
      </c>
      <c r="C63" s="36">
        <v>45803</v>
      </c>
      <c r="D63" s="24" t="s">
        <v>631</v>
      </c>
      <c r="E63" s="48" t="s">
        <v>138</v>
      </c>
      <c r="F63" s="51">
        <v>72</v>
      </c>
      <c r="G63" s="48" t="s">
        <v>116</v>
      </c>
      <c r="H63" s="39" t="s">
        <v>139</v>
      </c>
      <c r="I63" s="23">
        <v>88498.8</v>
      </c>
      <c r="J63" s="42">
        <v>0.28000000000000003</v>
      </c>
      <c r="K63" s="24">
        <v>0</v>
      </c>
      <c r="L63" s="24">
        <f>I63*14/100</f>
        <v>12389.832</v>
      </c>
      <c r="M63" s="23">
        <f>I63*14/100</f>
        <v>12389.832</v>
      </c>
      <c r="N63" s="37">
        <f t="shared" si="48"/>
        <v>113278.46399999999</v>
      </c>
      <c r="O63" s="22"/>
      <c r="P63" s="12"/>
    </row>
    <row r="64" spans="1:16" ht="17.100000000000001" customHeight="1" x14ac:dyDescent="0.25">
      <c r="A64" s="27">
        <f>IF(C64="","",COUNTA($C$4:C64))</f>
        <v>61</v>
      </c>
      <c r="B64" s="27" t="str">
        <f t="shared" si="0"/>
        <v>May</v>
      </c>
      <c r="C64" s="36">
        <v>45804</v>
      </c>
      <c r="D64" s="24" t="s">
        <v>632</v>
      </c>
      <c r="E64" s="48" t="s">
        <v>364</v>
      </c>
      <c r="F64" s="51" t="s">
        <v>633</v>
      </c>
      <c r="G64" s="26" t="s">
        <v>366</v>
      </c>
      <c r="H64" s="26" t="s">
        <v>367</v>
      </c>
      <c r="I64" s="23">
        <v>3210</v>
      </c>
      <c r="J64" s="42">
        <v>0.18</v>
      </c>
      <c r="K64" s="24">
        <v>0</v>
      </c>
      <c r="L64" s="24">
        <f t="shared" ref="L64" si="49">I64*9/100</f>
        <v>288.89999999999998</v>
      </c>
      <c r="M64" s="23">
        <f t="shared" ref="M64" si="50">I64*9/100</f>
        <v>288.89999999999998</v>
      </c>
      <c r="N64" s="37">
        <f t="shared" ref="N64" si="51">+I64+L64+M64</f>
        <v>3787.8</v>
      </c>
      <c r="O64" s="22"/>
      <c r="P64" s="12"/>
    </row>
    <row r="65" spans="1:16" ht="17.100000000000001" customHeight="1" x14ac:dyDescent="0.25">
      <c r="A65" s="27">
        <f>IF(C65="","",COUNTA($C$4:C65))</f>
        <v>62</v>
      </c>
      <c r="B65" s="27" t="str">
        <f t="shared" si="0"/>
        <v>May</v>
      </c>
      <c r="C65" s="36">
        <v>45804</v>
      </c>
      <c r="D65" s="24" t="s">
        <v>635</v>
      </c>
      <c r="E65" s="48" t="s">
        <v>280</v>
      </c>
      <c r="F65" s="51" t="s">
        <v>634</v>
      </c>
      <c r="G65" s="26" t="s">
        <v>146</v>
      </c>
      <c r="H65" s="26" t="s">
        <v>282</v>
      </c>
      <c r="I65" s="23">
        <v>13015</v>
      </c>
      <c r="J65" s="42">
        <v>0.18</v>
      </c>
      <c r="K65" s="62">
        <f>I65*18/100</f>
        <v>2342.6999999999998</v>
      </c>
      <c r="L65" s="24">
        <v>0</v>
      </c>
      <c r="M65" s="23">
        <v>0</v>
      </c>
      <c r="N65" s="37">
        <f>I65+K65</f>
        <v>15357.7</v>
      </c>
      <c r="O65" s="22"/>
      <c r="P65" s="12"/>
    </row>
    <row r="66" spans="1:16" ht="17.100000000000001" customHeight="1" x14ac:dyDescent="0.25">
      <c r="A66" s="27">
        <f>IF(C66="","",COUNTA($C$4:C66))</f>
        <v>63</v>
      </c>
      <c r="B66" s="27" t="str">
        <f t="shared" si="0"/>
        <v>May</v>
      </c>
      <c r="C66" s="36">
        <v>45808</v>
      </c>
      <c r="D66" s="24" t="s">
        <v>636</v>
      </c>
      <c r="E66" s="48" t="s">
        <v>141</v>
      </c>
      <c r="F66" s="51">
        <v>151</v>
      </c>
      <c r="G66" s="48" t="s">
        <v>142</v>
      </c>
      <c r="H66" s="26" t="s">
        <v>637</v>
      </c>
      <c r="I66" s="23">
        <v>21768</v>
      </c>
      <c r="J66" s="42">
        <v>0</v>
      </c>
      <c r="K66" s="24">
        <v>0</v>
      </c>
      <c r="L66" s="24">
        <v>0</v>
      </c>
      <c r="M66" s="23">
        <v>0</v>
      </c>
      <c r="N66" s="37">
        <f>I66+K66</f>
        <v>21768</v>
      </c>
      <c r="O66" s="22"/>
      <c r="P66" s="12"/>
    </row>
    <row r="67" spans="1:16" ht="17.100000000000001" customHeight="1" x14ac:dyDescent="0.25">
      <c r="A67" s="27">
        <f>IF(C67="","",COUNTA($C$4:C67))</f>
        <v>64</v>
      </c>
      <c r="B67" s="27" t="str">
        <f t="shared" si="0"/>
        <v>May</v>
      </c>
      <c r="C67" s="36">
        <v>45808</v>
      </c>
      <c r="D67" s="24" t="s">
        <v>638</v>
      </c>
      <c r="E67" s="48" t="s">
        <v>460</v>
      </c>
      <c r="F67" s="51" t="s">
        <v>639</v>
      </c>
      <c r="G67" s="48" t="s">
        <v>462</v>
      </c>
      <c r="H67" s="39" t="s">
        <v>640</v>
      </c>
      <c r="I67" s="23">
        <v>7160</v>
      </c>
      <c r="J67" s="42">
        <v>0</v>
      </c>
      <c r="K67" s="24">
        <v>0</v>
      </c>
      <c r="L67" s="24">
        <v>0</v>
      </c>
      <c r="M67" s="23">
        <v>0</v>
      </c>
      <c r="N67" s="37">
        <f>I67+K67</f>
        <v>7160</v>
      </c>
      <c r="O67" s="22"/>
      <c r="P67" s="12"/>
    </row>
    <row r="68" spans="1:16" ht="17.100000000000001" customHeight="1" x14ac:dyDescent="0.25">
      <c r="A68" s="27">
        <f>IF(C68="","",COUNTA($C$4:C68))</f>
        <v>65</v>
      </c>
      <c r="B68" s="27" t="str">
        <f t="shared" si="0"/>
        <v>May</v>
      </c>
      <c r="C68" s="36">
        <v>45808</v>
      </c>
      <c r="D68" s="24" t="s">
        <v>641</v>
      </c>
      <c r="E68" s="48" t="s">
        <v>456</v>
      </c>
      <c r="F68" s="51" t="s">
        <v>642</v>
      </c>
      <c r="G68" s="26" t="s">
        <v>457</v>
      </c>
      <c r="H68" s="26" t="s">
        <v>643</v>
      </c>
      <c r="I68" s="23">
        <v>1500</v>
      </c>
      <c r="J68" s="42">
        <v>0.18</v>
      </c>
      <c r="K68" s="24">
        <v>0</v>
      </c>
      <c r="L68" s="24">
        <f t="shared" ref="L68" si="52">I68*9/100</f>
        <v>135</v>
      </c>
      <c r="M68" s="23">
        <f t="shared" ref="M68" si="53">I68*9/100</f>
        <v>135</v>
      </c>
      <c r="N68" s="37">
        <f t="shared" ref="N68:N100" si="54">+I68+L68+M68</f>
        <v>1770</v>
      </c>
      <c r="O68" s="22"/>
      <c r="P68" s="12"/>
    </row>
    <row r="69" spans="1:16" ht="17.100000000000001" customHeight="1" x14ac:dyDescent="0.25">
      <c r="A69" s="27">
        <f>IF(C69="","",COUNTA($C$4:C69))</f>
        <v>66</v>
      </c>
      <c r="B69" s="27" t="str">
        <f t="shared" si="0"/>
        <v>May</v>
      </c>
      <c r="C69" s="36">
        <v>45805</v>
      </c>
      <c r="D69" s="24" t="s">
        <v>685</v>
      </c>
      <c r="E69" s="48" t="s">
        <v>686</v>
      </c>
      <c r="F69" s="51" t="s">
        <v>687</v>
      </c>
      <c r="G69" s="26" t="s">
        <v>688</v>
      </c>
      <c r="H69" s="26" t="s">
        <v>692</v>
      </c>
      <c r="I69" s="23">
        <f>10374+600+54+54</f>
        <v>11082</v>
      </c>
      <c r="J69" s="42">
        <v>0</v>
      </c>
      <c r="K69" s="24">
        <v>0</v>
      </c>
      <c r="L69" s="24">
        <v>0</v>
      </c>
      <c r="M69" s="23">
        <v>0</v>
      </c>
      <c r="N69" s="37">
        <f t="shared" si="54"/>
        <v>11082</v>
      </c>
      <c r="O69" s="22"/>
      <c r="P69" s="12"/>
    </row>
    <row r="70" spans="1:16" ht="17.100000000000001" customHeight="1" x14ac:dyDescent="0.25">
      <c r="A70" s="27">
        <f>IF(C70="","",COUNTA($C$4:C70))</f>
        <v>67</v>
      </c>
      <c r="B70" s="27" t="str">
        <f t="shared" si="0"/>
        <v>May</v>
      </c>
      <c r="C70" s="36">
        <v>45805</v>
      </c>
      <c r="D70" s="24" t="s">
        <v>689</v>
      </c>
      <c r="E70" s="48" t="s">
        <v>686</v>
      </c>
      <c r="F70" s="51" t="s">
        <v>690</v>
      </c>
      <c r="G70" s="26" t="s">
        <v>688</v>
      </c>
      <c r="H70" s="26" t="s">
        <v>691</v>
      </c>
      <c r="I70" s="23">
        <f>10374+600+54+54</f>
        <v>11082</v>
      </c>
      <c r="J70" s="42">
        <v>0</v>
      </c>
      <c r="K70" s="24">
        <v>0</v>
      </c>
      <c r="L70" s="24">
        <v>0</v>
      </c>
      <c r="M70" s="23">
        <v>0</v>
      </c>
      <c r="N70" s="37">
        <f>+I70+L70+M70</f>
        <v>11082</v>
      </c>
      <c r="O70" s="22"/>
      <c r="P70" s="12"/>
    </row>
    <row r="71" spans="1:16" ht="17.100000000000001" customHeight="1" x14ac:dyDescent="0.25">
      <c r="A71" s="27">
        <f>IF(C71="","",COUNTA($C$4:C71))</f>
        <v>68</v>
      </c>
      <c r="B71" s="27" t="str">
        <f t="shared" si="0"/>
        <v>May</v>
      </c>
      <c r="C71" s="36">
        <v>45808</v>
      </c>
      <c r="D71" s="24" t="s">
        <v>693</v>
      </c>
      <c r="E71" s="48" t="s">
        <v>452</v>
      </c>
      <c r="F71" s="51" t="s">
        <v>694</v>
      </c>
      <c r="G71" s="26" t="s">
        <v>454</v>
      </c>
      <c r="H71" s="26" t="s">
        <v>640</v>
      </c>
      <c r="I71" s="23">
        <f>1131+169.65</f>
        <v>1300.6500000000001</v>
      </c>
      <c r="J71" s="42">
        <v>0.18</v>
      </c>
      <c r="K71" s="24">
        <v>0</v>
      </c>
      <c r="L71" s="24">
        <f t="shared" ref="L71" si="55">I71*9/100</f>
        <v>117.05850000000001</v>
      </c>
      <c r="M71" s="23">
        <f t="shared" ref="M71" si="56">I71*9/100</f>
        <v>117.05850000000001</v>
      </c>
      <c r="N71" s="37">
        <f t="shared" ref="N71:N72" si="57">+I71+L71+M71</f>
        <v>1534.7670000000003</v>
      </c>
      <c r="O71" s="22"/>
      <c r="P71" s="12"/>
    </row>
    <row r="72" spans="1:16" ht="17.100000000000001" customHeight="1" x14ac:dyDescent="0.25">
      <c r="A72" s="27">
        <f>IF(C72="","",COUNTA($C$4:C72))</f>
        <v>69</v>
      </c>
      <c r="B72" s="27" t="str">
        <f t="shared" si="0"/>
        <v>May</v>
      </c>
      <c r="C72" s="36">
        <v>45807</v>
      </c>
      <c r="D72" s="24" t="s">
        <v>695</v>
      </c>
      <c r="E72" s="48" t="s">
        <v>382</v>
      </c>
      <c r="F72" s="51">
        <v>214</v>
      </c>
      <c r="G72" s="26" t="s">
        <v>383</v>
      </c>
      <c r="H72" s="26" t="s">
        <v>696</v>
      </c>
      <c r="I72" s="23">
        <v>10740</v>
      </c>
      <c r="J72" s="42">
        <v>0</v>
      </c>
      <c r="K72" s="24">
        <v>0</v>
      </c>
      <c r="L72" s="24">
        <v>0</v>
      </c>
      <c r="M72" s="23">
        <v>0</v>
      </c>
      <c r="N72" s="37">
        <f t="shared" si="57"/>
        <v>10740</v>
      </c>
      <c r="O72" s="22"/>
      <c r="P72" s="12"/>
    </row>
    <row r="73" spans="1:16" ht="17.100000000000001" customHeight="1" x14ac:dyDescent="0.25">
      <c r="A73" s="27">
        <f>IF(C73="","",COUNTA($C$4:C73))</f>
        <v>70</v>
      </c>
      <c r="B73" s="27" t="str">
        <f t="shared" si="0"/>
        <v>May</v>
      </c>
      <c r="C73" s="36">
        <v>45808</v>
      </c>
      <c r="D73" s="24" t="s">
        <v>697</v>
      </c>
      <c r="E73" s="48" t="s">
        <v>478</v>
      </c>
      <c r="F73" s="51">
        <v>1269</v>
      </c>
      <c r="G73" s="26" t="s">
        <v>116</v>
      </c>
      <c r="H73" s="26" t="s">
        <v>495</v>
      </c>
      <c r="I73" s="23">
        <v>29092.35</v>
      </c>
      <c r="J73" s="42">
        <v>0.18</v>
      </c>
      <c r="K73" s="24">
        <v>0</v>
      </c>
      <c r="L73" s="24">
        <f t="shared" ref="L73:L89" si="58">I73*9/100</f>
        <v>2618.3114999999998</v>
      </c>
      <c r="M73" s="23">
        <f t="shared" ref="M73:M89" si="59">I73*9/100</f>
        <v>2618.3114999999998</v>
      </c>
      <c r="N73" s="37">
        <f t="shared" ref="N73:N91" si="60">+I73+L73+M73</f>
        <v>34328.972999999998</v>
      </c>
      <c r="O73" s="22"/>
      <c r="P73" s="12"/>
    </row>
    <row r="74" spans="1:16" ht="17.100000000000001" customHeight="1" x14ac:dyDescent="0.25">
      <c r="A74" s="27">
        <f>IF(C74="","",COUNTA($C$4:C74))</f>
        <v>71</v>
      </c>
      <c r="B74" s="27" t="str">
        <f t="shared" si="0"/>
        <v>May</v>
      </c>
      <c r="C74" s="36">
        <v>45808</v>
      </c>
      <c r="D74" s="24" t="s">
        <v>698</v>
      </c>
      <c r="E74" s="48" t="s">
        <v>478</v>
      </c>
      <c r="F74" s="51">
        <v>1270</v>
      </c>
      <c r="G74" s="26" t="s">
        <v>116</v>
      </c>
      <c r="H74" s="26" t="s">
        <v>495</v>
      </c>
      <c r="I74" s="23">
        <v>23981.35</v>
      </c>
      <c r="J74" s="42">
        <v>0.18</v>
      </c>
      <c r="K74" s="24">
        <v>0</v>
      </c>
      <c r="L74" s="24">
        <f t="shared" si="58"/>
        <v>2158.3215</v>
      </c>
      <c r="M74" s="23">
        <f t="shared" si="59"/>
        <v>2158.3215</v>
      </c>
      <c r="N74" s="37">
        <f t="shared" si="60"/>
        <v>28297.992999999995</v>
      </c>
      <c r="O74" s="22"/>
      <c r="P74" s="12"/>
    </row>
    <row r="75" spans="1:16" ht="17.100000000000001" customHeight="1" x14ac:dyDescent="0.25">
      <c r="A75" s="27">
        <f>IF(C75="","",COUNTA($C$4:C75))</f>
        <v>72</v>
      </c>
      <c r="B75" s="27" t="str">
        <f t="shared" si="0"/>
        <v>May</v>
      </c>
      <c r="C75" s="36">
        <v>45808</v>
      </c>
      <c r="D75" s="24" t="s">
        <v>699</v>
      </c>
      <c r="E75" s="48" t="s">
        <v>478</v>
      </c>
      <c r="F75" s="51">
        <v>1271</v>
      </c>
      <c r="G75" s="26" t="s">
        <v>116</v>
      </c>
      <c r="H75" s="26" t="s">
        <v>495</v>
      </c>
      <c r="I75" s="23">
        <v>20578.5</v>
      </c>
      <c r="J75" s="42">
        <v>0.18</v>
      </c>
      <c r="K75" s="24">
        <v>0</v>
      </c>
      <c r="L75" s="24">
        <f t="shared" si="58"/>
        <v>1852.0650000000001</v>
      </c>
      <c r="M75" s="23">
        <f t="shared" si="59"/>
        <v>1852.0650000000001</v>
      </c>
      <c r="N75" s="37">
        <f t="shared" si="60"/>
        <v>24282.629999999997</v>
      </c>
      <c r="O75" s="22"/>
      <c r="P75" s="12"/>
    </row>
    <row r="76" spans="1:16" ht="17.100000000000001" customHeight="1" x14ac:dyDescent="0.25">
      <c r="A76" s="27">
        <f>IF(C76="","",COUNTA($C$4:C76))</f>
        <v>73</v>
      </c>
      <c r="B76" s="27" t="str">
        <f t="shared" si="0"/>
        <v>May</v>
      </c>
      <c r="C76" s="36">
        <v>45808</v>
      </c>
      <c r="D76" s="24" t="s">
        <v>700</v>
      </c>
      <c r="E76" s="48" t="s">
        <v>478</v>
      </c>
      <c r="F76" s="51">
        <v>1272</v>
      </c>
      <c r="G76" s="26" t="s">
        <v>116</v>
      </c>
      <c r="H76" s="26" t="s">
        <v>479</v>
      </c>
      <c r="I76" s="23">
        <v>362518.93</v>
      </c>
      <c r="J76" s="42">
        <v>0.18</v>
      </c>
      <c r="K76" s="24">
        <v>0</v>
      </c>
      <c r="L76" s="24">
        <f t="shared" si="58"/>
        <v>32626.703700000002</v>
      </c>
      <c r="M76" s="23">
        <f t="shared" si="59"/>
        <v>32626.703700000002</v>
      </c>
      <c r="N76" s="37">
        <f t="shared" si="60"/>
        <v>427772.33740000002</v>
      </c>
      <c r="O76" s="22"/>
      <c r="P76" s="12"/>
    </row>
    <row r="77" spans="1:16" ht="17.100000000000001" customHeight="1" x14ac:dyDescent="0.25">
      <c r="A77" s="27">
        <f>IF(C77="","",COUNTA($C$4:C77))</f>
        <v>74</v>
      </c>
      <c r="B77" s="27" t="str">
        <f t="shared" si="0"/>
        <v>May</v>
      </c>
      <c r="C77" s="36">
        <v>45808</v>
      </c>
      <c r="D77" s="24" t="s">
        <v>701</v>
      </c>
      <c r="E77" s="48" t="s">
        <v>478</v>
      </c>
      <c r="F77" s="51">
        <v>1273</v>
      </c>
      <c r="G77" s="26" t="s">
        <v>116</v>
      </c>
      <c r="H77" s="26" t="s">
        <v>479</v>
      </c>
      <c r="I77" s="23">
        <v>148095.79999999999</v>
      </c>
      <c r="J77" s="42">
        <v>0.18</v>
      </c>
      <c r="K77" s="24">
        <v>0</v>
      </c>
      <c r="L77" s="24">
        <f t="shared" si="58"/>
        <v>13328.621999999999</v>
      </c>
      <c r="M77" s="23">
        <f t="shared" si="59"/>
        <v>13328.621999999999</v>
      </c>
      <c r="N77" s="37">
        <f t="shared" si="60"/>
        <v>174753.04399999999</v>
      </c>
      <c r="O77" s="22"/>
      <c r="P77" s="12"/>
    </row>
    <row r="78" spans="1:16" ht="17.100000000000001" customHeight="1" x14ac:dyDescent="0.25">
      <c r="A78" s="27">
        <f>IF(C78="","",COUNTA($C$4:C78))</f>
        <v>75</v>
      </c>
      <c r="B78" s="27" t="str">
        <f t="shared" si="0"/>
        <v>May</v>
      </c>
      <c r="C78" s="36">
        <v>45808</v>
      </c>
      <c r="D78" s="24" t="s">
        <v>702</v>
      </c>
      <c r="E78" s="48" t="s">
        <v>478</v>
      </c>
      <c r="F78" s="51">
        <v>1274</v>
      </c>
      <c r="G78" s="26" t="s">
        <v>116</v>
      </c>
      <c r="H78" s="26" t="s">
        <v>491</v>
      </c>
      <c r="I78" s="23">
        <v>2336</v>
      </c>
      <c r="J78" s="42">
        <v>0.18</v>
      </c>
      <c r="K78" s="24">
        <v>0</v>
      </c>
      <c r="L78" s="24">
        <f t="shared" si="58"/>
        <v>210.24</v>
      </c>
      <c r="M78" s="23">
        <f t="shared" si="59"/>
        <v>210.24</v>
      </c>
      <c r="N78" s="37">
        <f t="shared" si="60"/>
        <v>2756.4799999999996</v>
      </c>
      <c r="O78" s="22"/>
      <c r="P78" s="12"/>
    </row>
    <row r="79" spans="1:16" ht="17.100000000000001" customHeight="1" x14ac:dyDescent="0.25">
      <c r="A79" s="27">
        <f>IF(C79="","",COUNTA($C$4:C79))</f>
        <v>76</v>
      </c>
      <c r="B79" s="27" t="str">
        <f t="shared" si="0"/>
        <v>May</v>
      </c>
      <c r="C79" s="36">
        <v>45808</v>
      </c>
      <c r="D79" s="24" t="s">
        <v>703</v>
      </c>
      <c r="E79" s="48" t="s">
        <v>478</v>
      </c>
      <c r="F79" s="51">
        <v>1275</v>
      </c>
      <c r="G79" s="26" t="s">
        <v>116</v>
      </c>
      <c r="H79" s="26" t="s">
        <v>704</v>
      </c>
      <c r="I79" s="23">
        <v>7841.35</v>
      </c>
      <c r="J79" s="42">
        <v>0.18</v>
      </c>
      <c r="K79" s="24">
        <v>0</v>
      </c>
      <c r="L79" s="24">
        <f t="shared" si="58"/>
        <v>705.72150000000011</v>
      </c>
      <c r="M79" s="23">
        <f t="shared" si="59"/>
        <v>705.72150000000011</v>
      </c>
      <c r="N79" s="37">
        <f t="shared" si="60"/>
        <v>9252.7929999999997</v>
      </c>
      <c r="O79" s="22"/>
      <c r="P79" s="12"/>
    </row>
    <row r="80" spans="1:16" ht="17.100000000000001" customHeight="1" x14ac:dyDescent="0.25">
      <c r="A80" s="27">
        <f>IF(C80="","",COUNTA($C$4:C80))</f>
        <v>77</v>
      </c>
      <c r="B80" s="27" t="str">
        <f t="shared" si="0"/>
        <v>May</v>
      </c>
      <c r="C80" s="36">
        <v>45808</v>
      </c>
      <c r="D80" s="24" t="s">
        <v>705</v>
      </c>
      <c r="E80" s="48" t="s">
        <v>478</v>
      </c>
      <c r="F80" s="51">
        <v>1276</v>
      </c>
      <c r="G80" s="26" t="s">
        <v>116</v>
      </c>
      <c r="H80" s="26" t="s">
        <v>495</v>
      </c>
      <c r="I80" s="23">
        <v>9267.0499999999993</v>
      </c>
      <c r="J80" s="42">
        <v>0.18</v>
      </c>
      <c r="K80" s="24">
        <v>0</v>
      </c>
      <c r="L80" s="24">
        <f t="shared" si="58"/>
        <v>834.03449999999998</v>
      </c>
      <c r="M80" s="23">
        <f t="shared" si="59"/>
        <v>834.03449999999998</v>
      </c>
      <c r="N80" s="37">
        <f t="shared" si="60"/>
        <v>10935.118999999999</v>
      </c>
      <c r="O80" s="22"/>
      <c r="P80" s="12"/>
    </row>
    <row r="81" spans="1:16" ht="17.100000000000001" customHeight="1" x14ac:dyDescent="0.25">
      <c r="A81" s="27">
        <f>IF(C81="","",COUNTA($C$4:C81))</f>
        <v>78</v>
      </c>
      <c r="B81" s="27" t="str">
        <f t="shared" si="0"/>
        <v>May</v>
      </c>
      <c r="C81" s="36">
        <v>45808</v>
      </c>
      <c r="D81" s="24" t="s">
        <v>706</v>
      </c>
      <c r="E81" s="48" t="s">
        <v>478</v>
      </c>
      <c r="F81" s="51">
        <v>1277</v>
      </c>
      <c r="G81" s="26" t="s">
        <v>116</v>
      </c>
      <c r="H81" s="26" t="s">
        <v>707</v>
      </c>
      <c r="I81" s="23">
        <v>13450</v>
      </c>
      <c r="J81" s="42">
        <v>0.18</v>
      </c>
      <c r="K81" s="24">
        <v>0</v>
      </c>
      <c r="L81" s="24">
        <f t="shared" si="58"/>
        <v>1210.5</v>
      </c>
      <c r="M81" s="23">
        <f t="shared" si="59"/>
        <v>1210.5</v>
      </c>
      <c r="N81" s="37">
        <f t="shared" si="60"/>
        <v>15871</v>
      </c>
      <c r="O81" s="22"/>
      <c r="P81" s="12"/>
    </row>
    <row r="82" spans="1:16" ht="17.100000000000001" customHeight="1" x14ac:dyDescent="0.25">
      <c r="A82" s="27">
        <f>IF(C82="","",COUNTA($C$4:C82))</f>
        <v>79</v>
      </c>
      <c r="B82" s="27" t="str">
        <f t="shared" si="0"/>
        <v>May</v>
      </c>
      <c r="C82" s="36">
        <v>45808</v>
      </c>
      <c r="D82" s="24" t="s">
        <v>708</v>
      </c>
      <c r="E82" s="48" t="s">
        <v>478</v>
      </c>
      <c r="F82" s="51">
        <v>1278</v>
      </c>
      <c r="G82" s="26" t="s">
        <v>116</v>
      </c>
      <c r="H82" s="26" t="s">
        <v>495</v>
      </c>
      <c r="I82" s="23">
        <v>1573.65</v>
      </c>
      <c r="J82" s="42">
        <v>0.18</v>
      </c>
      <c r="K82" s="24">
        <v>0</v>
      </c>
      <c r="L82" s="24">
        <f t="shared" si="58"/>
        <v>141.6285</v>
      </c>
      <c r="M82" s="23">
        <f t="shared" si="59"/>
        <v>141.6285</v>
      </c>
      <c r="N82" s="37">
        <f t="shared" si="60"/>
        <v>1856.9070000000002</v>
      </c>
      <c r="O82" s="22"/>
      <c r="P82" s="12"/>
    </row>
    <row r="83" spans="1:16" ht="17.100000000000001" customHeight="1" x14ac:dyDescent="0.25">
      <c r="A83" s="27">
        <f>IF(C83="","",COUNTA($C$4:C83))</f>
        <v>80</v>
      </c>
      <c r="B83" s="27" t="str">
        <f t="shared" si="0"/>
        <v>May</v>
      </c>
      <c r="C83" s="36">
        <v>45808</v>
      </c>
      <c r="D83" s="24" t="s">
        <v>709</v>
      </c>
      <c r="E83" s="48" t="s">
        <v>478</v>
      </c>
      <c r="F83" s="51">
        <v>1279</v>
      </c>
      <c r="G83" s="26" t="s">
        <v>116</v>
      </c>
      <c r="H83" s="26" t="s">
        <v>495</v>
      </c>
      <c r="I83" s="23">
        <v>3806.35</v>
      </c>
      <c r="J83" s="42">
        <v>0.18</v>
      </c>
      <c r="K83" s="24">
        <v>0</v>
      </c>
      <c r="L83" s="24">
        <f t="shared" si="58"/>
        <v>342.57150000000001</v>
      </c>
      <c r="M83" s="23">
        <f t="shared" si="59"/>
        <v>342.57150000000001</v>
      </c>
      <c r="N83" s="37">
        <f t="shared" si="60"/>
        <v>4491.4930000000004</v>
      </c>
      <c r="O83" s="22"/>
      <c r="P83" s="12"/>
    </row>
    <row r="84" spans="1:16" ht="17.100000000000001" customHeight="1" x14ac:dyDescent="0.25">
      <c r="A84" s="27">
        <f>IF(C84="","",COUNTA($C$4:C84))</f>
        <v>81</v>
      </c>
      <c r="B84" s="27" t="str">
        <f t="shared" si="0"/>
        <v>May</v>
      </c>
      <c r="C84" s="36">
        <v>45808</v>
      </c>
      <c r="D84" s="24" t="s">
        <v>710</v>
      </c>
      <c r="E84" s="48" t="s">
        <v>478</v>
      </c>
      <c r="F84" s="51">
        <v>1280</v>
      </c>
      <c r="G84" s="26" t="s">
        <v>116</v>
      </c>
      <c r="H84" s="26" t="s">
        <v>479</v>
      </c>
      <c r="I84" s="23">
        <v>274722.17</v>
      </c>
      <c r="J84" s="42">
        <v>0.18</v>
      </c>
      <c r="K84" s="24">
        <v>0</v>
      </c>
      <c r="L84" s="24">
        <f t="shared" si="58"/>
        <v>24724.995299999999</v>
      </c>
      <c r="M84" s="23">
        <f t="shared" si="59"/>
        <v>24724.995299999999</v>
      </c>
      <c r="N84" s="37">
        <f t="shared" si="60"/>
        <v>324172.1606</v>
      </c>
      <c r="O84" s="22"/>
      <c r="P84" s="12"/>
    </row>
    <row r="85" spans="1:16" ht="17.100000000000001" customHeight="1" x14ac:dyDescent="0.25">
      <c r="A85" s="27">
        <f>IF(C85="","",COUNTA($C$4:C85))</f>
        <v>82</v>
      </c>
      <c r="B85" s="27" t="str">
        <f t="shared" si="0"/>
        <v>May</v>
      </c>
      <c r="C85" s="36">
        <v>45808</v>
      </c>
      <c r="D85" s="24" t="s">
        <v>711</v>
      </c>
      <c r="E85" s="48" t="s">
        <v>478</v>
      </c>
      <c r="F85" s="51">
        <v>1281</v>
      </c>
      <c r="G85" s="26" t="s">
        <v>116</v>
      </c>
      <c r="H85" s="26" t="s">
        <v>479</v>
      </c>
      <c r="I85" s="23">
        <v>349373.97</v>
      </c>
      <c r="J85" s="42">
        <v>0.18</v>
      </c>
      <c r="K85" s="24">
        <v>0</v>
      </c>
      <c r="L85" s="24">
        <f t="shared" si="58"/>
        <v>31443.657299999995</v>
      </c>
      <c r="M85" s="23">
        <f t="shared" si="59"/>
        <v>31443.657299999995</v>
      </c>
      <c r="N85" s="37">
        <f t="shared" si="60"/>
        <v>412261.28460000001</v>
      </c>
      <c r="O85" s="22"/>
      <c r="P85" s="12"/>
    </row>
    <row r="86" spans="1:16" ht="17.100000000000001" customHeight="1" x14ac:dyDescent="0.25">
      <c r="A86" s="27">
        <f>IF(C86="","",COUNTA($C$4:C86))</f>
        <v>83</v>
      </c>
      <c r="B86" s="27" t="str">
        <f t="shared" si="0"/>
        <v>May</v>
      </c>
      <c r="C86" s="36">
        <v>45808</v>
      </c>
      <c r="D86" s="24" t="s">
        <v>712</v>
      </c>
      <c r="E86" s="48" t="s">
        <v>478</v>
      </c>
      <c r="F86" s="51">
        <v>1282</v>
      </c>
      <c r="G86" s="26" t="s">
        <v>116</v>
      </c>
      <c r="H86" s="26" t="s">
        <v>495</v>
      </c>
      <c r="I86" s="23">
        <v>32427.95</v>
      </c>
      <c r="J86" s="42">
        <v>0.18</v>
      </c>
      <c r="K86" s="24">
        <v>0</v>
      </c>
      <c r="L86" s="24">
        <f t="shared" si="58"/>
        <v>2918.5155</v>
      </c>
      <c r="M86" s="23">
        <f t="shared" si="59"/>
        <v>2918.5155</v>
      </c>
      <c r="N86" s="37">
        <f t="shared" si="60"/>
        <v>38264.981</v>
      </c>
      <c r="O86" s="22"/>
      <c r="P86" s="12"/>
    </row>
    <row r="87" spans="1:16" ht="17.100000000000001" customHeight="1" x14ac:dyDescent="0.25">
      <c r="A87" s="27">
        <f>IF(C87="","",COUNTA($C$4:C87))</f>
        <v>84</v>
      </c>
      <c r="B87" s="27" t="str">
        <f t="shared" si="0"/>
        <v>May</v>
      </c>
      <c r="C87" s="36">
        <v>45808</v>
      </c>
      <c r="D87" s="24" t="s">
        <v>713</v>
      </c>
      <c r="E87" s="48" t="s">
        <v>478</v>
      </c>
      <c r="F87" s="51">
        <v>1283</v>
      </c>
      <c r="G87" s="26" t="s">
        <v>116</v>
      </c>
      <c r="H87" s="26" t="s">
        <v>495</v>
      </c>
      <c r="I87" s="23">
        <v>13167.55</v>
      </c>
      <c r="J87" s="42">
        <v>0.18</v>
      </c>
      <c r="K87" s="24">
        <v>0</v>
      </c>
      <c r="L87" s="24">
        <f t="shared" si="58"/>
        <v>1185.0795000000001</v>
      </c>
      <c r="M87" s="23">
        <f t="shared" si="59"/>
        <v>1185.0795000000001</v>
      </c>
      <c r="N87" s="37">
        <f t="shared" si="60"/>
        <v>15537.708999999999</v>
      </c>
      <c r="O87" s="22"/>
      <c r="P87" s="12"/>
    </row>
    <row r="88" spans="1:16" ht="17.100000000000001" customHeight="1" x14ac:dyDescent="0.25">
      <c r="A88" s="27">
        <f>IF(C88="","",COUNTA($C$4:C88))</f>
        <v>85</v>
      </c>
      <c r="B88" s="27" t="str">
        <f t="shared" si="0"/>
        <v>May</v>
      </c>
      <c r="C88" s="36">
        <v>45808</v>
      </c>
      <c r="D88" s="24" t="s">
        <v>714</v>
      </c>
      <c r="E88" s="48" t="s">
        <v>478</v>
      </c>
      <c r="F88" s="51">
        <v>1284</v>
      </c>
      <c r="G88" s="26" t="s">
        <v>116</v>
      </c>
      <c r="H88" s="26" t="s">
        <v>715</v>
      </c>
      <c r="I88" s="23">
        <v>607868.98</v>
      </c>
      <c r="J88" s="42">
        <v>0.18</v>
      </c>
      <c r="K88" s="24">
        <v>0</v>
      </c>
      <c r="L88" s="24">
        <f t="shared" si="58"/>
        <v>54708.208200000001</v>
      </c>
      <c r="M88" s="23">
        <f t="shared" si="59"/>
        <v>54708.208200000001</v>
      </c>
      <c r="N88" s="37">
        <f t="shared" si="60"/>
        <v>717285.39639999997</v>
      </c>
      <c r="O88" s="22"/>
      <c r="P88" s="12"/>
    </row>
    <row r="89" spans="1:16" ht="17.100000000000001" customHeight="1" x14ac:dyDescent="0.25">
      <c r="A89" s="27">
        <f>IF(C89="","",COUNTA($C$4:C89))</f>
        <v>86</v>
      </c>
      <c r="B89" s="27" t="str">
        <f t="shared" si="0"/>
        <v>May</v>
      </c>
      <c r="C89" s="36">
        <v>45808</v>
      </c>
      <c r="D89" s="24" t="s">
        <v>716</v>
      </c>
      <c r="E89" s="48" t="s">
        <v>478</v>
      </c>
      <c r="F89" s="51">
        <v>1285</v>
      </c>
      <c r="G89" s="26" t="s">
        <v>116</v>
      </c>
      <c r="H89" s="26" t="s">
        <v>483</v>
      </c>
      <c r="I89" s="23">
        <v>954.95</v>
      </c>
      <c r="J89" s="42">
        <v>0.18</v>
      </c>
      <c r="K89" s="24">
        <v>0</v>
      </c>
      <c r="L89" s="24">
        <f t="shared" si="58"/>
        <v>85.94550000000001</v>
      </c>
      <c r="M89" s="23">
        <f t="shared" si="59"/>
        <v>85.94550000000001</v>
      </c>
      <c r="N89" s="37">
        <f t="shared" si="60"/>
        <v>1126.8410000000001</v>
      </c>
      <c r="O89" s="22"/>
      <c r="P89" s="12"/>
    </row>
    <row r="90" spans="1:16" ht="17.100000000000001" customHeight="1" x14ac:dyDescent="0.25">
      <c r="A90" s="27">
        <f>IF(C90="","",COUNTA($C$4:C90))</f>
        <v>87</v>
      </c>
      <c r="B90" s="27" t="str">
        <f t="shared" si="0"/>
        <v>May</v>
      </c>
      <c r="C90" s="36">
        <v>45808</v>
      </c>
      <c r="D90" s="24" t="s">
        <v>717</v>
      </c>
      <c r="E90" s="48" t="s">
        <v>448</v>
      </c>
      <c r="F90" s="51">
        <v>153</v>
      </c>
      <c r="G90" s="26" t="s">
        <v>449</v>
      </c>
      <c r="H90" s="26" t="s">
        <v>640</v>
      </c>
      <c r="I90" s="23">
        <v>85050</v>
      </c>
      <c r="J90" s="42">
        <v>0</v>
      </c>
      <c r="K90" s="24">
        <v>0</v>
      </c>
      <c r="L90" s="24">
        <v>0</v>
      </c>
      <c r="M90" s="23">
        <v>0</v>
      </c>
      <c r="N90" s="37">
        <f t="shared" si="60"/>
        <v>85050</v>
      </c>
      <c r="O90" s="22"/>
      <c r="P90" s="12"/>
    </row>
    <row r="91" spans="1:16" ht="17.100000000000001" customHeight="1" x14ac:dyDescent="0.25">
      <c r="A91" s="27">
        <f>IF(C91="","",COUNTA($C$4:C91))</f>
        <v>88</v>
      </c>
      <c r="B91" s="27" t="str">
        <f t="shared" si="0"/>
        <v>May</v>
      </c>
      <c r="C91" s="36">
        <v>45808</v>
      </c>
      <c r="D91" s="24" t="s">
        <v>718</v>
      </c>
      <c r="E91" s="48" t="s">
        <v>448</v>
      </c>
      <c r="F91" s="51">
        <v>154</v>
      </c>
      <c r="G91" s="26" t="s">
        <v>449</v>
      </c>
      <c r="H91" s="26" t="s">
        <v>640</v>
      </c>
      <c r="I91" s="23">
        <v>58300</v>
      </c>
      <c r="J91" s="42">
        <v>0</v>
      </c>
      <c r="K91" s="24">
        <v>0</v>
      </c>
      <c r="L91" s="24">
        <v>0</v>
      </c>
      <c r="M91" s="23">
        <v>0</v>
      </c>
      <c r="N91" s="37">
        <f t="shared" si="60"/>
        <v>58300</v>
      </c>
      <c r="O91" s="22"/>
      <c r="P91" s="12"/>
    </row>
    <row r="92" spans="1:16" ht="17.100000000000001" customHeight="1" x14ac:dyDescent="0.25">
      <c r="A92" s="27">
        <f>IF(C92="","",COUNTA($C$4:C92))</f>
        <v>89</v>
      </c>
      <c r="B92" s="27" t="str">
        <f t="shared" si="0"/>
        <v>June</v>
      </c>
      <c r="C92" s="36">
        <v>45809</v>
      </c>
      <c r="D92" s="24" t="s">
        <v>644</v>
      </c>
      <c r="E92" s="48" t="s">
        <v>390</v>
      </c>
      <c r="F92" s="51" t="s">
        <v>645</v>
      </c>
      <c r="G92" s="48" t="s">
        <v>392</v>
      </c>
      <c r="H92" s="39" t="s">
        <v>640</v>
      </c>
      <c r="I92" s="23">
        <v>60442</v>
      </c>
      <c r="J92" s="42">
        <v>0</v>
      </c>
      <c r="K92" s="24">
        <v>0</v>
      </c>
      <c r="L92" s="24">
        <v>0</v>
      </c>
      <c r="M92" s="23">
        <v>0</v>
      </c>
      <c r="N92" s="37">
        <f t="shared" si="54"/>
        <v>60442</v>
      </c>
      <c r="O92" s="22"/>
      <c r="P92" s="12"/>
    </row>
    <row r="93" spans="1:16" ht="17.100000000000001" customHeight="1" x14ac:dyDescent="0.25">
      <c r="A93" s="27">
        <f>IF(C93="","",COUNTA($C$4:C93))</f>
        <v>90</v>
      </c>
      <c r="B93" s="27" t="str">
        <f t="shared" si="0"/>
        <v>June</v>
      </c>
      <c r="C93" s="36">
        <v>45810</v>
      </c>
      <c r="D93" s="24" t="s">
        <v>646</v>
      </c>
      <c r="E93" s="48" t="s">
        <v>569</v>
      </c>
      <c r="F93" s="51">
        <v>32</v>
      </c>
      <c r="G93" s="48" t="s">
        <v>285</v>
      </c>
      <c r="H93" s="39" t="s">
        <v>647</v>
      </c>
      <c r="I93" s="23">
        <v>40000</v>
      </c>
      <c r="J93" s="42">
        <v>0</v>
      </c>
      <c r="K93" s="24">
        <v>0</v>
      </c>
      <c r="L93" s="24">
        <v>0</v>
      </c>
      <c r="M93" s="23">
        <v>0</v>
      </c>
      <c r="N93" s="37">
        <f t="shared" si="54"/>
        <v>40000</v>
      </c>
      <c r="O93" s="22"/>
      <c r="P93" s="12"/>
    </row>
    <row r="94" spans="1:16" ht="17.100000000000001" customHeight="1" x14ac:dyDescent="0.25">
      <c r="A94" s="27">
        <f>IF(C94="","",COUNTA($C$4:C94))</f>
        <v>91</v>
      </c>
      <c r="B94" s="27" t="str">
        <f t="shared" ref="B94:B95" si="61">IF(C94="","",TEXT(C94,"mmmm"))</f>
        <v>June</v>
      </c>
      <c r="C94" s="36">
        <v>45811</v>
      </c>
      <c r="D94" s="24" t="s">
        <v>719</v>
      </c>
      <c r="E94" s="48" t="s">
        <v>111</v>
      </c>
      <c r="F94" s="52" t="s">
        <v>720</v>
      </c>
      <c r="G94" s="48" t="s">
        <v>472</v>
      </c>
      <c r="H94" s="39" t="s">
        <v>640</v>
      </c>
      <c r="I94" s="23">
        <v>86644.69</v>
      </c>
      <c r="J94" s="42">
        <v>0</v>
      </c>
      <c r="K94" s="24">
        <v>0</v>
      </c>
      <c r="L94" s="24">
        <v>0</v>
      </c>
      <c r="M94" s="23">
        <v>0</v>
      </c>
      <c r="N94" s="37">
        <f t="shared" si="54"/>
        <v>86644.69</v>
      </c>
      <c r="O94" s="22"/>
      <c r="P94" s="12"/>
    </row>
    <row r="95" spans="1:16" ht="17.100000000000001" customHeight="1" x14ac:dyDescent="0.25">
      <c r="A95" s="27">
        <f>IF(C95="","",COUNTA($C$4:C95))</f>
        <v>92</v>
      </c>
      <c r="B95" s="27" t="str">
        <f t="shared" si="61"/>
        <v>June</v>
      </c>
      <c r="C95" s="36">
        <v>45813</v>
      </c>
      <c r="D95" s="24" t="s">
        <v>721</v>
      </c>
      <c r="E95" s="48" t="s">
        <v>372</v>
      </c>
      <c r="F95" s="51">
        <v>163</v>
      </c>
      <c r="G95" s="26" t="s">
        <v>373</v>
      </c>
      <c r="H95" s="39" t="s">
        <v>722</v>
      </c>
      <c r="I95" s="23">
        <v>21520</v>
      </c>
      <c r="J95" s="42">
        <v>0</v>
      </c>
      <c r="K95" s="24">
        <v>0</v>
      </c>
      <c r="L95" s="24">
        <v>0</v>
      </c>
      <c r="M95" s="23">
        <v>0</v>
      </c>
      <c r="N95" s="37">
        <f t="shared" si="54"/>
        <v>21520</v>
      </c>
      <c r="O95" s="22"/>
      <c r="P95" s="12"/>
    </row>
    <row r="96" spans="1:16" ht="17.100000000000001" customHeight="1" x14ac:dyDescent="0.25">
      <c r="A96" s="27">
        <f>IF(C96="","",COUNTA($C$4:C96))</f>
        <v>93</v>
      </c>
      <c r="B96" s="27" t="str">
        <f t="shared" si="0"/>
        <v>June</v>
      </c>
      <c r="C96" s="36">
        <v>45813</v>
      </c>
      <c r="D96" s="24" t="s">
        <v>723</v>
      </c>
      <c r="E96" s="48" t="s">
        <v>372</v>
      </c>
      <c r="F96" s="51">
        <v>164</v>
      </c>
      <c r="G96" s="26" t="s">
        <v>373</v>
      </c>
      <c r="H96" s="39" t="s">
        <v>722</v>
      </c>
      <c r="I96" s="23">
        <v>26690</v>
      </c>
      <c r="J96" s="42">
        <v>0</v>
      </c>
      <c r="K96" s="24">
        <v>0</v>
      </c>
      <c r="L96" s="24">
        <v>0</v>
      </c>
      <c r="M96" s="23">
        <v>0</v>
      </c>
      <c r="N96" s="37">
        <f t="shared" si="54"/>
        <v>26690</v>
      </c>
      <c r="O96" s="22"/>
      <c r="P96" s="12"/>
    </row>
    <row r="97" spans="1:16" ht="17.100000000000001" customHeight="1" x14ac:dyDescent="0.25">
      <c r="A97" s="27">
        <f>IF(C97="","",COUNTA($C$4:C97))</f>
        <v>94</v>
      </c>
      <c r="B97" s="27" t="str">
        <f t="shared" si="0"/>
        <v>June</v>
      </c>
      <c r="C97" s="36">
        <v>45822</v>
      </c>
      <c r="D97" s="24" t="s">
        <v>772</v>
      </c>
      <c r="E97" s="48" t="s">
        <v>364</v>
      </c>
      <c r="F97" s="51" t="s">
        <v>773</v>
      </c>
      <c r="G97" s="26" t="s">
        <v>366</v>
      </c>
      <c r="H97" s="26" t="s">
        <v>774</v>
      </c>
      <c r="I97" s="23">
        <v>2790</v>
      </c>
      <c r="J97" s="42">
        <v>0.18</v>
      </c>
      <c r="K97" s="24">
        <v>0</v>
      </c>
      <c r="L97" s="24">
        <f t="shared" ref="L97:L99" si="62">I97*9/100</f>
        <v>251.1</v>
      </c>
      <c r="M97" s="23">
        <f t="shared" ref="M97:M99" si="63">I97*9/100</f>
        <v>251.1</v>
      </c>
      <c r="N97" s="37">
        <f t="shared" si="54"/>
        <v>3292.2</v>
      </c>
      <c r="O97" s="22"/>
      <c r="P97" s="12"/>
    </row>
    <row r="98" spans="1:16" ht="17.100000000000001" customHeight="1" x14ac:dyDescent="0.25">
      <c r="A98" s="27">
        <f>IF(C98="","",COUNTA($C$4:C98))</f>
        <v>95</v>
      </c>
      <c r="B98" s="27" t="str">
        <f t="shared" si="0"/>
        <v>June</v>
      </c>
      <c r="C98" s="36">
        <v>45822</v>
      </c>
      <c r="D98" s="24" t="s">
        <v>775</v>
      </c>
      <c r="E98" s="48" t="s">
        <v>548</v>
      </c>
      <c r="F98" s="51" t="s">
        <v>776</v>
      </c>
      <c r="G98" s="48" t="s">
        <v>583</v>
      </c>
      <c r="H98" s="39" t="s">
        <v>640</v>
      </c>
      <c r="I98" s="23">
        <v>493018.93</v>
      </c>
      <c r="J98" s="42">
        <v>0.18</v>
      </c>
      <c r="K98" s="24">
        <v>0</v>
      </c>
      <c r="L98" s="24">
        <f t="shared" si="62"/>
        <v>44371.703699999998</v>
      </c>
      <c r="M98" s="23">
        <f t="shared" si="63"/>
        <v>44371.703699999998</v>
      </c>
      <c r="N98" s="37">
        <f t="shared" si="54"/>
        <v>581762.33739999996</v>
      </c>
      <c r="O98" s="22"/>
      <c r="P98" s="12"/>
    </row>
    <row r="99" spans="1:16" ht="17.100000000000001" customHeight="1" x14ac:dyDescent="0.25">
      <c r="A99" s="27">
        <f>IF(C99="","",COUNTA($C$4:C99))</f>
        <v>96</v>
      </c>
      <c r="B99" s="27" t="str">
        <f t="shared" si="0"/>
        <v>June</v>
      </c>
      <c r="C99" s="36">
        <v>45822</v>
      </c>
      <c r="D99" s="24" t="s">
        <v>777</v>
      </c>
      <c r="E99" s="48" t="s">
        <v>548</v>
      </c>
      <c r="F99" s="51" t="s">
        <v>778</v>
      </c>
      <c r="G99" s="48" t="s">
        <v>553</v>
      </c>
      <c r="H99" s="39" t="s">
        <v>640</v>
      </c>
      <c r="I99" s="23">
        <v>271985.3</v>
      </c>
      <c r="J99" s="42">
        <v>0.18</v>
      </c>
      <c r="K99" s="24">
        <v>0</v>
      </c>
      <c r="L99" s="24">
        <f t="shared" si="62"/>
        <v>24478.676999999996</v>
      </c>
      <c r="M99" s="23">
        <f t="shared" si="63"/>
        <v>24478.676999999996</v>
      </c>
      <c r="N99" s="37">
        <f t="shared" si="54"/>
        <v>320942.65399999998</v>
      </c>
      <c r="O99" s="22"/>
      <c r="P99" s="12"/>
    </row>
    <row r="100" spans="1:16" ht="17.100000000000001" customHeight="1" x14ac:dyDescent="0.25">
      <c r="A100" s="27">
        <f>IF(C100="","",COUNTA($C$4:C100))</f>
        <v>97</v>
      </c>
      <c r="B100" s="27" t="str">
        <f t="shared" si="0"/>
        <v>June</v>
      </c>
      <c r="C100" s="36">
        <v>45823</v>
      </c>
      <c r="D100" s="24" t="s">
        <v>779</v>
      </c>
      <c r="E100" s="48" t="s">
        <v>141</v>
      </c>
      <c r="F100" s="51">
        <v>208</v>
      </c>
      <c r="G100" s="48" t="s">
        <v>780</v>
      </c>
      <c r="H100" s="26" t="s">
        <v>781</v>
      </c>
      <c r="I100" s="23">
        <v>1026</v>
      </c>
      <c r="J100" s="42">
        <v>0</v>
      </c>
      <c r="K100" s="24">
        <v>0</v>
      </c>
      <c r="L100" s="24">
        <v>0</v>
      </c>
      <c r="M100" s="23">
        <v>0</v>
      </c>
      <c r="N100" s="37">
        <f t="shared" si="54"/>
        <v>1026</v>
      </c>
      <c r="O100" s="22"/>
      <c r="P100" s="12"/>
    </row>
    <row r="101" spans="1:16" ht="17.100000000000001" customHeight="1" x14ac:dyDescent="0.25">
      <c r="A101" s="27">
        <f>IF(C101="","",COUNTA($C$4:C101))</f>
        <v>98</v>
      </c>
      <c r="B101" s="27" t="str">
        <f t="shared" si="0"/>
        <v>June</v>
      </c>
      <c r="C101" s="36">
        <v>45824</v>
      </c>
      <c r="D101" s="24" t="s">
        <v>782</v>
      </c>
      <c r="E101" s="48" t="s">
        <v>783</v>
      </c>
      <c r="F101" s="21" t="s">
        <v>784</v>
      </c>
      <c r="G101" s="48" t="s">
        <v>583</v>
      </c>
      <c r="H101" s="39" t="s">
        <v>640</v>
      </c>
      <c r="I101" s="23">
        <v>688841</v>
      </c>
      <c r="J101" s="46">
        <v>0.18</v>
      </c>
      <c r="K101" s="24">
        <v>0</v>
      </c>
      <c r="L101" s="24">
        <f t="shared" ref="L101:L103" si="64">I101*9/100</f>
        <v>61995.69</v>
      </c>
      <c r="M101" s="23">
        <f t="shared" ref="M101:M103" si="65">I101*9/100</f>
        <v>61995.69</v>
      </c>
      <c r="N101" s="37">
        <f t="shared" ref="N101" si="66">+I101+L101+M101</f>
        <v>812832.37999999989</v>
      </c>
      <c r="O101" s="22"/>
    </row>
    <row r="102" spans="1:16" ht="17.100000000000001" customHeight="1" x14ac:dyDescent="0.25">
      <c r="A102" s="27">
        <f>IF(C102="","",COUNTA($C$4:C102))</f>
        <v>99</v>
      </c>
      <c r="B102" s="27" t="str">
        <f t="shared" si="0"/>
        <v>June</v>
      </c>
      <c r="C102" s="36">
        <v>45828</v>
      </c>
      <c r="D102" s="24" t="s">
        <v>852</v>
      </c>
      <c r="E102" s="48" t="s">
        <v>853</v>
      </c>
      <c r="F102" s="21" t="s">
        <v>854</v>
      </c>
      <c r="G102" s="26" t="s">
        <v>855</v>
      </c>
      <c r="H102" s="26" t="s">
        <v>856</v>
      </c>
      <c r="I102" s="23">
        <v>4600</v>
      </c>
      <c r="J102" s="46">
        <v>0.18</v>
      </c>
      <c r="K102" s="24">
        <v>0</v>
      </c>
      <c r="L102" s="24">
        <f t="shared" si="64"/>
        <v>414</v>
      </c>
      <c r="M102" s="23">
        <f t="shared" si="65"/>
        <v>414</v>
      </c>
      <c r="N102" s="37">
        <f>+I102+L102+M102+311</f>
        <v>5739</v>
      </c>
      <c r="O102" s="22"/>
    </row>
    <row r="103" spans="1:16" ht="17.100000000000001" customHeight="1" x14ac:dyDescent="0.25">
      <c r="A103" s="27">
        <f>IF(C103="","",COUNTA($C$4:C103))</f>
        <v>100</v>
      </c>
      <c r="B103" s="27" t="str">
        <f t="shared" si="0"/>
        <v>June</v>
      </c>
      <c r="C103" s="36">
        <v>45829</v>
      </c>
      <c r="D103" s="24" t="s">
        <v>857</v>
      </c>
      <c r="E103" s="48" t="s">
        <v>145</v>
      </c>
      <c r="F103" s="21">
        <v>6</v>
      </c>
      <c r="G103" s="48" t="s">
        <v>146</v>
      </c>
      <c r="H103" s="26" t="s">
        <v>858</v>
      </c>
      <c r="I103" s="23">
        <v>55000</v>
      </c>
      <c r="J103" s="46">
        <v>0.18</v>
      </c>
      <c r="K103" s="24">
        <v>0</v>
      </c>
      <c r="L103" s="24">
        <f t="shared" si="64"/>
        <v>4950</v>
      </c>
      <c r="M103" s="23">
        <f t="shared" si="65"/>
        <v>4950</v>
      </c>
      <c r="N103" s="37">
        <f t="shared" ref="N103:N135" si="67">+I103+L103+M103</f>
        <v>64900</v>
      </c>
      <c r="O103" s="22"/>
    </row>
    <row r="104" spans="1:16" ht="17.100000000000001" customHeight="1" x14ac:dyDescent="0.25">
      <c r="A104" s="27">
        <f>IF(C104="","",COUNTA($C$4:C104))</f>
        <v>101</v>
      </c>
      <c r="B104" s="27" t="str">
        <f t="shared" si="0"/>
        <v>June</v>
      </c>
      <c r="C104" s="36">
        <v>45829</v>
      </c>
      <c r="D104" s="24" t="s">
        <v>859</v>
      </c>
      <c r="E104" s="48" t="s">
        <v>138</v>
      </c>
      <c r="F104" s="21">
        <v>125</v>
      </c>
      <c r="G104" s="48" t="s">
        <v>116</v>
      </c>
      <c r="H104" s="39" t="s">
        <v>860</v>
      </c>
      <c r="I104" s="23">
        <v>89515.8</v>
      </c>
      <c r="J104" s="47">
        <v>0.28000000000000003</v>
      </c>
      <c r="K104" s="24">
        <v>0</v>
      </c>
      <c r="L104" s="24">
        <f>I104*14/100</f>
        <v>12532.212</v>
      </c>
      <c r="M104" s="23">
        <f>I104*14/100</f>
        <v>12532.212</v>
      </c>
      <c r="N104" s="37">
        <f t="shared" si="67"/>
        <v>114580.224</v>
      </c>
      <c r="O104" s="22"/>
    </row>
    <row r="105" spans="1:16" ht="17.100000000000001" customHeight="1" x14ac:dyDescent="0.25">
      <c r="A105" s="27">
        <f>IF(C105="","",COUNTA($C$4:C105))</f>
        <v>102</v>
      </c>
      <c r="B105" s="27" t="str">
        <f t="shared" si="0"/>
        <v>June</v>
      </c>
      <c r="C105" s="36">
        <v>45836</v>
      </c>
      <c r="D105" s="24" t="s">
        <v>876</v>
      </c>
      <c r="E105" s="26" t="s">
        <v>877</v>
      </c>
      <c r="F105" s="21">
        <v>374</v>
      </c>
      <c r="G105" s="26" t="s">
        <v>878</v>
      </c>
      <c r="H105" s="26" t="s">
        <v>879</v>
      </c>
      <c r="I105" s="23">
        <v>15000</v>
      </c>
      <c r="J105" s="47">
        <v>0.18</v>
      </c>
      <c r="K105" s="24">
        <v>0</v>
      </c>
      <c r="L105" s="24">
        <f>I105*9/100</f>
        <v>1350</v>
      </c>
      <c r="M105" s="23">
        <f>I105*9/100</f>
        <v>1350</v>
      </c>
      <c r="N105" s="37">
        <f t="shared" si="67"/>
        <v>17700</v>
      </c>
      <c r="O105" s="22"/>
    </row>
    <row r="106" spans="1:16" ht="17.100000000000001" customHeight="1" x14ac:dyDescent="0.25">
      <c r="A106" s="27">
        <f>IF(C106="","",COUNTA($C$4:C106))</f>
        <v>103</v>
      </c>
      <c r="B106" s="27" t="str">
        <f t="shared" si="0"/>
        <v>June</v>
      </c>
      <c r="C106" s="36">
        <v>45836</v>
      </c>
      <c r="D106" s="24" t="s">
        <v>880</v>
      </c>
      <c r="E106" s="26" t="s">
        <v>877</v>
      </c>
      <c r="F106" s="21">
        <v>375</v>
      </c>
      <c r="G106" s="26" t="s">
        <v>878</v>
      </c>
      <c r="H106" s="26" t="s">
        <v>881</v>
      </c>
      <c r="I106" s="23">
        <v>21155</v>
      </c>
      <c r="J106" s="47">
        <v>0.18</v>
      </c>
      <c r="K106" s="24">
        <v>0</v>
      </c>
      <c r="L106" s="24">
        <f>I106*9/100</f>
        <v>1903.95</v>
      </c>
      <c r="M106" s="23">
        <f>I106*9/100</f>
        <v>1903.95</v>
      </c>
      <c r="N106" s="37">
        <f t="shared" si="67"/>
        <v>24962.9</v>
      </c>
      <c r="O106" s="22"/>
    </row>
    <row r="107" spans="1:16" ht="17.100000000000001" customHeight="1" x14ac:dyDescent="0.25">
      <c r="A107" s="27">
        <f>IF(C107="","",COUNTA($C$4:C107))</f>
        <v>104</v>
      </c>
      <c r="B107" s="27" t="str">
        <f t="shared" si="0"/>
        <v>June</v>
      </c>
      <c r="C107" s="36">
        <v>45836</v>
      </c>
      <c r="D107" s="24" t="s">
        <v>882</v>
      </c>
      <c r="E107" s="26" t="s">
        <v>877</v>
      </c>
      <c r="F107" s="21">
        <v>376</v>
      </c>
      <c r="G107" s="26" t="s">
        <v>878</v>
      </c>
      <c r="H107" s="26" t="s">
        <v>883</v>
      </c>
      <c r="I107" s="23">
        <v>5600</v>
      </c>
      <c r="J107" s="47">
        <v>0.18</v>
      </c>
      <c r="K107" s="24">
        <v>0</v>
      </c>
      <c r="L107" s="24">
        <f>I107*9/100</f>
        <v>504</v>
      </c>
      <c r="M107" s="23">
        <f>I107*9/100</f>
        <v>504</v>
      </c>
      <c r="N107" s="37">
        <f t="shared" si="67"/>
        <v>6608</v>
      </c>
      <c r="O107" s="22"/>
    </row>
    <row r="108" spans="1:16" ht="17.100000000000001" customHeight="1" x14ac:dyDescent="0.25">
      <c r="A108" s="27">
        <f>IF(C108="","",COUNTA($C$4:C108))</f>
        <v>105</v>
      </c>
      <c r="B108" s="27" t="str">
        <f t="shared" si="0"/>
        <v>June</v>
      </c>
      <c r="C108" s="49">
        <v>45838</v>
      </c>
      <c r="D108" s="24" t="s">
        <v>884</v>
      </c>
      <c r="E108" s="26" t="s">
        <v>460</v>
      </c>
      <c r="F108" s="53" t="s">
        <v>885</v>
      </c>
      <c r="G108" s="48" t="s">
        <v>462</v>
      </c>
      <c r="H108" s="26" t="s">
        <v>886</v>
      </c>
      <c r="I108" s="23">
        <v>11091</v>
      </c>
      <c r="J108" s="47">
        <v>0</v>
      </c>
      <c r="K108" s="24">
        <v>0</v>
      </c>
      <c r="L108" s="24">
        <v>0</v>
      </c>
      <c r="M108" s="23">
        <v>0</v>
      </c>
      <c r="N108" s="37">
        <f t="shared" si="67"/>
        <v>11091</v>
      </c>
      <c r="O108" s="22"/>
    </row>
    <row r="109" spans="1:16" ht="17.100000000000001" customHeight="1" x14ac:dyDescent="0.25">
      <c r="A109" s="27">
        <f>IF(C109="","",COUNTA($C$4:C109))</f>
        <v>106</v>
      </c>
      <c r="B109" s="27" t="str">
        <f t="shared" si="0"/>
        <v>June</v>
      </c>
      <c r="C109" s="49">
        <v>45838</v>
      </c>
      <c r="D109" s="24" t="s">
        <v>887</v>
      </c>
      <c r="E109" s="26" t="s">
        <v>141</v>
      </c>
      <c r="F109" s="21">
        <v>257</v>
      </c>
      <c r="G109" s="48" t="s">
        <v>142</v>
      </c>
      <c r="H109" s="26" t="s">
        <v>637</v>
      </c>
      <c r="I109" s="23">
        <v>10884</v>
      </c>
      <c r="J109" s="47">
        <v>0</v>
      </c>
      <c r="K109" s="24">
        <v>0</v>
      </c>
      <c r="L109" s="24">
        <v>0</v>
      </c>
      <c r="M109" s="23">
        <v>0</v>
      </c>
      <c r="N109" s="37">
        <f t="shared" si="67"/>
        <v>10884</v>
      </c>
      <c r="O109" s="22"/>
    </row>
    <row r="110" spans="1:16" ht="17.100000000000001" customHeight="1" x14ac:dyDescent="0.25">
      <c r="A110" s="27">
        <f>IF(C110="","",COUNTA($C$4:C110))</f>
        <v>107</v>
      </c>
      <c r="B110" s="27" t="str">
        <f t="shared" si="0"/>
        <v>June</v>
      </c>
      <c r="C110" s="49">
        <v>45838</v>
      </c>
      <c r="D110" s="24" t="s">
        <v>888</v>
      </c>
      <c r="E110" s="11" t="s">
        <v>456</v>
      </c>
      <c r="F110" s="21" t="s">
        <v>889</v>
      </c>
      <c r="G110" s="26" t="s">
        <v>457</v>
      </c>
      <c r="H110" s="26" t="s">
        <v>890</v>
      </c>
      <c r="I110" s="23">
        <v>1500</v>
      </c>
      <c r="J110" s="47">
        <v>0.18</v>
      </c>
      <c r="K110" s="24">
        <v>0</v>
      </c>
      <c r="L110" s="24">
        <f>I110*9/100</f>
        <v>135</v>
      </c>
      <c r="M110" s="23">
        <f>I110*9/100</f>
        <v>135</v>
      </c>
      <c r="N110" s="37">
        <f t="shared" si="67"/>
        <v>1770</v>
      </c>
      <c r="O110" s="22"/>
    </row>
    <row r="111" spans="1:16" ht="17.100000000000001" customHeight="1" x14ac:dyDescent="0.25">
      <c r="A111" s="27">
        <f>IF(C111="","",COUNTA($C$4:C111))</f>
        <v>108</v>
      </c>
      <c r="B111" s="27" t="str">
        <f t="shared" si="0"/>
        <v>June</v>
      </c>
      <c r="C111" s="49">
        <v>45838</v>
      </c>
      <c r="D111" s="24" t="s">
        <v>891</v>
      </c>
      <c r="E111" s="26" t="s">
        <v>115</v>
      </c>
      <c r="F111" s="21">
        <v>2142</v>
      </c>
      <c r="G111" s="26" t="s">
        <v>379</v>
      </c>
      <c r="H111" s="39" t="s">
        <v>892</v>
      </c>
      <c r="I111" s="23">
        <v>2100</v>
      </c>
      <c r="J111" s="47">
        <v>0.18</v>
      </c>
      <c r="K111" s="24">
        <v>0</v>
      </c>
      <c r="L111" s="24">
        <f>I111*9/100</f>
        <v>189</v>
      </c>
      <c r="M111" s="23">
        <f>I111*9/100</f>
        <v>189</v>
      </c>
      <c r="N111" s="37">
        <f t="shared" si="67"/>
        <v>2478</v>
      </c>
      <c r="O111" s="22"/>
    </row>
    <row r="112" spans="1:16" ht="17.100000000000001" customHeight="1" x14ac:dyDescent="0.25">
      <c r="A112" s="27">
        <f>IF(C112="","",COUNTA($C$4:C112))</f>
        <v>109</v>
      </c>
      <c r="B112" s="27" t="str">
        <f t="shared" ref="B112" si="68">IF(C112="","",TEXT(C112,"mmmm"))</f>
        <v>June</v>
      </c>
      <c r="C112" s="49">
        <v>45838</v>
      </c>
      <c r="D112" s="24" t="s">
        <v>893</v>
      </c>
      <c r="E112" s="26" t="s">
        <v>448</v>
      </c>
      <c r="F112" s="21">
        <v>166</v>
      </c>
      <c r="G112" s="26" t="s">
        <v>449</v>
      </c>
      <c r="H112" s="39" t="s">
        <v>886</v>
      </c>
      <c r="I112" s="23">
        <v>91200</v>
      </c>
      <c r="J112" s="47">
        <v>0</v>
      </c>
      <c r="K112" s="24">
        <v>0</v>
      </c>
      <c r="L112" s="24">
        <v>0</v>
      </c>
      <c r="M112" s="23">
        <v>0</v>
      </c>
      <c r="N112" s="37">
        <f t="shared" si="67"/>
        <v>91200</v>
      </c>
      <c r="O112" s="22"/>
    </row>
    <row r="113" spans="1:15" ht="17.100000000000001" customHeight="1" x14ac:dyDescent="0.25">
      <c r="A113" s="27">
        <f>IF(C113="","",COUNTA($C$4:C113))</f>
        <v>110</v>
      </c>
      <c r="B113" s="27" t="str">
        <f t="shared" ref="B113" si="69">IF(C113="","",TEXT(C113,"mmmm"))</f>
        <v>June</v>
      </c>
      <c r="C113" s="49">
        <v>45838</v>
      </c>
      <c r="D113" s="24" t="s">
        <v>894</v>
      </c>
      <c r="E113" s="26" t="s">
        <v>448</v>
      </c>
      <c r="F113" s="21">
        <v>167</v>
      </c>
      <c r="G113" s="26" t="s">
        <v>449</v>
      </c>
      <c r="H113" s="39" t="s">
        <v>886</v>
      </c>
      <c r="I113" s="23">
        <v>45450</v>
      </c>
      <c r="J113" s="47">
        <v>0</v>
      </c>
      <c r="K113" s="24">
        <v>0</v>
      </c>
      <c r="L113" s="24">
        <v>0</v>
      </c>
      <c r="M113" s="23">
        <v>0</v>
      </c>
      <c r="N113" s="37">
        <f t="shared" si="67"/>
        <v>45450</v>
      </c>
      <c r="O113" s="22"/>
    </row>
    <row r="114" spans="1:15" ht="17.100000000000001" customHeight="1" x14ac:dyDescent="0.25">
      <c r="A114" s="27">
        <f>IF(C114="","",COUNTA($C$4:C114))</f>
        <v>111</v>
      </c>
      <c r="B114" s="27" t="str">
        <f t="shared" ref="B114" si="70">IF(C114="","",TEXT(C114,"mmmm"))</f>
        <v>June</v>
      </c>
      <c r="C114" s="49">
        <v>45838</v>
      </c>
      <c r="D114" s="24" t="s">
        <v>895</v>
      </c>
      <c r="E114" s="26" t="s">
        <v>448</v>
      </c>
      <c r="F114" s="21">
        <v>168</v>
      </c>
      <c r="G114" s="26" t="s">
        <v>449</v>
      </c>
      <c r="H114" s="39" t="s">
        <v>886</v>
      </c>
      <c r="I114" s="23">
        <v>39800</v>
      </c>
      <c r="J114" s="47">
        <v>0</v>
      </c>
      <c r="K114" s="24">
        <v>0</v>
      </c>
      <c r="L114" s="24">
        <v>0</v>
      </c>
      <c r="M114" s="23">
        <v>0</v>
      </c>
      <c r="N114" s="37">
        <f t="shared" si="67"/>
        <v>39800</v>
      </c>
      <c r="O114" s="22"/>
    </row>
    <row r="115" spans="1:15" ht="17.100000000000001" customHeight="1" x14ac:dyDescent="0.25">
      <c r="A115" s="27">
        <f>IF(C115="","",COUNTA($C$4:C115))</f>
        <v>112</v>
      </c>
      <c r="B115" s="27" t="str">
        <f t="shared" si="0"/>
        <v>June</v>
      </c>
      <c r="C115" s="49">
        <v>45838</v>
      </c>
      <c r="D115" s="24" t="s">
        <v>896</v>
      </c>
      <c r="E115" s="26" t="s">
        <v>452</v>
      </c>
      <c r="F115" s="21" t="s">
        <v>897</v>
      </c>
      <c r="G115" s="26" t="s">
        <v>454</v>
      </c>
      <c r="H115" s="39" t="s">
        <v>886</v>
      </c>
      <c r="I115" s="23">
        <f>1521+228.15</f>
        <v>1749.15</v>
      </c>
      <c r="J115" s="47">
        <v>0.18</v>
      </c>
      <c r="K115" s="24">
        <v>0</v>
      </c>
      <c r="L115" s="24">
        <f t="shared" ref="L115:L131" si="71">I115*9/100</f>
        <v>157.42349999999999</v>
      </c>
      <c r="M115" s="23">
        <f t="shared" ref="M115:M131" si="72">I115*9/100</f>
        <v>157.42349999999999</v>
      </c>
      <c r="N115" s="37">
        <f t="shared" si="67"/>
        <v>2063.9969999999998</v>
      </c>
      <c r="O115" s="22"/>
    </row>
    <row r="116" spans="1:15" ht="17.100000000000001" customHeight="1" x14ac:dyDescent="0.25">
      <c r="A116" s="27">
        <f>IF(C116="","",COUNTA($C$4:C116))</f>
        <v>113</v>
      </c>
      <c r="B116" s="27" t="str">
        <f t="shared" si="0"/>
        <v>June</v>
      </c>
      <c r="C116" s="49">
        <v>45838</v>
      </c>
      <c r="D116" s="24" t="s">
        <v>898</v>
      </c>
      <c r="E116" s="26" t="s">
        <v>206</v>
      </c>
      <c r="F116" s="21" t="s">
        <v>899</v>
      </c>
      <c r="G116" s="26" t="s">
        <v>116</v>
      </c>
      <c r="H116" s="39" t="s">
        <v>900</v>
      </c>
      <c r="I116" s="23">
        <v>120959</v>
      </c>
      <c r="J116" s="47">
        <v>0.18</v>
      </c>
      <c r="K116" s="24">
        <v>0</v>
      </c>
      <c r="L116" s="24">
        <f t="shared" si="71"/>
        <v>10886.31</v>
      </c>
      <c r="M116" s="23">
        <f t="shared" si="72"/>
        <v>10886.31</v>
      </c>
      <c r="N116" s="37">
        <f t="shared" si="67"/>
        <v>142731.62</v>
      </c>
      <c r="O116" s="22"/>
    </row>
    <row r="117" spans="1:15" ht="17.100000000000001" customHeight="1" x14ac:dyDescent="0.25">
      <c r="A117" s="27">
        <f>IF(C117="","",COUNTA($C$4:C117))</f>
        <v>114</v>
      </c>
      <c r="B117" s="27" t="str">
        <f t="shared" si="0"/>
        <v>June</v>
      </c>
      <c r="C117" s="49">
        <v>45838</v>
      </c>
      <c r="D117" s="24" t="s">
        <v>937</v>
      </c>
      <c r="E117" s="26" t="s">
        <v>478</v>
      </c>
      <c r="F117" s="21">
        <v>1288</v>
      </c>
      <c r="G117" s="26" t="s">
        <v>116</v>
      </c>
      <c r="H117" s="39" t="s">
        <v>938</v>
      </c>
      <c r="I117" s="23">
        <v>181336.67</v>
      </c>
      <c r="J117" s="47">
        <v>0.18</v>
      </c>
      <c r="K117" s="24">
        <v>0</v>
      </c>
      <c r="L117" s="24">
        <f t="shared" si="71"/>
        <v>16320.300300000001</v>
      </c>
      <c r="M117" s="23">
        <f t="shared" si="72"/>
        <v>16320.300300000001</v>
      </c>
      <c r="N117" s="37">
        <f t="shared" si="67"/>
        <v>213977.27060000002</v>
      </c>
      <c r="O117" s="22"/>
    </row>
    <row r="118" spans="1:15" ht="17.100000000000001" customHeight="1" x14ac:dyDescent="0.25">
      <c r="A118" s="27">
        <f>IF(C118="","",COUNTA($C$4:C118))</f>
        <v>115</v>
      </c>
      <c r="B118" s="27" t="str">
        <f t="shared" si="0"/>
        <v>June</v>
      </c>
      <c r="C118" s="49">
        <v>45838</v>
      </c>
      <c r="D118" s="24" t="s">
        <v>939</v>
      </c>
      <c r="E118" s="26" t="s">
        <v>478</v>
      </c>
      <c r="F118" s="21">
        <v>1289</v>
      </c>
      <c r="G118" s="26" t="s">
        <v>116</v>
      </c>
      <c r="H118" s="39" t="s">
        <v>495</v>
      </c>
      <c r="I118" s="23">
        <v>6953.65</v>
      </c>
      <c r="J118" s="47">
        <v>0.18</v>
      </c>
      <c r="K118" s="24">
        <v>0</v>
      </c>
      <c r="L118" s="24">
        <f t="shared" si="71"/>
        <v>625.82849999999996</v>
      </c>
      <c r="M118" s="23">
        <f t="shared" si="72"/>
        <v>625.82849999999996</v>
      </c>
      <c r="N118" s="37">
        <f t="shared" si="67"/>
        <v>8205.3069999999989</v>
      </c>
      <c r="O118" s="22"/>
    </row>
    <row r="119" spans="1:15" ht="17.100000000000001" customHeight="1" x14ac:dyDescent="0.25">
      <c r="A119" s="27">
        <f>IF(C119="","",COUNTA($C$4:C119))</f>
        <v>116</v>
      </c>
      <c r="B119" s="27" t="str">
        <f t="shared" si="0"/>
        <v>June</v>
      </c>
      <c r="C119" s="49">
        <v>45838</v>
      </c>
      <c r="D119" s="24" t="s">
        <v>940</v>
      </c>
      <c r="E119" s="26" t="s">
        <v>478</v>
      </c>
      <c r="F119" s="21">
        <v>1290</v>
      </c>
      <c r="G119" s="26" t="s">
        <v>116</v>
      </c>
      <c r="H119" s="39" t="s">
        <v>479</v>
      </c>
      <c r="I119" s="23">
        <v>960.33</v>
      </c>
      <c r="J119" s="47">
        <v>0.18</v>
      </c>
      <c r="K119" s="24">
        <v>0</v>
      </c>
      <c r="L119" s="24">
        <f t="shared" si="71"/>
        <v>86.429700000000011</v>
      </c>
      <c r="M119" s="23">
        <f t="shared" si="72"/>
        <v>86.429700000000011</v>
      </c>
      <c r="N119" s="37">
        <f t="shared" si="67"/>
        <v>1133.1894</v>
      </c>
      <c r="O119" s="22"/>
    </row>
    <row r="120" spans="1:15" ht="17.100000000000001" customHeight="1" x14ac:dyDescent="0.25">
      <c r="A120" s="27">
        <f>IF(C120="","",COUNTA($C$4:C120))</f>
        <v>117</v>
      </c>
      <c r="B120" s="27" t="str">
        <f t="shared" si="0"/>
        <v>June</v>
      </c>
      <c r="C120" s="49">
        <v>45838</v>
      </c>
      <c r="D120" s="24" t="s">
        <v>941</v>
      </c>
      <c r="E120" s="26" t="s">
        <v>478</v>
      </c>
      <c r="F120" s="21">
        <v>1291</v>
      </c>
      <c r="G120" s="26" t="s">
        <v>116</v>
      </c>
      <c r="H120" s="39" t="s">
        <v>479</v>
      </c>
      <c r="I120" s="23">
        <v>3868.22</v>
      </c>
      <c r="J120" s="47">
        <v>0.18</v>
      </c>
      <c r="K120" s="24">
        <v>0</v>
      </c>
      <c r="L120" s="24">
        <f t="shared" si="71"/>
        <v>348.13979999999998</v>
      </c>
      <c r="M120" s="23">
        <f t="shared" si="72"/>
        <v>348.13979999999998</v>
      </c>
      <c r="N120" s="37">
        <f t="shared" si="67"/>
        <v>4564.4996000000001</v>
      </c>
      <c r="O120" s="22"/>
    </row>
    <row r="121" spans="1:15" ht="17.100000000000001" customHeight="1" x14ac:dyDescent="0.25">
      <c r="A121" s="27">
        <f>IF(C121="","",COUNTA($C$4:C121))</f>
        <v>118</v>
      </c>
      <c r="B121" s="27" t="str">
        <f t="shared" si="0"/>
        <v>June</v>
      </c>
      <c r="C121" s="49">
        <v>45838</v>
      </c>
      <c r="D121" s="24" t="s">
        <v>942</v>
      </c>
      <c r="E121" s="26" t="s">
        <v>478</v>
      </c>
      <c r="F121" s="21">
        <v>1292</v>
      </c>
      <c r="G121" s="26" t="s">
        <v>116</v>
      </c>
      <c r="H121" s="39" t="s">
        <v>943</v>
      </c>
      <c r="I121" s="54">
        <v>156445.01999999999</v>
      </c>
      <c r="J121" s="47">
        <v>0.18</v>
      </c>
      <c r="K121" s="24">
        <v>0</v>
      </c>
      <c r="L121" s="24">
        <f t="shared" si="71"/>
        <v>14080.051799999999</v>
      </c>
      <c r="M121" s="23">
        <f t="shared" si="72"/>
        <v>14080.051799999999</v>
      </c>
      <c r="N121" s="37">
        <f t="shared" si="67"/>
        <v>184605.12359999996</v>
      </c>
      <c r="O121" s="22"/>
    </row>
    <row r="122" spans="1:15" ht="17.100000000000001" customHeight="1" x14ac:dyDescent="0.25">
      <c r="A122" s="27">
        <f>IF(C122="","",COUNTA($C$4:C122))</f>
        <v>119</v>
      </c>
      <c r="B122" s="27" t="str">
        <f t="shared" si="0"/>
        <v>June</v>
      </c>
      <c r="C122" s="49">
        <v>45838</v>
      </c>
      <c r="D122" s="24" t="s">
        <v>944</v>
      </c>
      <c r="E122" s="26" t="s">
        <v>478</v>
      </c>
      <c r="F122" s="21">
        <v>1293</v>
      </c>
      <c r="G122" s="26" t="s">
        <v>116</v>
      </c>
      <c r="H122" s="39" t="s">
        <v>943</v>
      </c>
      <c r="I122" s="23">
        <v>365880.35</v>
      </c>
      <c r="J122" s="47">
        <v>0.18</v>
      </c>
      <c r="K122" s="24">
        <v>0</v>
      </c>
      <c r="L122" s="24">
        <f t="shared" si="71"/>
        <v>32929.231500000002</v>
      </c>
      <c r="M122" s="23">
        <f t="shared" si="72"/>
        <v>32929.231500000002</v>
      </c>
      <c r="N122" s="37">
        <f t="shared" si="67"/>
        <v>431738.81299999997</v>
      </c>
      <c r="O122" s="22"/>
    </row>
    <row r="123" spans="1:15" ht="17.100000000000001" customHeight="1" x14ac:dyDescent="0.25">
      <c r="A123" s="27">
        <f>IF(C123="","",COUNTA($C$4:C123))</f>
        <v>120</v>
      </c>
      <c r="B123" s="27" t="str">
        <f t="shared" ref="B123:B263" si="73">IF(C123="","",TEXT(C123,"mmmm"))</f>
        <v>June</v>
      </c>
      <c r="C123" s="49">
        <v>45838</v>
      </c>
      <c r="D123" s="24" t="s">
        <v>945</v>
      </c>
      <c r="E123" s="26" t="s">
        <v>478</v>
      </c>
      <c r="F123" s="21">
        <v>1294</v>
      </c>
      <c r="G123" s="26" t="s">
        <v>116</v>
      </c>
      <c r="H123" s="39" t="s">
        <v>715</v>
      </c>
      <c r="I123" s="23">
        <v>154976.28</v>
      </c>
      <c r="J123" s="47">
        <v>0.18</v>
      </c>
      <c r="K123" s="24">
        <v>0</v>
      </c>
      <c r="L123" s="24">
        <f t="shared" si="71"/>
        <v>13947.8652</v>
      </c>
      <c r="M123" s="23">
        <f t="shared" si="72"/>
        <v>13947.8652</v>
      </c>
      <c r="N123" s="37">
        <f t="shared" si="67"/>
        <v>182872.0104</v>
      </c>
      <c r="O123" s="22"/>
    </row>
    <row r="124" spans="1:15" ht="17.100000000000001" customHeight="1" x14ac:dyDescent="0.25">
      <c r="A124" s="27">
        <f>IF(C124="","",COUNTA($C$4:C124))</f>
        <v>121</v>
      </c>
      <c r="B124" s="27" t="str">
        <f t="shared" si="73"/>
        <v>June</v>
      </c>
      <c r="C124" s="49">
        <v>45838</v>
      </c>
      <c r="D124" s="24" t="s">
        <v>946</v>
      </c>
      <c r="E124" s="26" t="s">
        <v>478</v>
      </c>
      <c r="F124" s="21">
        <v>1295</v>
      </c>
      <c r="G124" s="26" t="s">
        <v>116</v>
      </c>
      <c r="H124" s="26" t="s">
        <v>947</v>
      </c>
      <c r="I124" s="23">
        <v>14998.9</v>
      </c>
      <c r="J124" s="47">
        <v>0.18</v>
      </c>
      <c r="K124" s="24">
        <v>0</v>
      </c>
      <c r="L124" s="24">
        <f t="shared" si="71"/>
        <v>1349.9010000000001</v>
      </c>
      <c r="M124" s="23">
        <f t="shared" si="72"/>
        <v>1349.9010000000001</v>
      </c>
      <c r="N124" s="37">
        <f t="shared" si="67"/>
        <v>17698.702000000001</v>
      </c>
      <c r="O124" s="22"/>
    </row>
    <row r="125" spans="1:15" ht="17.100000000000001" customHeight="1" x14ac:dyDescent="0.25">
      <c r="A125" s="27">
        <f>IF(C125="","",COUNTA($C$4:C125))</f>
        <v>122</v>
      </c>
      <c r="B125" s="27" t="str">
        <f t="shared" si="73"/>
        <v>June</v>
      </c>
      <c r="C125" s="49">
        <v>45838</v>
      </c>
      <c r="D125" s="24" t="s">
        <v>948</v>
      </c>
      <c r="E125" s="26" t="s">
        <v>478</v>
      </c>
      <c r="F125" s="21">
        <v>1296</v>
      </c>
      <c r="G125" s="26" t="s">
        <v>116</v>
      </c>
      <c r="H125" s="26" t="s">
        <v>495</v>
      </c>
      <c r="I125" s="23">
        <v>12414.35</v>
      </c>
      <c r="J125" s="47">
        <v>0.18</v>
      </c>
      <c r="K125" s="24">
        <v>0</v>
      </c>
      <c r="L125" s="24">
        <f t="shared" si="71"/>
        <v>1117.2915</v>
      </c>
      <c r="M125" s="23">
        <f t="shared" si="72"/>
        <v>1117.2915</v>
      </c>
      <c r="N125" s="37">
        <f t="shared" si="67"/>
        <v>14648.932999999999</v>
      </c>
      <c r="O125" s="22"/>
    </row>
    <row r="126" spans="1:15" ht="17.100000000000001" customHeight="1" x14ac:dyDescent="0.25">
      <c r="A126" s="27">
        <f>IF(C126="","",COUNTA($C$4:C126))</f>
        <v>123</v>
      </c>
      <c r="B126" s="27" t="str">
        <f t="shared" si="73"/>
        <v>June</v>
      </c>
      <c r="C126" s="49">
        <v>45838</v>
      </c>
      <c r="D126" s="24" t="s">
        <v>949</v>
      </c>
      <c r="E126" s="26" t="s">
        <v>478</v>
      </c>
      <c r="F126" s="21">
        <v>1297</v>
      </c>
      <c r="G126" s="26" t="s">
        <v>116</v>
      </c>
      <c r="H126" s="26" t="s">
        <v>947</v>
      </c>
      <c r="I126" s="23">
        <v>93125.65</v>
      </c>
      <c r="J126" s="47">
        <v>0.18</v>
      </c>
      <c r="K126" s="24">
        <v>0</v>
      </c>
      <c r="L126" s="24">
        <f t="shared" si="71"/>
        <v>8381.3084999999992</v>
      </c>
      <c r="M126" s="23">
        <f t="shared" si="72"/>
        <v>8381.3084999999992</v>
      </c>
      <c r="N126" s="37">
        <f t="shared" si="67"/>
        <v>109888.26699999999</v>
      </c>
      <c r="O126" s="22"/>
    </row>
    <row r="127" spans="1:15" ht="17.100000000000001" customHeight="1" x14ac:dyDescent="0.25">
      <c r="A127" s="27">
        <f>IF(C127="","",COUNTA($C$4:C127))</f>
        <v>124</v>
      </c>
      <c r="B127" s="27" t="str">
        <f t="shared" si="73"/>
        <v>June</v>
      </c>
      <c r="C127" s="49">
        <v>45838</v>
      </c>
      <c r="D127" s="24" t="s">
        <v>950</v>
      </c>
      <c r="E127" s="26" t="s">
        <v>478</v>
      </c>
      <c r="F127" s="21">
        <v>1298</v>
      </c>
      <c r="G127" s="26" t="s">
        <v>116</v>
      </c>
      <c r="H127" s="26" t="s">
        <v>947</v>
      </c>
      <c r="I127" s="23">
        <v>75385.64</v>
      </c>
      <c r="J127" s="47">
        <v>0.18</v>
      </c>
      <c r="K127" s="24">
        <v>0</v>
      </c>
      <c r="L127" s="24">
        <f t="shared" si="71"/>
        <v>6784.7075999999997</v>
      </c>
      <c r="M127" s="23">
        <f t="shared" si="72"/>
        <v>6784.7075999999997</v>
      </c>
      <c r="N127" s="37">
        <f t="shared" si="67"/>
        <v>88955.055199999988</v>
      </c>
      <c r="O127" s="22"/>
    </row>
    <row r="128" spans="1:15" ht="17.100000000000001" customHeight="1" x14ac:dyDescent="0.25">
      <c r="A128" s="27">
        <f>IF(C128="","",COUNTA($C$4:C128))</f>
        <v>125</v>
      </c>
      <c r="B128" s="27" t="str">
        <f t="shared" si="73"/>
        <v>June</v>
      </c>
      <c r="C128" s="49">
        <v>45838</v>
      </c>
      <c r="D128" s="24" t="s">
        <v>951</v>
      </c>
      <c r="E128" s="26" t="s">
        <v>478</v>
      </c>
      <c r="F128" s="21">
        <v>1299</v>
      </c>
      <c r="G128" s="26" t="s">
        <v>116</v>
      </c>
      <c r="H128" s="26" t="s">
        <v>495</v>
      </c>
      <c r="I128" s="23">
        <v>24210</v>
      </c>
      <c r="J128" s="47">
        <v>0.18</v>
      </c>
      <c r="K128" s="24">
        <v>0</v>
      </c>
      <c r="L128" s="24">
        <f t="shared" si="71"/>
        <v>2178.9</v>
      </c>
      <c r="M128" s="23">
        <f t="shared" si="72"/>
        <v>2178.9</v>
      </c>
      <c r="N128" s="37">
        <f t="shared" si="67"/>
        <v>28567.800000000003</v>
      </c>
      <c r="O128" s="22"/>
    </row>
    <row r="129" spans="1:15" ht="17.100000000000001" customHeight="1" x14ac:dyDescent="0.25">
      <c r="A129" s="27">
        <f>IF(C129="","",COUNTA($C$4:C129))</f>
        <v>126</v>
      </c>
      <c r="B129" s="27" t="str">
        <f t="shared" si="73"/>
        <v>June</v>
      </c>
      <c r="C129" s="49">
        <v>45838</v>
      </c>
      <c r="D129" s="24" t="s">
        <v>952</v>
      </c>
      <c r="E129" s="26" t="s">
        <v>478</v>
      </c>
      <c r="F129" s="21">
        <v>1300</v>
      </c>
      <c r="G129" s="26" t="s">
        <v>116</v>
      </c>
      <c r="H129" s="26" t="s">
        <v>953</v>
      </c>
      <c r="I129" s="23">
        <v>21527.53</v>
      </c>
      <c r="J129" s="47">
        <v>0.18</v>
      </c>
      <c r="K129" s="24">
        <v>0</v>
      </c>
      <c r="L129" s="24">
        <f t="shared" si="71"/>
        <v>1937.4776999999999</v>
      </c>
      <c r="M129" s="23">
        <f t="shared" si="72"/>
        <v>1937.4776999999999</v>
      </c>
      <c r="N129" s="37">
        <f t="shared" si="67"/>
        <v>25402.485399999998</v>
      </c>
      <c r="O129" s="22"/>
    </row>
    <row r="130" spans="1:15" ht="17.100000000000001" customHeight="1" x14ac:dyDescent="0.25">
      <c r="A130" s="27">
        <f>IF(C130="","",COUNTA($C$4:C130))</f>
        <v>127</v>
      </c>
      <c r="B130" s="27" t="str">
        <f t="shared" si="73"/>
        <v>June</v>
      </c>
      <c r="C130" s="49">
        <v>45838</v>
      </c>
      <c r="D130" s="24" t="s">
        <v>954</v>
      </c>
      <c r="E130" s="26" t="s">
        <v>478</v>
      </c>
      <c r="F130" s="21">
        <v>1301</v>
      </c>
      <c r="G130" s="26" t="s">
        <v>116</v>
      </c>
      <c r="H130" s="39" t="s">
        <v>953</v>
      </c>
      <c r="I130" s="23">
        <v>1426.78</v>
      </c>
      <c r="J130" s="47">
        <v>0.18</v>
      </c>
      <c r="K130" s="24">
        <v>0</v>
      </c>
      <c r="L130" s="24">
        <f t="shared" si="71"/>
        <v>128.4102</v>
      </c>
      <c r="M130" s="23">
        <f t="shared" si="72"/>
        <v>128.4102</v>
      </c>
      <c r="N130" s="37">
        <f t="shared" si="67"/>
        <v>1683.6004</v>
      </c>
      <c r="O130" s="22"/>
    </row>
    <row r="131" spans="1:15" ht="17.100000000000001" customHeight="1" x14ac:dyDescent="0.25">
      <c r="A131" s="27">
        <f>IF(C131="","",COUNTA($C$4:C131))</f>
        <v>128</v>
      </c>
      <c r="B131" s="27" t="str">
        <f t="shared" si="73"/>
        <v>June</v>
      </c>
      <c r="C131" s="49">
        <v>45838</v>
      </c>
      <c r="D131" s="24" t="s">
        <v>955</v>
      </c>
      <c r="E131" s="26" t="s">
        <v>478</v>
      </c>
      <c r="F131" s="21">
        <v>1302</v>
      </c>
      <c r="G131" s="26" t="s">
        <v>116</v>
      </c>
      <c r="H131" s="26" t="s">
        <v>495</v>
      </c>
      <c r="I131" s="23">
        <v>11513.2</v>
      </c>
      <c r="J131" s="47">
        <v>0.18</v>
      </c>
      <c r="K131" s="24">
        <v>0</v>
      </c>
      <c r="L131" s="24">
        <f t="shared" si="71"/>
        <v>1036.1880000000001</v>
      </c>
      <c r="M131" s="23">
        <f t="shared" si="72"/>
        <v>1036.1880000000001</v>
      </c>
      <c r="N131" s="37">
        <f t="shared" si="67"/>
        <v>13585.576000000001</v>
      </c>
      <c r="O131" s="22"/>
    </row>
    <row r="132" spans="1:15" ht="17.100000000000001" customHeight="1" x14ac:dyDescent="0.25">
      <c r="A132" s="27">
        <f>IF(C132="","",COUNTA($C$4:C132))</f>
        <v>129</v>
      </c>
      <c r="B132" s="27" t="str">
        <f t="shared" si="73"/>
        <v>June</v>
      </c>
      <c r="C132" s="49">
        <v>45825</v>
      </c>
      <c r="D132" s="24" t="s">
        <v>1107</v>
      </c>
      <c r="E132" s="26" t="s">
        <v>111</v>
      </c>
      <c r="F132" s="53" t="s">
        <v>1108</v>
      </c>
      <c r="G132" s="26" t="s">
        <v>472</v>
      </c>
      <c r="H132" s="26" t="s">
        <v>886</v>
      </c>
      <c r="I132" s="23">
        <v>92497</v>
      </c>
      <c r="J132" s="47">
        <v>0</v>
      </c>
      <c r="K132" s="24">
        <v>0</v>
      </c>
      <c r="L132" s="24">
        <v>0</v>
      </c>
      <c r="M132" s="23">
        <v>0</v>
      </c>
      <c r="N132" s="37">
        <f t="shared" si="67"/>
        <v>92497</v>
      </c>
      <c r="O132" s="22"/>
    </row>
    <row r="133" spans="1:15" ht="17.100000000000001" customHeight="1" x14ac:dyDescent="0.25">
      <c r="A133" s="27">
        <f>IF(C133="","",COUNTA($C$4:C133))</f>
        <v>130</v>
      </c>
      <c r="B133" s="27" t="str">
        <f t="shared" si="73"/>
        <v>June</v>
      </c>
      <c r="C133" s="49">
        <v>45837</v>
      </c>
      <c r="D133" s="24" t="s">
        <v>1109</v>
      </c>
      <c r="E133" s="26" t="s">
        <v>354</v>
      </c>
      <c r="F133" s="53">
        <v>1296</v>
      </c>
      <c r="G133" s="26" t="s">
        <v>355</v>
      </c>
      <c r="H133" s="26" t="s">
        <v>1110</v>
      </c>
      <c r="I133" s="23">
        <v>3125</v>
      </c>
      <c r="J133" s="47">
        <v>0.06</v>
      </c>
      <c r="K133" s="24">
        <v>0</v>
      </c>
      <c r="L133" s="24">
        <f>I133*6/100</f>
        <v>187.5</v>
      </c>
      <c r="M133" s="23">
        <f>I133*6/100</f>
        <v>187.5</v>
      </c>
      <c r="N133" s="37">
        <f>+I133+L133+M133+861+63</f>
        <v>4424</v>
      </c>
      <c r="O133" s="22"/>
    </row>
    <row r="134" spans="1:15" ht="17.100000000000001" customHeight="1" x14ac:dyDescent="0.25">
      <c r="A134" s="27">
        <f>IF(C134="","",COUNTA($C$4:C134))</f>
        <v>131</v>
      </c>
      <c r="B134" s="27" t="str">
        <f t="shared" si="73"/>
        <v>June</v>
      </c>
      <c r="C134" s="49">
        <v>45837</v>
      </c>
      <c r="D134" s="24" t="s">
        <v>1111</v>
      </c>
      <c r="E134" s="26" t="s">
        <v>354</v>
      </c>
      <c r="F134" s="53">
        <v>1295</v>
      </c>
      <c r="G134" s="26" t="s">
        <v>355</v>
      </c>
      <c r="H134" s="26" t="s">
        <v>1112</v>
      </c>
      <c r="I134" s="23">
        <v>3125</v>
      </c>
      <c r="J134" s="47">
        <v>0.06</v>
      </c>
      <c r="K134" s="24">
        <v>0</v>
      </c>
      <c r="L134" s="24">
        <f>I134*6/100</f>
        <v>187.5</v>
      </c>
      <c r="M134" s="23">
        <f>I134*6/100</f>
        <v>187.5</v>
      </c>
      <c r="N134" s="37">
        <f>+I134+L134+M134</f>
        <v>3500</v>
      </c>
      <c r="O134" s="22"/>
    </row>
    <row r="135" spans="1:15" ht="17.100000000000001" customHeight="1" x14ac:dyDescent="0.25">
      <c r="A135" s="27">
        <f>IF(C135="","",COUNTA($C$4:C135))</f>
        <v>132</v>
      </c>
      <c r="B135" s="27" t="str">
        <f t="shared" ref="B135" si="74">IF(C135="","",TEXT(C135,"mmmm"))</f>
        <v>July</v>
      </c>
      <c r="C135" s="49">
        <v>45839</v>
      </c>
      <c r="D135" s="21" t="s">
        <v>956</v>
      </c>
      <c r="E135" s="26" t="s">
        <v>390</v>
      </c>
      <c r="F135" s="21" t="s">
        <v>957</v>
      </c>
      <c r="G135" s="48" t="s">
        <v>392</v>
      </c>
      <c r="H135" s="26" t="s">
        <v>958</v>
      </c>
      <c r="I135" s="23">
        <v>58470</v>
      </c>
      <c r="J135" s="47">
        <v>0</v>
      </c>
      <c r="K135" s="24">
        <v>0</v>
      </c>
      <c r="L135" s="24">
        <v>0</v>
      </c>
      <c r="M135" s="23">
        <v>0</v>
      </c>
      <c r="N135" s="37">
        <f t="shared" si="67"/>
        <v>58470</v>
      </c>
      <c r="O135" s="22"/>
    </row>
    <row r="136" spans="1:15" ht="17.100000000000001" customHeight="1" x14ac:dyDescent="0.25">
      <c r="A136" s="27">
        <f>IF(C136="","",COUNTA($C$4:C136))</f>
        <v>133</v>
      </c>
      <c r="B136" s="27" t="str">
        <f t="shared" ref="B136" si="75">IF(C136="","",TEXT(C136,"mmmm"))</f>
        <v>July</v>
      </c>
      <c r="C136" s="49">
        <v>45839</v>
      </c>
      <c r="D136" s="21" t="s">
        <v>959</v>
      </c>
      <c r="E136" s="26" t="s">
        <v>284</v>
      </c>
      <c r="F136" s="21">
        <v>3641</v>
      </c>
      <c r="G136" s="48" t="s">
        <v>285</v>
      </c>
      <c r="H136" s="26" t="s">
        <v>626</v>
      </c>
      <c r="I136" s="23">
        <v>5200</v>
      </c>
      <c r="J136" s="47">
        <v>0.18</v>
      </c>
      <c r="K136" s="24">
        <v>0</v>
      </c>
      <c r="L136" s="24">
        <f t="shared" ref="L136:L142" si="76">I136*9/100</f>
        <v>468</v>
      </c>
      <c r="M136" s="23">
        <f t="shared" ref="M136:M142" si="77">I136*9/100</f>
        <v>468</v>
      </c>
      <c r="N136" s="37">
        <f t="shared" ref="N136:N143" si="78">+I136+L136+M136</f>
        <v>6136</v>
      </c>
      <c r="O136" s="22"/>
    </row>
    <row r="137" spans="1:15" ht="17.100000000000001" customHeight="1" x14ac:dyDescent="0.25">
      <c r="A137" s="27">
        <f>IF(C137="","",COUNTA($C$4:C137))</f>
        <v>134</v>
      </c>
      <c r="B137" s="27" t="str">
        <f t="shared" ref="B137" si="79">IF(C137="","",TEXT(C137,"mmmm"))</f>
        <v>July</v>
      </c>
      <c r="C137" s="49">
        <v>45841</v>
      </c>
      <c r="D137" s="21" t="s">
        <v>960</v>
      </c>
      <c r="E137" s="26" t="s">
        <v>783</v>
      </c>
      <c r="F137" s="21" t="s">
        <v>961</v>
      </c>
      <c r="G137" s="48" t="s">
        <v>583</v>
      </c>
      <c r="H137" s="26" t="s">
        <v>886</v>
      </c>
      <c r="I137" s="23">
        <v>745535</v>
      </c>
      <c r="J137" s="47">
        <v>0.18</v>
      </c>
      <c r="K137" s="24">
        <v>0</v>
      </c>
      <c r="L137" s="24">
        <f t="shared" si="76"/>
        <v>67098.149999999994</v>
      </c>
      <c r="M137" s="23">
        <f t="shared" si="77"/>
        <v>67098.149999999994</v>
      </c>
      <c r="N137" s="37">
        <f t="shared" si="78"/>
        <v>879731.3</v>
      </c>
      <c r="O137" s="22"/>
    </row>
    <row r="138" spans="1:15" ht="17.100000000000001" customHeight="1" x14ac:dyDescent="0.25">
      <c r="A138" s="27">
        <f>IF(C138="","",COUNTA($C$4:C138))</f>
        <v>135</v>
      </c>
      <c r="B138" s="27" t="str">
        <f t="shared" ref="B138" si="80">IF(C138="","",TEXT(C138,"mmmm"))</f>
        <v>July</v>
      </c>
      <c r="C138" s="49">
        <v>45841</v>
      </c>
      <c r="D138" s="21" t="s">
        <v>962</v>
      </c>
      <c r="E138" s="26" t="s">
        <v>963</v>
      </c>
      <c r="F138" s="21">
        <v>379</v>
      </c>
      <c r="G138" s="48" t="s">
        <v>392</v>
      </c>
      <c r="H138" s="26" t="s">
        <v>886</v>
      </c>
      <c r="I138" s="23">
        <v>48692</v>
      </c>
      <c r="J138" s="47">
        <v>0.18</v>
      </c>
      <c r="K138" s="24">
        <v>0</v>
      </c>
      <c r="L138" s="24">
        <f t="shared" si="76"/>
        <v>4382.28</v>
      </c>
      <c r="M138" s="23">
        <f t="shared" si="77"/>
        <v>4382.28</v>
      </c>
      <c r="N138" s="37">
        <f t="shared" si="78"/>
        <v>57456.56</v>
      </c>
      <c r="O138" s="22"/>
    </row>
    <row r="139" spans="1:15" ht="17.100000000000001" customHeight="1" x14ac:dyDescent="0.25">
      <c r="A139" s="27">
        <f>IF(C139="","",COUNTA($C$4:C139))</f>
        <v>136</v>
      </c>
      <c r="B139" s="27" t="str">
        <f t="shared" si="73"/>
        <v>July</v>
      </c>
      <c r="C139" s="49">
        <v>45845</v>
      </c>
      <c r="D139" s="21" t="s">
        <v>964</v>
      </c>
      <c r="E139" s="26" t="s">
        <v>965</v>
      </c>
      <c r="F139" s="21" t="s">
        <v>966</v>
      </c>
      <c r="G139" s="26" t="s">
        <v>573</v>
      </c>
      <c r="H139" s="26" t="s">
        <v>967</v>
      </c>
      <c r="I139" s="23">
        <v>25000</v>
      </c>
      <c r="J139" s="47">
        <v>0.18</v>
      </c>
      <c r="K139" s="24">
        <v>0</v>
      </c>
      <c r="L139" s="24">
        <f t="shared" si="76"/>
        <v>2250</v>
      </c>
      <c r="M139" s="23">
        <f t="shared" si="77"/>
        <v>2250</v>
      </c>
      <c r="N139" s="37">
        <f t="shared" si="78"/>
        <v>29500</v>
      </c>
      <c r="O139" s="22"/>
    </row>
    <row r="140" spans="1:15" ht="17.100000000000001" customHeight="1" x14ac:dyDescent="0.25">
      <c r="A140" s="27">
        <f>IF(C140="","",COUNTA($C$4:C140))</f>
        <v>137</v>
      </c>
      <c r="B140" s="27" t="str">
        <f t="shared" si="73"/>
        <v>July</v>
      </c>
      <c r="C140" s="49">
        <v>45846</v>
      </c>
      <c r="D140" s="21" t="s">
        <v>968</v>
      </c>
      <c r="E140" s="26" t="s">
        <v>965</v>
      </c>
      <c r="F140" s="21" t="s">
        <v>969</v>
      </c>
      <c r="G140" s="26" t="s">
        <v>573</v>
      </c>
      <c r="H140" s="26" t="s">
        <v>970</v>
      </c>
      <c r="I140" s="23">
        <v>68950</v>
      </c>
      <c r="J140" s="47">
        <v>0.18</v>
      </c>
      <c r="K140" s="24">
        <v>0</v>
      </c>
      <c r="L140" s="24">
        <f t="shared" si="76"/>
        <v>6205.5</v>
      </c>
      <c r="M140" s="23">
        <f t="shared" si="77"/>
        <v>6205.5</v>
      </c>
      <c r="N140" s="37">
        <f t="shared" si="78"/>
        <v>81361</v>
      </c>
      <c r="O140" s="22"/>
    </row>
    <row r="141" spans="1:15" ht="17.100000000000001" customHeight="1" x14ac:dyDescent="0.25">
      <c r="A141" s="27">
        <f>IF(C141="","",COUNTA($C$4:C141))</f>
        <v>138</v>
      </c>
      <c r="B141" s="27" t="str">
        <f t="shared" si="73"/>
        <v>July</v>
      </c>
      <c r="C141" s="49">
        <v>45847</v>
      </c>
      <c r="D141" s="21" t="s">
        <v>971</v>
      </c>
      <c r="E141" s="26" t="s">
        <v>972</v>
      </c>
      <c r="F141" s="21">
        <v>566</v>
      </c>
      <c r="G141" s="48" t="s">
        <v>973</v>
      </c>
      <c r="H141" s="11" t="s">
        <v>974</v>
      </c>
      <c r="I141" s="23">
        <v>27162</v>
      </c>
      <c r="J141" s="47">
        <v>0.18</v>
      </c>
      <c r="K141" s="24">
        <v>0</v>
      </c>
      <c r="L141" s="24">
        <f t="shared" si="76"/>
        <v>2444.58</v>
      </c>
      <c r="M141" s="23">
        <f t="shared" si="77"/>
        <v>2444.58</v>
      </c>
      <c r="N141" s="37">
        <f t="shared" si="78"/>
        <v>32051.160000000003</v>
      </c>
      <c r="O141" s="22"/>
    </row>
    <row r="142" spans="1:15" ht="17.100000000000001" customHeight="1" x14ac:dyDescent="0.25">
      <c r="A142" s="27">
        <f>IF(C142="","",COUNTA($C$4:C142))</f>
        <v>139</v>
      </c>
      <c r="B142" s="27" t="str">
        <f t="shared" si="73"/>
        <v>July</v>
      </c>
      <c r="C142" s="49">
        <v>45849</v>
      </c>
      <c r="D142" s="21" t="s">
        <v>975</v>
      </c>
      <c r="E142" s="26" t="s">
        <v>138</v>
      </c>
      <c r="F142" s="21">
        <v>164</v>
      </c>
      <c r="G142" s="48" t="s">
        <v>116</v>
      </c>
      <c r="H142" s="39" t="s">
        <v>976</v>
      </c>
      <c r="I142" s="23">
        <v>67919.399999999994</v>
      </c>
      <c r="J142" s="47">
        <v>0.18</v>
      </c>
      <c r="K142" s="24">
        <v>0</v>
      </c>
      <c r="L142" s="24">
        <f t="shared" si="76"/>
        <v>6112.7460000000001</v>
      </c>
      <c r="M142" s="23">
        <f t="shared" si="77"/>
        <v>6112.7460000000001</v>
      </c>
      <c r="N142" s="37">
        <f t="shared" si="78"/>
        <v>80144.891999999993</v>
      </c>
      <c r="O142" s="22"/>
    </row>
    <row r="143" spans="1:15" ht="17.100000000000001" customHeight="1" x14ac:dyDescent="0.25">
      <c r="A143" s="27">
        <f>IF(C143="","",COUNTA($C$4:C143))</f>
        <v>140</v>
      </c>
      <c r="B143" s="27" t="str">
        <f t="shared" ref="B143" si="81">IF(C143="","",TEXT(C143,"mmmm"))</f>
        <v>July</v>
      </c>
      <c r="C143" s="49">
        <v>45847</v>
      </c>
      <c r="D143" s="21" t="s">
        <v>1113</v>
      </c>
      <c r="E143" s="26" t="s">
        <v>1114</v>
      </c>
      <c r="F143" s="21" t="s">
        <v>1115</v>
      </c>
      <c r="G143" s="48" t="s">
        <v>1116</v>
      </c>
      <c r="H143" s="26" t="s">
        <v>1117</v>
      </c>
      <c r="I143" s="23">
        <v>13019</v>
      </c>
      <c r="J143" s="47">
        <v>0</v>
      </c>
      <c r="K143" s="24">
        <v>0</v>
      </c>
      <c r="L143" s="24">
        <v>0</v>
      </c>
      <c r="M143" s="23">
        <v>0</v>
      </c>
      <c r="N143" s="37">
        <f t="shared" si="78"/>
        <v>13019</v>
      </c>
      <c r="O143" s="22"/>
    </row>
    <row r="144" spans="1:15" ht="17.100000000000001" customHeight="1" x14ac:dyDescent="0.25">
      <c r="A144" s="27">
        <f>IF(C144="","",COUNTA($C$4:C144))</f>
        <v>141</v>
      </c>
      <c r="B144" s="27" t="str">
        <f t="shared" si="73"/>
        <v>July</v>
      </c>
      <c r="C144" s="49">
        <v>45848</v>
      </c>
      <c r="D144" s="21" t="s">
        <v>1118</v>
      </c>
      <c r="E144" s="26" t="s">
        <v>548</v>
      </c>
      <c r="F144" s="21" t="s">
        <v>1119</v>
      </c>
      <c r="G144" s="48" t="s">
        <v>583</v>
      </c>
      <c r="H144" s="26" t="s">
        <v>886</v>
      </c>
      <c r="I144" s="23">
        <v>501234.75</v>
      </c>
      <c r="J144" s="47">
        <v>0.18</v>
      </c>
      <c r="K144" s="24">
        <v>0</v>
      </c>
      <c r="L144" s="24">
        <f t="shared" ref="L144:L145" si="82">I144*9/100</f>
        <v>45111.127500000002</v>
      </c>
      <c r="M144" s="23">
        <f t="shared" ref="M144:M145" si="83">I144*9/100</f>
        <v>45111.127500000002</v>
      </c>
      <c r="N144" s="37">
        <f t="shared" ref="N144:N146" si="84">+I144+L144+M144</f>
        <v>591457.00499999989</v>
      </c>
      <c r="O144" s="22"/>
    </row>
    <row r="145" spans="1:15" ht="17.100000000000001" customHeight="1" x14ac:dyDescent="0.25">
      <c r="A145" s="27">
        <f>IF(C145="","",COUNTA($C$4:C145))</f>
        <v>142</v>
      </c>
      <c r="B145" s="27" t="str">
        <f t="shared" si="73"/>
        <v>July</v>
      </c>
      <c r="C145" s="49">
        <v>45848</v>
      </c>
      <c r="D145" s="21" t="s">
        <v>1120</v>
      </c>
      <c r="E145" s="26" t="s">
        <v>548</v>
      </c>
      <c r="F145" s="21" t="s">
        <v>1121</v>
      </c>
      <c r="G145" s="48" t="s">
        <v>553</v>
      </c>
      <c r="H145" s="26" t="s">
        <v>886</v>
      </c>
      <c r="I145" s="23">
        <v>99267.96</v>
      </c>
      <c r="J145" s="47">
        <v>0.18</v>
      </c>
      <c r="K145" s="24">
        <v>0</v>
      </c>
      <c r="L145" s="24">
        <f t="shared" si="82"/>
        <v>8934.1164000000008</v>
      </c>
      <c r="M145" s="23">
        <f t="shared" si="83"/>
        <v>8934.1164000000008</v>
      </c>
      <c r="N145" s="37">
        <f t="shared" si="84"/>
        <v>117136.1928</v>
      </c>
      <c r="O145" s="22"/>
    </row>
    <row r="146" spans="1:15" ht="17.100000000000001" customHeight="1" x14ac:dyDescent="0.25">
      <c r="A146" s="27">
        <f>IF(C146="","",COUNTA($C$4:C146))</f>
        <v>143</v>
      </c>
      <c r="B146" s="27" t="str">
        <f t="shared" si="73"/>
        <v>July</v>
      </c>
      <c r="C146" s="49">
        <v>45853</v>
      </c>
      <c r="D146" s="21" t="s">
        <v>1122</v>
      </c>
      <c r="E146" s="26" t="s">
        <v>141</v>
      </c>
      <c r="F146" s="53" t="s">
        <v>1123</v>
      </c>
      <c r="G146" s="48" t="s">
        <v>142</v>
      </c>
      <c r="H146" s="26" t="s">
        <v>637</v>
      </c>
      <c r="I146" s="23">
        <v>21768</v>
      </c>
      <c r="J146" s="47">
        <v>0</v>
      </c>
      <c r="K146" s="24"/>
      <c r="L146" s="24">
        <v>0</v>
      </c>
      <c r="M146" s="23">
        <v>0</v>
      </c>
      <c r="N146" s="37">
        <f t="shared" si="84"/>
        <v>21768</v>
      </c>
      <c r="O146" s="22"/>
    </row>
    <row r="147" spans="1:15" ht="17.100000000000001" customHeight="1" x14ac:dyDescent="0.25">
      <c r="A147" s="27">
        <f>IF(C147="","",COUNTA($C$4:C147))</f>
        <v>144</v>
      </c>
      <c r="B147" s="27" t="str">
        <f t="shared" si="73"/>
        <v>July</v>
      </c>
      <c r="C147" s="49">
        <v>45855</v>
      </c>
      <c r="D147" s="21" t="s">
        <v>1124</v>
      </c>
      <c r="E147" s="26" t="s">
        <v>364</v>
      </c>
      <c r="F147" s="21" t="s">
        <v>1125</v>
      </c>
      <c r="G147" s="26" t="s">
        <v>366</v>
      </c>
      <c r="H147" s="26" t="s">
        <v>367</v>
      </c>
      <c r="I147" s="23">
        <v>3210</v>
      </c>
      <c r="J147" s="47">
        <v>0.18</v>
      </c>
      <c r="K147" s="24">
        <v>0</v>
      </c>
      <c r="L147" s="24">
        <f t="shared" ref="L147" si="85">I147*9/100</f>
        <v>288.89999999999998</v>
      </c>
      <c r="M147" s="23">
        <f t="shared" ref="M147" si="86">I147*9/100</f>
        <v>288.89999999999998</v>
      </c>
      <c r="N147" s="37">
        <f t="shared" ref="N147:N148" si="87">+I147+L147+M147</f>
        <v>3787.8</v>
      </c>
      <c r="O147" s="22"/>
    </row>
    <row r="148" spans="1:15" ht="17.100000000000001" customHeight="1" x14ac:dyDescent="0.25">
      <c r="A148" s="27">
        <f>IF(C148="","",COUNTA($C$4:C148))</f>
        <v>145</v>
      </c>
      <c r="B148" s="27" t="str">
        <f t="shared" si="73"/>
        <v>July</v>
      </c>
      <c r="C148" s="49">
        <v>45853</v>
      </c>
      <c r="D148" s="21" t="s">
        <v>1126</v>
      </c>
      <c r="E148" s="26" t="s">
        <v>1127</v>
      </c>
      <c r="F148" s="21">
        <v>843</v>
      </c>
      <c r="G148" s="26" t="s">
        <v>1128</v>
      </c>
      <c r="H148" s="39" t="s">
        <v>1129</v>
      </c>
      <c r="I148" s="23">
        <v>18700</v>
      </c>
      <c r="J148" s="47">
        <v>0</v>
      </c>
      <c r="K148" s="24">
        <v>0</v>
      </c>
      <c r="L148" s="24">
        <v>0</v>
      </c>
      <c r="M148" s="23">
        <v>0</v>
      </c>
      <c r="N148" s="37">
        <f t="shared" si="87"/>
        <v>18700</v>
      </c>
      <c r="O148" s="22"/>
    </row>
    <row r="149" spans="1:15" ht="17.100000000000001" customHeight="1" x14ac:dyDescent="0.25">
      <c r="A149" s="27">
        <f>IF(C149="","",COUNTA($C$4:C149))</f>
        <v>146</v>
      </c>
      <c r="B149" s="27" t="str">
        <f t="shared" si="73"/>
        <v>July</v>
      </c>
      <c r="C149" s="49">
        <v>45849</v>
      </c>
      <c r="D149" s="21" t="s">
        <v>1130</v>
      </c>
      <c r="E149" s="26" t="s">
        <v>1131</v>
      </c>
      <c r="F149" s="21" t="s">
        <v>1132</v>
      </c>
      <c r="G149" s="26" t="s">
        <v>1133</v>
      </c>
      <c r="H149" s="39" t="s">
        <v>1134</v>
      </c>
      <c r="I149" s="23">
        <v>15400</v>
      </c>
      <c r="J149" s="47">
        <v>0.18</v>
      </c>
      <c r="K149" s="24">
        <v>0</v>
      </c>
      <c r="L149" s="24">
        <f t="shared" ref="L149" si="88">I149*9/100</f>
        <v>1386</v>
      </c>
      <c r="M149" s="23">
        <f t="shared" ref="M149" si="89">I149*9/100</f>
        <v>1386</v>
      </c>
      <c r="N149" s="37">
        <f t="shared" ref="N149:N153" si="90">+I149+L149+M149</f>
        <v>18172</v>
      </c>
      <c r="O149" s="22"/>
    </row>
    <row r="150" spans="1:15" ht="17.100000000000001" customHeight="1" x14ac:dyDescent="0.25">
      <c r="A150" s="27">
        <f>IF(C150="","",COUNTA($C$4:C150))</f>
        <v>147</v>
      </c>
      <c r="B150" s="27" t="str">
        <f t="shared" si="73"/>
        <v>July</v>
      </c>
      <c r="C150" s="49">
        <v>45855</v>
      </c>
      <c r="D150" s="21" t="s">
        <v>1238</v>
      </c>
      <c r="E150" s="26" t="s">
        <v>686</v>
      </c>
      <c r="F150" s="21" t="s">
        <v>1239</v>
      </c>
      <c r="G150" s="26" t="s">
        <v>688</v>
      </c>
      <c r="H150" s="26" t="s">
        <v>1240</v>
      </c>
      <c r="I150" s="23">
        <v>10459</v>
      </c>
      <c r="J150" s="47">
        <v>0.18</v>
      </c>
      <c r="K150" s="24">
        <v>0</v>
      </c>
      <c r="L150" s="24">
        <v>0</v>
      </c>
      <c r="M150" s="23">
        <v>0</v>
      </c>
      <c r="N150" s="37">
        <f t="shared" si="90"/>
        <v>10459</v>
      </c>
      <c r="O150" s="22"/>
    </row>
    <row r="151" spans="1:15" ht="17.100000000000001" customHeight="1" x14ac:dyDescent="0.25">
      <c r="A151" s="27">
        <f>IF(C151="","",COUNTA($C$4:C151))</f>
        <v>148</v>
      </c>
      <c r="B151" s="27" t="str">
        <f t="shared" si="73"/>
        <v>July</v>
      </c>
      <c r="C151" s="49">
        <v>45859</v>
      </c>
      <c r="D151" s="21" t="s">
        <v>1241</v>
      </c>
      <c r="E151" s="26" t="s">
        <v>686</v>
      </c>
      <c r="F151" s="21" t="s">
        <v>1242</v>
      </c>
      <c r="G151" s="26" t="s">
        <v>688</v>
      </c>
      <c r="H151" s="26" t="s">
        <v>1243</v>
      </c>
      <c r="I151" s="23">
        <v>5309</v>
      </c>
      <c r="J151" s="47">
        <v>0.18</v>
      </c>
      <c r="K151" s="24">
        <v>0</v>
      </c>
      <c r="L151" s="24">
        <v>0</v>
      </c>
      <c r="M151" s="23">
        <v>0</v>
      </c>
      <c r="N151" s="37">
        <f t="shared" si="90"/>
        <v>5309</v>
      </c>
      <c r="O151" s="22"/>
    </row>
    <row r="152" spans="1:15" ht="17.100000000000001" customHeight="1" x14ac:dyDescent="0.25">
      <c r="A152" s="27">
        <f>IF(C152="","",COUNTA($C$4:C152))</f>
        <v>149</v>
      </c>
      <c r="B152" s="27" t="str">
        <f t="shared" si="73"/>
        <v>July</v>
      </c>
      <c r="C152" s="49">
        <v>45859</v>
      </c>
      <c r="D152" s="21" t="s">
        <v>1244</v>
      </c>
      <c r="E152" s="26" t="s">
        <v>686</v>
      </c>
      <c r="F152" s="21" t="s">
        <v>1245</v>
      </c>
      <c r="G152" s="26" t="s">
        <v>688</v>
      </c>
      <c r="H152" s="26" t="s">
        <v>1246</v>
      </c>
      <c r="I152" s="23">
        <v>7770</v>
      </c>
      <c r="J152" s="47">
        <v>0.18</v>
      </c>
      <c r="K152" s="24">
        <v>0</v>
      </c>
      <c r="L152" s="24">
        <v>0</v>
      </c>
      <c r="M152" s="23">
        <v>0</v>
      </c>
      <c r="N152" s="37">
        <f t="shared" si="90"/>
        <v>7770</v>
      </c>
      <c r="O152" s="22"/>
    </row>
    <row r="153" spans="1:15" ht="17.100000000000001" customHeight="1" x14ac:dyDescent="0.25">
      <c r="A153" s="27">
        <f>IF(C153="","",COUNTA($C$4:C153))</f>
        <v>150</v>
      </c>
      <c r="B153" s="27" t="str">
        <f t="shared" si="73"/>
        <v>July</v>
      </c>
      <c r="C153" s="49">
        <v>45866</v>
      </c>
      <c r="D153" s="21" t="s">
        <v>1247</v>
      </c>
      <c r="E153" s="26" t="s">
        <v>686</v>
      </c>
      <c r="F153" s="21" t="s">
        <v>1248</v>
      </c>
      <c r="G153" s="26" t="s">
        <v>688</v>
      </c>
      <c r="H153" s="26" t="s">
        <v>1249</v>
      </c>
      <c r="I153" s="23">
        <v>18878</v>
      </c>
      <c r="J153" s="47">
        <v>0.18</v>
      </c>
      <c r="K153" s="24">
        <v>0</v>
      </c>
      <c r="L153" s="24">
        <v>0</v>
      </c>
      <c r="M153" s="23">
        <v>0</v>
      </c>
      <c r="N153" s="37">
        <f t="shared" si="90"/>
        <v>18878</v>
      </c>
      <c r="O153" s="22"/>
    </row>
    <row r="154" spans="1:15" ht="17.100000000000001" customHeight="1" x14ac:dyDescent="0.25">
      <c r="A154" s="27">
        <f>IF(C154="","",COUNTA($C$4:C154))</f>
        <v>151</v>
      </c>
      <c r="B154" s="27" t="str">
        <f t="shared" si="73"/>
        <v>July</v>
      </c>
      <c r="C154" s="49">
        <v>45864</v>
      </c>
      <c r="D154" s="21" t="s">
        <v>1250</v>
      </c>
      <c r="E154" s="26" t="s">
        <v>138</v>
      </c>
      <c r="F154" s="21">
        <v>179</v>
      </c>
      <c r="G154" s="48" t="s">
        <v>116</v>
      </c>
      <c r="H154" s="39" t="s">
        <v>976</v>
      </c>
      <c r="I154" s="23">
        <v>60102</v>
      </c>
      <c r="J154" s="47">
        <v>0.18</v>
      </c>
      <c r="K154" s="24">
        <v>0</v>
      </c>
      <c r="L154" s="24">
        <f t="shared" ref="L154" si="91">I154*9/100</f>
        <v>5409.18</v>
      </c>
      <c r="M154" s="23">
        <f t="shared" ref="M154" si="92">I154*9/100</f>
        <v>5409.18</v>
      </c>
      <c r="N154" s="37">
        <f t="shared" ref="N154:N156" si="93">+I154+L154+M154</f>
        <v>70920.36</v>
      </c>
      <c r="O154" s="22"/>
    </row>
    <row r="155" spans="1:15" ht="17.100000000000001" customHeight="1" x14ac:dyDescent="0.25">
      <c r="A155" s="27">
        <f>IF(C155="","",COUNTA($C$4:C155))</f>
        <v>152</v>
      </c>
      <c r="B155" s="27" t="str">
        <f t="shared" ref="B155:B156" si="94">IF(C155="","",TEXT(C155,"mmmm"))</f>
        <v>July</v>
      </c>
      <c r="C155" s="49">
        <v>45868</v>
      </c>
      <c r="D155" s="21" t="s">
        <v>1251</v>
      </c>
      <c r="E155" s="26" t="s">
        <v>569</v>
      </c>
      <c r="F155" s="21">
        <v>53</v>
      </c>
      <c r="G155" s="26" t="s">
        <v>285</v>
      </c>
      <c r="H155" s="26" t="s">
        <v>1252</v>
      </c>
      <c r="I155" s="23">
        <v>1500</v>
      </c>
      <c r="J155" s="47">
        <v>0</v>
      </c>
      <c r="K155" s="24">
        <v>0</v>
      </c>
      <c r="L155" s="24">
        <v>0</v>
      </c>
      <c r="M155" s="23"/>
      <c r="N155" s="37">
        <f t="shared" si="93"/>
        <v>1500</v>
      </c>
      <c r="O155" s="22"/>
    </row>
    <row r="156" spans="1:15" ht="17.100000000000001" customHeight="1" x14ac:dyDescent="0.25">
      <c r="A156" s="27">
        <f>IF(C156="","",COUNTA($C$4:C156))</f>
        <v>153</v>
      </c>
      <c r="B156" s="27" t="str">
        <f t="shared" si="94"/>
        <v>July</v>
      </c>
      <c r="C156" s="49">
        <v>45869</v>
      </c>
      <c r="D156" s="21" t="s">
        <v>1253</v>
      </c>
      <c r="E156" s="26" t="s">
        <v>141</v>
      </c>
      <c r="F156" s="21">
        <v>347</v>
      </c>
      <c r="G156" s="48" t="s">
        <v>142</v>
      </c>
      <c r="H156" s="26" t="s">
        <v>143</v>
      </c>
      <c r="I156" s="23">
        <v>25396</v>
      </c>
      <c r="J156" s="47">
        <v>0</v>
      </c>
      <c r="K156" s="24">
        <v>0</v>
      </c>
      <c r="L156" s="24">
        <v>0</v>
      </c>
      <c r="M156" s="23">
        <v>0</v>
      </c>
      <c r="N156" s="37">
        <f t="shared" si="93"/>
        <v>25396</v>
      </c>
      <c r="O156" s="22"/>
    </row>
    <row r="157" spans="1:15" ht="17.100000000000001" customHeight="1" x14ac:dyDescent="0.25">
      <c r="A157" s="27">
        <f>IF(C157="","",COUNTA($C$4:C157))</f>
        <v>154</v>
      </c>
      <c r="B157" s="27" t="str">
        <f t="shared" si="73"/>
        <v>July</v>
      </c>
      <c r="C157" s="49">
        <v>45869</v>
      </c>
      <c r="D157" s="21" t="s">
        <v>1254</v>
      </c>
      <c r="E157" s="26" t="s">
        <v>456</v>
      </c>
      <c r="F157" s="21" t="s">
        <v>1255</v>
      </c>
      <c r="G157" s="48" t="s">
        <v>457</v>
      </c>
      <c r="H157" s="26" t="s">
        <v>1256</v>
      </c>
      <c r="I157" s="23">
        <v>1500</v>
      </c>
      <c r="J157" s="47">
        <v>0.18</v>
      </c>
      <c r="K157" s="24">
        <v>0</v>
      </c>
      <c r="L157" s="24">
        <f t="shared" ref="L157" si="95">I157*9/100</f>
        <v>135</v>
      </c>
      <c r="M157" s="23">
        <f t="shared" ref="M157" si="96">I157*9/100</f>
        <v>135</v>
      </c>
      <c r="N157" s="37">
        <f t="shared" ref="N157:N159" si="97">+I157+L157+M157</f>
        <v>1770</v>
      </c>
      <c r="O157" s="22"/>
    </row>
    <row r="158" spans="1:15" ht="17.100000000000001" customHeight="1" x14ac:dyDescent="0.25">
      <c r="A158" s="27">
        <f>IF(C158="","",COUNTA($C$4:C158))</f>
        <v>155</v>
      </c>
      <c r="B158" s="27" t="str">
        <f t="shared" si="73"/>
        <v>July</v>
      </c>
      <c r="C158" s="49">
        <v>45869</v>
      </c>
      <c r="D158" s="21" t="s">
        <v>1257</v>
      </c>
      <c r="E158" s="26" t="s">
        <v>448</v>
      </c>
      <c r="F158" s="21">
        <v>188</v>
      </c>
      <c r="G158" s="48" t="s">
        <v>449</v>
      </c>
      <c r="H158" s="26" t="s">
        <v>1258</v>
      </c>
      <c r="I158" s="23">
        <v>109400</v>
      </c>
      <c r="J158" s="47">
        <v>0</v>
      </c>
      <c r="K158" s="24">
        <v>0</v>
      </c>
      <c r="L158" s="24">
        <v>0</v>
      </c>
      <c r="M158" s="23">
        <v>0</v>
      </c>
      <c r="N158" s="37">
        <f t="shared" si="97"/>
        <v>109400</v>
      </c>
      <c r="O158" s="22"/>
    </row>
    <row r="159" spans="1:15" ht="17.100000000000001" customHeight="1" x14ac:dyDescent="0.25">
      <c r="A159" s="27">
        <f>IF(C159="","",COUNTA($C$4:C159))</f>
        <v>156</v>
      </c>
      <c r="B159" s="27" t="str">
        <f t="shared" si="73"/>
        <v>July</v>
      </c>
      <c r="C159" s="49">
        <v>45869</v>
      </c>
      <c r="D159" s="21" t="s">
        <v>1259</v>
      </c>
      <c r="E159" s="26" t="s">
        <v>448</v>
      </c>
      <c r="F159" s="21">
        <v>189</v>
      </c>
      <c r="G159" s="48" t="s">
        <v>449</v>
      </c>
      <c r="H159" s="26" t="s">
        <v>1258</v>
      </c>
      <c r="I159" s="23">
        <v>54900</v>
      </c>
      <c r="J159" s="47">
        <v>0</v>
      </c>
      <c r="K159" s="62">
        <v>0</v>
      </c>
      <c r="L159" s="24">
        <v>0</v>
      </c>
      <c r="M159" s="23">
        <v>0</v>
      </c>
      <c r="N159" s="37">
        <f t="shared" si="97"/>
        <v>54900</v>
      </c>
      <c r="O159" s="22"/>
    </row>
    <row r="160" spans="1:15" ht="17.100000000000001" customHeight="1" x14ac:dyDescent="0.25">
      <c r="A160" s="27">
        <f>IF(C160="","",COUNTA($C$4:C160))</f>
        <v>157</v>
      </c>
      <c r="B160" s="27" t="str">
        <f t="shared" si="73"/>
        <v>July</v>
      </c>
      <c r="C160" s="49">
        <v>45853</v>
      </c>
      <c r="D160" s="21" t="s">
        <v>1295</v>
      </c>
      <c r="E160" s="26" t="s">
        <v>1001</v>
      </c>
      <c r="F160" s="21">
        <v>7304</v>
      </c>
      <c r="G160" s="48" t="s">
        <v>1296</v>
      </c>
      <c r="H160" s="26" t="s">
        <v>1297</v>
      </c>
      <c r="I160" s="23">
        <v>1666</v>
      </c>
      <c r="J160" s="47">
        <v>0.18</v>
      </c>
      <c r="K160" s="62">
        <v>0</v>
      </c>
      <c r="L160" s="24">
        <f t="shared" ref="L160:L161" si="98">I160*9/100</f>
        <v>149.94</v>
      </c>
      <c r="M160" s="23">
        <f t="shared" ref="M160:M161" si="99">I160*9/100</f>
        <v>149.94</v>
      </c>
      <c r="N160" s="37">
        <f t="shared" ref="N160:N161" si="100">+I160+L160+M160</f>
        <v>1965.88</v>
      </c>
      <c r="O160" s="22"/>
    </row>
    <row r="161" spans="1:15" ht="17.100000000000001" customHeight="1" x14ac:dyDescent="0.25">
      <c r="A161" s="27">
        <f>IF(C161="","",COUNTA($C$4:C161))</f>
        <v>158</v>
      </c>
      <c r="B161" s="27" t="str">
        <f t="shared" si="73"/>
        <v>July</v>
      </c>
      <c r="C161" s="49">
        <v>45869</v>
      </c>
      <c r="D161" s="21" t="s">
        <v>1298</v>
      </c>
      <c r="E161" s="26" t="s">
        <v>452</v>
      </c>
      <c r="F161" s="21" t="s">
        <v>1299</v>
      </c>
      <c r="G161" s="48" t="s">
        <v>454</v>
      </c>
      <c r="H161" s="26" t="s">
        <v>1258</v>
      </c>
      <c r="I161" s="23">
        <v>1749.15</v>
      </c>
      <c r="J161" s="47">
        <v>0.18</v>
      </c>
      <c r="K161" s="62">
        <v>0</v>
      </c>
      <c r="L161" s="24">
        <f t="shared" si="98"/>
        <v>157.42349999999999</v>
      </c>
      <c r="M161" s="23">
        <f t="shared" si="99"/>
        <v>157.42349999999999</v>
      </c>
      <c r="N161" s="37">
        <f t="shared" si="100"/>
        <v>2063.9969999999998</v>
      </c>
      <c r="O161" s="22"/>
    </row>
    <row r="162" spans="1:15" ht="17.100000000000001" customHeight="1" x14ac:dyDescent="0.25">
      <c r="A162" s="27">
        <f>IF(C162="","",COUNTA($C$4:C162))</f>
        <v>159</v>
      </c>
      <c r="B162" s="27" t="str">
        <f t="shared" si="73"/>
        <v>August</v>
      </c>
      <c r="C162" s="49">
        <v>45870</v>
      </c>
      <c r="D162" s="21" t="s">
        <v>1260</v>
      </c>
      <c r="E162" s="26" t="s">
        <v>464</v>
      </c>
      <c r="F162" s="21" t="s">
        <v>1261</v>
      </c>
      <c r="G162" s="26" t="s">
        <v>466</v>
      </c>
      <c r="H162" s="26" t="s">
        <v>1262</v>
      </c>
      <c r="I162" s="23">
        <v>1000</v>
      </c>
      <c r="J162" s="47">
        <v>0.18</v>
      </c>
      <c r="K162" s="62">
        <v>0</v>
      </c>
      <c r="L162" s="24">
        <f t="shared" ref="L162:L167" si="101">I162*9/100</f>
        <v>90</v>
      </c>
      <c r="M162" s="23">
        <f t="shared" ref="M162:M167" si="102">I162*9/100</f>
        <v>90</v>
      </c>
      <c r="N162" s="37">
        <f t="shared" ref="N162:N168" si="103">+I162+L162+M162</f>
        <v>1180</v>
      </c>
      <c r="O162" s="22"/>
    </row>
    <row r="163" spans="1:15" ht="17.100000000000001" customHeight="1" x14ac:dyDescent="0.25">
      <c r="A163" s="27">
        <f>IF(C163="","",COUNTA($C$4:C163))</f>
        <v>160</v>
      </c>
      <c r="B163" s="27" t="str">
        <f t="shared" si="73"/>
        <v>August</v>
      </c>
      <c r="C163" s="49">
        <v>45871</v>
      </c>
      <c r="D163" s="21" t="s">
        <v>1263</v>
      </c>
      <c r="E163" s="26" t="s">
        <v>284</v>
      </c>
      <c r="F163" s="21">
        <v>3802</v>
      </c>
      <c r="G163" s="48" t="s">
        <v>285</v>
      </c>
      <c r="H163" s="26" t="s">
        <v>1264</v>
      </c>
      <c r="I163" s="23">
        <v>6700</v>
      </c>
      <c r="J163" s="47">
        <v>0.18</v>
      </c>
      <c r="K163" s="62">
        <v>0</v>
      </c>
      <c r="L163" s="24">
        <f t="shared" si="101"/>
        <v>603</v>
      </c>
      <c r="M163" s="23">
        <f t="shared" si="102"/>
        <v>603</v>
      </c>
      <c r="N163" s="37">
        <f t="shared" si="103"/>
        <v>7906</v>
      </c>
      <c r="O163" s="22"/>
    </row>
    <row r="164" spans="1:15" ht="17.100000000000001" customHeight="1" x14ac:dyDescent="0.25">
      <c r="A164" s="27">
        <f>IF(C164="","",COUNTA($C$4:C164))</f>
        <v>161</v>
      </c>
      <c r="B164" s="27" t="str">
        <f t="shared" si="73"/>
        <v>August</v>
      </c>
      <c r="C164" s="49">
        <v>45871</v>
      </c>
      <c r="D164" s="21" t="s">
        <v>1265</v>
      </c>
      <c r="E164" s="26" t="s">
        <v>1266</v>
      </c>
      <c r="F164" s="21">
        <v>439</v>
      </c>
      <c r="G164" s="48" t="s">
        <v>392</v>
      </c>
      <c r="H164" s="39" t="s">
        <v>1258</v>
      </c>
      <c r="I164" s="23">
        <v>149584</v>
      </c>
      <c r="J164" s="47">
        <v>0.18</v>
      </c>
      <c r="K164" s="62">
        <v>0</v>
      </c>
      <c r="L164" s="24">
        <f t="shared" si="101"/>
        <v>13462.56</v>
      </c>
      <c r="M164" s="23">
        <f t="shared" si="102"/>
        <v>13462.56</v>
      </c>
      <c r="N164" s="37">
        <f t="shared" si="103"/>
        <v>176509.12</v>
      </c>
      <c r="O164" s="22"/>
    </row>
    <row r="165" spans="1:15" ht="17.100000000000001" customHeight="1" x14ac:dyDescent="0.25">
      <c r="A165" s="27">
        <f>IF(C165="","",COUNTA($C$4:C165))</f>
        <v>162</v>
      </c>
      <c r="B165" s="27" t="str">
        <f t="shared" si="73"/>
        <v>August</v>
      </c>
      <c r="C165" s="49">
        <v>45873</v>
      </c>
      <c r="D165" s="21" t="s">
        <v>1267</v>
      </c>
      <c r="E165" s="26" t="s">
        <v>474</v>
      </c>
      <c r="F165" s="21" t="s">
        <v>1268</v>
      </c>
      <c r="G165" s="26" t="s">
        <v>116</v>
      </c>
      <c r="H165" s="39" t="s">
        <v>1269</v>
      </c>
      <c r="I165" s="23">
        <v>38000</v>
      </c>
      <c r="J165" s="47">
        <v>0.18</v>
      </c>
      <c r="K165" s="62">
        <v>0</v>
      </c>
      <c r="L165" s="24">
        <f t="shared" si="101"/>
        <v>3420</v>
      </c>
      <c r="M165" s="23">
        <f t="shared" si="102"/>
        <v>3420</v>
      </c>
      <c r="N165" s="37">
        <f t="shared" si="103"/>
        <v>44840</v>
      </c>
      <c r="O165" s="22"/>
    </row>
    <row r="166" spans="1:15" ht="17.100000000000001" customHeight="1" x14ac:dyDescent="0.25">
      <c r="A166" s="27">
        <f>IF(C166="","",COUNTA($C$4:C166))</f>
        <v>163</v>
      </c>
      <c r="B166" s="27" t="str">
        <f t="shared" si="73"/>
        <v>August</v>
      </c>
      <c r="C166" s="49">
        <v>45873</v>
      </c>
      <c r="D166" s="21" t="s">
        <v>1270</v>
      </c>
      <c r="E166" s="26" t="s">
        <v>548</v>
      </c>
      <c r="F166" s="21" t="s">
        <v>1271</v>
      </c>
      <c r="G166" s="26" t="s">
        <v>583</v>
      </c>
      <c r="H166" s="39" t="s">
        <v>1272</v>
      </c>
      <c r="I166" s="23">
        <v>133313</v>
      </c>
      <c r="J166" s="47">
        <v>0.18</v>
      </c>
      <c r="K166" s="62">
        <v>0</v>
      </c>
      <c r="L166" s="24">
        <f t="shared" si="101"/>
        <v>11998.17</v>
      </c>
      <c r="M166" s="23">
        <f t="shared" si="102"/>
        <v>11998.17</v>
      </c>
      <c r="N166" s="37">
        <f t="shared" si="103"/>
        <v>157309.34000000003</v>
      </c>
      <c r="O166" s="22"/>
    </row>
    <row r="167" spans="1:15" ht="17.100000000000001" customHeight="1" x14ac:dyDescent="0.25">
      <c r="A167" s="27">
        <f>IF(C167="","",COUNTA($C$4:C167))</f>
        <v>164</v>
      </c>
      <c r="B167" s="27" t="str">
        <f t="shared" si="73"/>
        <v>August</v>
      </c>
      <c r="C167" s="49">
        <v>45873</v>
      </c>
      <c r="D167" s="96" t="s">
        <v>1273</v>
      </c>
      <c r="E167" s="26" t="s">
        <v>548</v>
      </c>
      <c r="F167" s="21" t="s">
        <v>1274</v>
      </c>
      <c r="G167" s="26" t="s">
        <v>553</v>
      </c>
      <c r="H167" s="39" t="s">
        <v>1275</v>
      </c>
      <c r="I167" s="23">
        <v>31187</v>
      </c>
      <c r="J167" s="47">
        <v>0.18</v>
      </c>
      <c r="K167" s="62">
        <v>0</v>
      </c>
      <c r="L167" s="24">
        <f t="shared" si="101"/>
        <v>2806.83</v>
      </c>
      <c r="M167" s="23">
        <f t="shared" si="102"/>
        <v>2806.83</v>
      </c>
      <c r="N167" s="37">
        <f t="shared" si="103"/>
        <v>36800.660000000003</v>
      </c>
      <c r="O167" s="22"/>
    </row>
    <row r="168" spans="1:15" ht="17.100000000000001" customHeight="1" x14ac:dyDescent="0.25">
      <c r="A168" s="27">
        <f>IF(C168="","",COUNTA($C$4:C168))</f>
        <v>165</v>
      </c>
      <c r="B168" s="27" t="str">
        <f t="shared" si="73"/>
        <v>August</v>
      </c>
      <c r="C168" s="49">
        <v>45872</v>
      </c>
      <c r="D168" s="21" t="s">
        <v>1300</v>
      </c>
      <c r="E168" s="26" t="s">
        <v>111</v>
      </c>
      <c r="F168" s="53" t="s">
        <v>1301</v>
      </c>
      <c r="G168" s="26" t="s">
        <v>472</v>
      </c>
      <c r="H168" s="39" t="s">
        <v>1258</v>
      </c>
      <c r="I168" s="23">
        <v>252254</v>
      </c>
      <c r="J168" s="47">
        <v>0</v>
      </c>
      <c r="K168" s="62">
        <v>0</v>
      </c>
      <c r="L168" s="24">
        <v>0</v>
      </c>
      <c r="M168" s="23">
        <v>0</v>
      </c>
      <c r="N168" s="37">
        <f t="shared" si="103"/>
        <v>252254</v>
      </c>
      <c r="O168" s="22"/>
    </row>
    <row r="169" spans="1:15" ht="17.100000000000001" customHeight="1" x14ac:dyDescent="0.25">
      <c r="A169" s="27">
        <f>IF(C169="","",COUNTA($C$4:C169))</f>
        <v>166</v>
      </c>
      <c r="B169" s="27" t="str">
        <f t="shared" si="73"/>
        <v>August</v>
      </c>
      <c r="C169" s="49">
        <v>45873</v>
      </c>
      <c r="D169" s="21" t="s">
        <v>1302</v>
      </c>
      <c r="E169" s="26" t="s">
        <v>783</v>
      </c>
      <c r="F169" s="21" t="s">
        <v>1303</v>
      </c>
      <c r="G169" s="26" t="s">
        <v>583</v>
      </c>
      <c r="H169" s="39" t="s">
        <v>1258</v>
      </c>
      <c r="I169" s="23">
        <v>667679</v>
      </c>
      <c r="J169" s="47">
        <v>0.18</v>
      </c>
      <c r="K169" s="62">
        <v>0</v>
      </c>
      <c r="L169" s="24">
        <f t="shared" ref="L169:L201" si="104">I169*9/100</f>
        <v>60091.11</v>
      </c>
      <c r="M169" s="23">
        <f t="shared" ref="M169:M201" si="105">I169*9/100</f>
        <v>60091.11</v>
      </c>
      <c r="N169" s="37">
        <f t="shared" ref="N169:N204" si="106">+I169+L169+M169</f>
        <v>787861.22</v>
      </c>
      <c r="O169" s="22"/>
    </row>
    <row r="170" spans="1:15" ht="17.100000000000001" customHeight="1" x14ac:dyDescent="0.25">
      <c r="A170" s="27">
        <f>IF(C170="","",COUNTA($C$4:C170))</f>
        <v>167</v>
      </c>
      <c r="B170" s="27" t="str">
        <f t="shared" si="73"/>
        <v>August</v>
      </c>
      <c r="C170" s="49">
        <v>45873</v>
      </c>
      <c r="D170" s="21" t="s">
        <v>1304</v>
      </c>
      <c r="E170" s="26" t="s">
        <v>783</v>
      </c>
      <c r="F170" s="21" t="s">
        <v>1305</v>
      </c>
      <c r="G170" s="26" t="s">
        <v>583</v>
      </c>
      <c r="H170" s="39" t="s">
        <v>1258</v>
      </c>
      <c r="I170" s="23">
        <v>107042</v>
      </c>
      <c r="J170" s="47">
        <v>0.18</v>
      </c>
      <c r="K170" s="62">
        <v>0</v>
      </c>
      <c r="L170" s="24">
        <f t="shared" si="104"/>
        <v>9633.7800000000007</v>
      </c>
      <c r="M170" s="23">
        <f t="shared" si="105"/>
        <v>9633.7800000000007</v>
      </c>
      <c r="N170" s="37">
        <f t="shared" si="106"/>
        <v>126309.56</v>
      </c>
      <c r="O170" s="22"/>
    </row>
    <row r="171" spans="1:15" ht="17.100000000000001" customHeight="1" x14ac:dyDescent="0.25">
      <c r="A171" s="27">
        <f>IF(C171="","",COUNTA($C$4:C171))</f>
        <v>168</v>
      </c>
      <c r="B171" s="27" t="str">
        <f t="shared" si="73"/>
        <v>August</v>
      </c>
      <c r="C171" s="49">
        <v>45875</v>
      </c>
      <c r="D171" s="21" t="s">
        <v>1306</v>
      </c>
      <c r="E171" s="26" t="s">
        <v>1307</v>
      </c>
      <c r="F171" s="21">
        <v>252631063</v>
      </c>
      <c r="G171" s="26" t="s">
        <v>1308</v>
      </c>
      <c r="H171" s="26" t="s">
        <v>1309</v>
      </c>
      <c r="I171" s="23">
        <v>21100</v>
      </c>
      <c r="J171" s="47">
        <v>0.18</v>
      </c>
      <c r="K171" s="62">
        <v>0</v>
      </c>
      <c r="L171" s="24">
        <f t="shared" si="104"/>
        <v>1899</v>
      </c>
      <c r="M171" s="23">
        <f t="shared" si="105"/>
        <v>1899</v>
      </c>
      <c r="N171" s="37">
        <f t="shared" si="106"/>
        <v>24898</v>
      </c>
      <c r="O171" s="22"/>
    </row>
    <row r="172" spans="1:15" ht="17.100000000000001" customHeight="1" x14ac:dyDescent="0.25">
      <c r="A172" s="27">
        <f>IF(C172="","",COUNTA($C$4:C172))</f>
        <v>169</v>
      </c>
      <c r="B172" s="27" t="str">
        <f t="shared" si="73"/>
        <v>August</v>
      </c>
      <c r="C172" s="49">
        <v>45878</v>
      </c>
      <c r="D172" s="21" t="s">
        <v>1310</v>
      </c>
      <c r="E172" s="26" t="s">
        <v>206</v>
      </c>
      <c r="F172" s="21" t="s">
        <v>1311</v>
      </c>
      <c r="G172" s="26" t="s">
        <v>116</v>
      </c>
      <c r="H172" s="26" t="s">
        <v>1312</v>
      </c>
      <c r="I172" s="23">
        <v>122185</v>
      </c>
      <c r="J172" s="47">
        <v>0.18</v>
      </c>
      <c r="K172" s="62">
        <v>0</v>
      </c>
      <c r="L172" s="24">
        <f t="shared" si="104"/>
        <v>10996.65</v>
      </c>
      <c r="M172" s="23">
        <f t="shared" si="105"/>
        <v>10996.65</v>
      </c>
      <c r="N172" s="37">
        <f t="shared" si="106"/>
        <v>144178.29999999999</v>
      </c>
      <c r="O172" s="22"/>
    </row>
    <row r="173" spans="1:15" ht="17.100000000000001" customHeight="1" x14ac:dyDescent="0.25">
      <c r="A173" s="27">
        <f>IF(C173="","",COUNTA($C$4:C173))</f>
        <v>170</v>
      </c>
      <c r="B173" s="27" t="str">
        <f t="shared" si="73"/>
        <v>August</v>
      </c>
      <c r="C173" s="49">
        <v>45880</v>
      </c>
      <c r="D173" s="21" t="s">
        <v>1319</v>
      </c>
      <c r="E173" s="26" t="s">
        <v>478</v>
      </c>
      <c r="F173" s="21">
        <v>1308</v>
      </c>
      <c r="G173" s="26" t="s">
        <v>116</v>
      </c>
      <c r="H173" s="26" t="s">
        <v>1320</v>
      </c>
      <c r="I173" s="23">
        <v>80262.070000000007</v>
      </c>
      <c r="J173" s="47">
        <v>0.18</v>
      </c>
      <c r="K173" s="62">
        <v>0</v>
      </c>
      <c r="L173" s="24">
        <f t="shared" si="104"/>
        <v>7223.5863000000008</v>
      </c>
      <c r="M173" s="23">
        <f t="shared" si="105"/>
        <v>7223.5863000000008</v>
      </c>
      <c r="N173" s="37">
        <f t="shared" si="106"/>
        <v>94709.242599999998</v>
      </c>
      <c r="O173" s="22"/>
    </row>
    <row r="174" spans="1:15" ht="17.100000000000001" customHeight="1" x14ac:dyDescent="0.25">
      <c r="A174" s="27">
        <f>IF(C174="","",COUNTA($C$4:C174))</f>
        <v>171</v>
      </c>
      <c r="B174" s="27" t="str">
        <f t="shared" si="73"/>
        <v>August</v>
      </c>
      <c r="C174" s="49">
        <v>45880</v>
      </c>
      <c r="D174" s="21" t="s">
        <v>1321</v>
      </c>
      <c r="E174" s="26" t="s">
        <v>478</v>
      </c>
      <c r="F174" s="21">
        <v>1309</v>
      </c>
      <c r="G174" s="26" t="s">
        <v>116</v>
      </c>
      <c r="H174" s="26" t="s">
        <v>1320</v>
      </c>
      <c r="I174" s="23">
        <v>18134.900000000001</v>
      </c>
      <c r="J174" s="47">
        <v>0.18</v>
      </c>
      <c r="K174" s="62">
        <v>0</v>
      </c>
      <c r="L174" s="24">
        <f t="shared" si="104"/>
        <v>1632.1410000000001</v>
      </c>
      <c r="M174" s="23">
        <f t="shared" si="105"/>
        <v>1632.1410000000001</v>
      </c>
      <c r="N174" s="37">
        <f t="shared" si="106"/>
        <v>21399.182000000001</v>
      </c>
      <c r="O174" s="22"/>
    </row>
    <row r="175" spans="1:15" ht="17.100000000000001" customHeight="1" x14ac:dyDescent="0.25">
      <c r="A175" s="27">
        <f>IF(C175="","",COUNTA($C$4:C175))</f>
        <v>172</v>
      </c>
      <c r="B175" s="27" t="str">
        <f t="shared" si="73"/>
        <v>August</v>
      </c>
      <c r="C175" s="49">
        <v>45880</v>
      </c>
      <c r="D175" s="21" t="s">
        <v>1322</v>
      </c>
      <c r="E175" s="26" t="s">
        <v>478</v>
      </c>
      <c r="F175" s="21">
        <v>1310</v>
      </c>
      <c r="G175" s="26" t="s">
        <v>116</v>
      </c>
      <c r="H175" s="26" t="s">
        <v>943</v>
      </c>
      <c r="I175" s="23">
        <v>185972.61</v>
      </c>
      <c r="J175" s="47">
        <v>0.18</v>
      </c>
      <c r="K175" s="62">
        <v>0</v>
      </c>
      <c r="L175" s="24">
        <f t="shared" si="104"/>
        <v>16737.534899999999</v>
      </c>
      <c r="M175" s="23">
        <f t="shared" si="105"/>
        <v>16737.534899999999</v>
      </c>
      <c r="N175" s="37">
        <f t="shared" si="106"/>
        <v>219447.67979999998</v>
      </c>
      <c r="O175" s="22"/>
    </row>
    <row r="176" spans="1:15" ht="17.100000000000001" customHeight="1" x14ac:dyDescent="0.25">
      <c r="A176" s="27">
        <f>IF(C176="","",COUNTA($C$4:C176))</f>
        <v>173</v>
      </c>
      <c r="B176" s="27" t="str">
        <f t="shared" si="73"/>
        <v>August</v>
      </c>
      <c r="C176" s="49">
        <v>45880</v>
      </c>
      <c r="D176" s="21" t="s">
        <v>1323</v>
      </c>
      <c r="E176" s="26" t="s">
        <v>478</v>
      </c>
      <c r="F176" s="21">
        <v>1311</v>
      </c>
      <c r="G176" s="26" t="s">
        <v>116</v>
      </c>
      <c r="H176" s="39" t="s">
        <v>479</v>
      </c>
      <c r="I176" s="23">
        <v>18388.84</v>
      </c>
      <c r="J176" s="47">
        <v>0.18</v>
      </c>
      <c r="K176" s="62">
        <v>0</v>
      </c>
      <c r="L176" s="24">
        <f t="shared" si="104"/>
        <v>1654.9956</v>
      </c>
      <c r="M176" s="23">
        <f t="shared" si="105"/>
        <v>1654.9956</v>
      </c>
      <c r="N176" s="37">
        <f t="shared" si="106"/>
        <v>21698.831199999997</v>
      </c>
      <c r="O176" s="22"/>
    </row>
    <row r="177" spans="1:15" ht="17.100000000000001" customHeight="1" x14ac:dyDescent="0.25">
      <c r="A177" s="27">
        <f>IF(C177="","",COUNTA($C$4:C177))</f>
        <v>174</v>
      </c>
      <c r="B177" s="27" t="str">
        <f t="shared" ref="B177" si="107">IF(C177="","",TEXT(C177,"mmmm"))</f>
        <v>August</v>
      </c>
      <c r="C177" s="49">
        <v>45880</v>
      </c>
      <c r="D177" s="21" t="s">
        <v>1324</v>
      </c>
      <c r="E177" s="26" t="s">
        <v>478</v>
      </c>
      <c r="F177" s="21">
        <v>1312</v>
      </c>
      <c r="G177" s="26" t="s">
        <v>116</v>
      </c>
      <c r="H177" s="39" t="s">
        <v>479</v>
      </c>
      <c r="I177" s="23">
        <v>18133.29</v>
      </c>
      <c r="J177" s="47">
        <v>0.18</v>
      </c>
      <c r="K177" s="62">
        <v>0</v>
      </c>
      <c r="L177" s="24">
        <f t="shared" si="104"/>
        <v>1631.9961000000001</v>
      </c>
      <c r="M177" s="23">
        <f t="shared" si="105"/>
        <v>1631.9961000000001</v>
      </c>
      <c r="N177" s="37">
        <f t="shared" si="106"/>
        <v>21397.282200000001</v>
      </c>
      <c r="O177" s="22"/>
    </row>
    <row r="178" spans="1:15" ht="17.100000000000001" customHeight="1" x14ac:dyDescent="0.25">
      <c r="A178" s="27">
        <f>IF(C178="","",COUNTA($C$4:C178))</f>
        <v>175</v>
      </c>
      <c r="B178" s="27" t="str">
        <f t="shared" ref="B178:B179" si="108">IF(C178="","",TEXT(C178,"mmmm"))</f>
        <v>August</v>
      </c>
      <c r="C178" s="49">
        <v>45880</v>
      </c>
      <c r="D178" s="21" t="s">
        <v>1325</v>
      </c>
      <c r="E178" s="26" t="s">
        <v>478</v>
      </c>
      <c r="F178" s="21">
        <v>1313</v>
      </c>
      <c r="G178" s="26" t="s">
        <v>116</v>
      </c>
      <c r="H178" s="26" t="s">
        <v>483</v>
      </c>
      <c r="I178" s="23">
        <v>295.89999999999998</v>
      </c>
      <c r="J178" s="47">
        <v>0.18</v>
      </c>
      <c r="K178" s="62">
        <v>0</v>
      </c>
      <c r="L178" s="24">
        <f t="shared" si="104"/>
        <v>26.631</v>
      </c>
      <c r="M178" s="23">
        <f t="shared" si="105"/>
        <v>26.631</v>
      </c>
      <c r="N178" s="37">
        <f t="shared" si="106"/>
        <v>349.16199999999992</v>
      </c>
      <c r="O178" s="22"/>
    </row>
    <row r="179" spans="1:15" ht="17.100000000000001" customHeight="1" x14ac:dyDescent="0.25">
      <c r="A179" s="27">
        <f>IF(C179="","",COUNTA($C$4:C179))</f>
        <v>176</v>
      </c>
      <c r="B179" s="27" t="str">
        <f t="shared" si="108"/>
        <v>August</v>
      </c>
      <c r="C179" s="49">
        <v>45880</v>
      </c>
      <c r="D179" s="21" t="s">
        <v>1326</v>
      </c>
      <c r="E179" s="26" t="s">
        <v>478</v>
      </c>
      <c r="F179" s="21">
        <v>1314</v>
      </c>
      <c r="G179" s="26" t="s">
        <v>116</v>
      </c>
      <c r="H179" s="38" t="s">
        <v>479</v>
      </c>
      <c r="I179" s="23">
        <v>4464.8599999999997</v>
      </c>
      <c r="J179" s="47">
        <v>0.18</v>
      </c>
      <c r="K179" s="62">
        <v>0</v>
      </c>
      <c r="L179" s="24">
        <f t="shared" si="104"/>
        <v>401.8374</v>
      </c>
      <c r="M179" s="23">
        <f t="shared" si="105"/>
        <v>401.8374</v>
      </c>
      <c r="N179" s="37">
        <f t="shared" si="106"/>
        <v>5268.5348000000004</v>
      </c>
      <c r="O179" s="22"/>
    </row>
    <row r="180" spans="1:15" ht="17.100000000000001" customHeight="1" x14ac:dyDescent="0.25">
      <c r="A180" s="27">
        <f>IF(C180="","",COUNTA($C$4:C180))</f>
        <v>177</v>
      </c>
      <c r="B180" s="27" t="str">
        <f t="shared" si="73"/>
        <v>August</v>
      </c>
      <c r="C180" s="49">
        <v>45880</v>
      </c>
      <c r="D180" s="21" t="s">
        <v>1327</v>
      </c>
      <c r="E180" s="26" t="s">
        <v>478</v>
      </c>
      <c r="F180" s="21">
        <v>1315</v>
      </c>
      <c r="G180" s="26" t="s">
        <v>116</v>
      </c>
      <c r="H180" s="38" t="s">
        <v>479</v>
      </c>
      <c r="I180" s="23">
        <v>6859.5</v>
      </c>
      <c r="J180" s="47">
        <v>0.18</v>
      </c>
      <c r="K180" s="62">
        <v>0</v>
      </c>
      <c r="L180" s="24">
        <f t="shared" si="104"/>
        <v>617.35500000000002</v>
      </c>
      <c r="M180" s="23">
        <f t="shared" si="105"/>
        <v>617.35500000000002</v>
      </c>
      <c r="N180" s="37">
        <f t="shared" si="106"/>
        <v>8094.2099999999991</v>
      </c>
      <c r="O180" s="22"/>
    </row>
    <row r="181" spans="1:15" ht="17.100000000000001" customHeight="1" x14ac:dyDescent="0.25">
      <c r="A181" s="27">
        <f>IF(C181="","",COUNTA($C$4:C181))</f>
        <v>178</v>
      </c>
      <c r="B181" s="27" t="str">
        <f t="shared" si="73"/>
        <v>August</v>
      </c>
      <c r="C181" s="49">
        <v>45880</v>
      </c>
      <c r="D181" s="21" t="s">
        <v>1328</v>
      </c>
      <c r="E181" s="26" t="s">
        <v>478</v>
      </c>
      <c r="F181" s="21">
        <v>1316</v>
      </c>
      <c r="G181" s="26" t="s">
        <v>116</v>
      </c>
      <c r="H181" s="39" t="s">
        <v>707</v>
      </c>
      <c r="I181" s="23">
        <v>92751.2</v>
      </c>
      <c r="J181" s="47">
        <v>0.18</v>
      </c>
      <c r="K181" s="62">
        <v>0</v>
      </c>
      <c r="L181" s="24">
        <f t="shared" si="104"/>
        <v>8347.6080000000002</v>
      </c>
      <c r="M181" s="23">
        <f t="shared" si="105"/>
        <v>8347.6080000000002</v>
      </c>
      <c r="N181" s="37">
        <f t="shared" si="106"/>
        <v>109446.416</v>
      </c>
      <c r="O181" s="22"/>
    </row>
    <row r="182" spans="1:15" ht="17.100000000000001" customHeight="1" x14ac:dyDescent="0.25">
      <c r="A182" s="27">
        <f>IF(C182="","",COUNTA($C$4:C182))</f>
        <v>179</v>
      </c>
      <c r="B182" s="27" t="str">
        <f t="shared" si="73"/>
        <v>August</v>
      </c>
      <c r="C182" s="49">
        <v>45880</v>
      </c>
      <c r="D182" s="21" t="s">
        <v>1329</v>
      </c>
      <c r="E182" s="26" t="s">
        <v>478</v>
      </c>
      <c r="F182" s="21">
        <v>1317</v>
      </c>
      <c r="G182" s="26" t="s">
        <v>116</v>
      </c>
      <c r="H182" s="26" t="s">
        <v>1320</v>
      </c>
      <c r="I182" s="23">
        <v>41081.14</v>
      </c>
      <c r="J182" s="47">
        <v>0.18</v>
      </c>
      <c r="K182" s="62">
        <v>0</v>
      </c>
      <c r="L182" s="24">
        <f t="shared" si="104"/>
        <v>3697.3026</v>
      </c>
      <c r="M182" s="23">
        <f t="shared" si="105"/>
        <v>3697.3026</v>
      </c>
      <c r="N182" s="37">
        <f t="shared" si="106"/>
        <v>48475.745200000005</v>
      </c>
      <c r="O182" s="22"/>
    </row>
    <row r="183" spans="1:15" ht="17.100000000000001" customHeight="1" x14ac:dyDescent="0.25">
      <c r="A183" s="27">
        <f>IF(C183="","",COUNTA($C$4:C183))</f>
        <v>180</v>
      </c>
      <c r="B183" s="27" t="str">
        <f t="shared" si="73"/>
        <v>August</v>
      </c>
      <c r="C183" s="49">
        <v>45880</v>
      </c>
      <c r="D183" s="21" t="s">
        <v>1330</v>
      </c>
      <c r="E183" s="26" t="s">
        <v>478</v>
      </c>
      <c r="F183" s="21">
        <v>1318</v>
      </c>
      <c r="G183" s="26" t="s">
        <v>116</v>
      </c>
      <c r="H183" s="26" t="s">
        <v>495</v>
      </c>
      <c r="I183" s="23">
        <v>2918.65</v>
      </c>
      <c r="J183" s="47">
        <v>0.18</v>
      </c>
      <c r="K183" s="62">
        <v>0</v>
      </c>
      <c r="L183" s="24">
        <f t="shared" si="104"/>
        <v>262.67850000000004</v>
      </c>
      <c r="M183" s="23">
        <f t="shared" si="105"/>
        <v>262.67850000000004</v>
      </c>
      <c r="N183" s="37">
        <f t="shared" si="106"/>
        <v>3444.0070000000001</v>
      </c>
      <c r="O183" s="22"/>
    </row>
    <row r="184" spans="1:15" ht="17.100000000000001" customHeight="1" x14ac:dyDescent="0.25">
      <c r="A184" s="27">
        <f>IF(C184="","",COUNTA($C$4:C184))</f>
        <v>181</v>
      </c>
      <c r="B184" s="27" t="str">
        <f t="shared" si="73"/>
        <v>August</v>
      </c>
      <c r="C184" s="49">
        <v>45880</v>
      </c>
      <c r="D184" s="21" t="s">
        <v>1331</v>
      </c>
      <c r="E184" s="26" t="s">
        <v>478</v>
      </c>
      <c r="F184" s="21">
        <v>1319</v>
      </c>
      <c r="G184" s="26" t="s">
        <v>116</v>
      </c>
      <c r="H184" s="26" t="s">
        <v>479</v>
      </c>
      <c r="I184" s="23">
        <v>9416.61</v>
      </c>
      <c r="J184" s="47">
        <v>0.18</v>
      </c>
      <c r="K184" s="62">
        <v>0</v>
      </c>
      <c r="L184" s="24">
        <f t="shared" si="104"/>
        <v>847.49490000000003</v>
      </c>
      <c r="M184" s="24">
        <f t="shared" si="105"/>
        <v>847.49490000000003</v>
      </c>
      <c r="N184" s="37">
        <f t="shared" si="106"/>
        <v>11111.5998</v>
      </c>
      <c r="O184" s="22"/>
    </row>
    <row r="185" spans="1:15" ht="17.100000000000001" customHeight="1" x14ac:dyDescent="0.25">
      <c r="A185" s="27">
        <f>IF(C185="","",COUNTA($C$4:C185))</f>
        <v>182</v>
      </c>
      <c r="B185" s="27" t="str">
        <f t="shared" si="73"/>
        <v>August</v>
      </c>
      <c r="C185" s="49">
        <v>45880</v>
      </c>
      <c r="D185" s="21" t="s">
        <v>1332</v>
      </c>
      <c r="E185" s="26" t="s">
        <v>478</v>
      </c>
      <c r="F185" s="21">
        <v>1320</v>
      </c>
      <c r="G185" s="26" t="s">
        <v>116</v>
      </c>
      <c r="H185" s="26" t="s">
        <v>495</v>
      </c>
      <c r="I185" s="23">
        <v>3725.65</v>
      </c>
      <c r="J185" s="47">
        <v>0.18</v>
      </c>
      <c r="K185" s="62">
        <v>0</v>
      </c>
      <c r="L185" s="24">
        <f t="shared" si="104"/>
        <v>335.30849999999998</v>
      </c>
      <c r="M185" s="23">
        <f t="shared" si="105"/>
        <v>335.30849999999998</v>
      </c>
      <c r="N185" s="37">
        <f t="shared" si="106"/>
        <v>4396.2669999999998</v>
      </c>
      <c r="O185" s="22"/>
    </row>
    <row r="186" spans="1:15" ht="17.100000000000001" customHeight="1" x14ac:dyDescent="0.25">
      <c r="A186" s="27">
        <f>IF(C186="","",COUNTA($C$4:C186))</f>
        <v>183</v>
      </c>
      <c r="B186" s="27" t="str">
        <f t="shared" si="73"/>
        <v>August</v>
      </c>
      <c r="C186" s="49">
        <v>45880</v>
      </c>
      <c r="D186" s="21" t="s">
        <v>1333</v>
      </c>
      <c r="E186" s="26" t="s">
        <v>478</v>
      </c>
      <c r="F186" s="21">
        <v>1321</v>
      </c>
      <c r="G186" s="26" t="s">
        <v>116</v>
      </c>
      <c r="H186" s="26" t="s">
        <v>495</v>
      </c>
      <c r="I186" s="23">
        <v>101197.8</v>
      </c>
      <c r="J186" s="47">
        <v>0.18</v>
      </c>
      <c r="K186" s="62">
        <v>0</v>
      </c>
      <c r="L186" s="24">
        <f t="shared" si="104"/>
        <v>9107.8020000000015</v>
      </c>
      <c r="M186" s="23">
        <f t="shared" si="105"/>
        <v>9107.8020000000015</v>
      </c>
      <c r="N186" s="37">
        <f t="shared" si="106"/>
        <v>119413.40399999999</v>
      </c>
      <c r="O186" s="22"/>
    </row>
    <row r="187" spans="1:15" ht="17.100000000000001" customHeight="1" x14ac:dyDescent="0.25">
      <c r="A187" s="27">
        <f>IF(C187="","",COUNTA($C$4:C187))</f>
        <v>184</v>
      </c>
      <c r="B187" s="27" t="str">
        <f t="shared" si="73"/>
        <v>August</v>
      </c>
      <c r="C187" s="49">
        <v>45880</v>
      </c>
      <c r="D187" s="21" t="s">
        <v>1334</v>
      </c>
      <c r="E187" s="26" t="s">
        <v>478</v>
      </c>
      <c r="F187" s="21">
        <v>1322</v>
      </c>
      <c r="G187" s="26" t="s">
        <v>116</v>
      </c>
      <c r="H187" s="26" t="s">
        <v>495</v>
      </c>
      <c r="I187" s="23">
        <v>8029.65</v>
      </c>
      <c r="J187" s="47">
        <v>0.18</v>
      </c>
      <c r="K187" s="62">
        <v>0</v>
      </c>
      <c r="L187" s="24">
        <f t="shared" si="104"/>
        <v>722.66849999999988</v>
      </c>
      <c r="M187" s="23">
        <f t="shared" si="105"/>
        <v>722.66849999999988</v>
      </c>
      <c r="N187" s="37">
        <f t="shared" si="106"/>
        <v>9474.9869999999992</v>
      </c>
      <c r="O187" s="22"/>
    </row>
    <row r="188" spans="1:15" ht="17.100000000000001" customHeight="1" x14ac:dyDescent="0.25">
      <c r="A188" s="27">
        <f>IF(C188="","",COUNTA($C$4:C188))</f>
        <v>185</v>
      </c>
      <c r="B188" s="27" t="str">
        <f t="shared" si="73"/>
        <v>August</v>
      </c>
      <c r="C188" s="49">
        <v>45880</v>
      </c>
      <c r="D188" s="21" t="s">
        <v>1335</v>
      </c>
      <c r="E188" s="26" t="s">
        <v>478</v>
      </c>
      <c r="F188" s="21">
        <v>1323</v>
      </c>
      <c r="G188" s="26" t="s">
        <v>116</v>
      </c>
      <c r="H188" s="26" t="s">
        <v>479</v>
      </c>
      <c r="I188" s="23">
        <v>16499.38</v>
      </c>
      <c r="J188" s="47">
        <v>0.18</v>
      </c>
      <c r="K188" s="62">
        <v>0</v>
      </c>
      <c r="L188" s="24">
        <f t="shared" si="104"/>
        <v>1484.9442000000001</v>
      </c>
      <c r="M188" s="23">
        <f t="shared" si="105"/>
        <v>1484.9442000000001</v>
      </c>
      <c r="N188" s="37">
        <f t="shared" si="106"/>
        <v>19469.268400000004</v>
      </c>
      <c r="O188" s="22"/>
    </row>
    <row r="189" spans="1:15" ht="17.100000000000001" customHeight="1" x14ac:dyDescent="0.25">
      <c r="A189" s="27">
        <f>IF(C189="","",COUNTA($C$4:C189))</f>
        <v>186</v>
      </c>
      <c r="B189" s="27" t="str">
        <f t="shared" si="73"/>
        <v>August</v>
      </c>
      <c r="C189" s="49">
        <v>45880</v>
      </c>
      <c r="D189" s="21" t="s">
        <v>1336</v>
      </c>
      <c r="E189" s="26" t="s">
        <v>478</v>
      </c>
      <c r="F189" s="21">
        <v>1324</v>
      </c>
      <c r="G189" s="26" t="s">
        <v>116</v>
      </c>
      <c r="H189" s="26" t="s">
        <v>479</v>
      </c>
      <c r="I189" s="23">
        <v>7509.94</v>
      </c>
      <c r="J189" s="47">
        <v>0.18</v>
      </c>
      <c r="K189" s="62">
        <v>0</v>
      </c>
      <c r="L189" s="24">
        <f t="shared" si="104"/>
        <v>675.89459999999997</v>
      </c>
      <c r="M189" s="23">
        <f t="shared" si="105"/>
        <v>675.89459999999997</v>
      </c>
      <c r="N189" s="37">
        <f t="shared" si="106"/>
        <v>8861.7291999999998</v>
      </c>
      <c r="O189" s="22"/>
    </row>
    <row r="190" spans="1:15" ht="17.100000000000001" customHeight="1" x14ac:dyDescent="0.25">
      <c r="A190" s="27">
        <f>IF(C190="","",COUNTA($C$4:C190))</f>
        <v>187</v>
      </c>
      <c r="B190" s="27" t="str">
        <f t="shared" si="73"/>
        <v>August</v>
      </c>
      <c r="C190" s="49">
        <v>45880</v>
      </c>
      <c r="D190" s="21" t="s">
        <v>1337</v>
      </c>
      <c r="E190" s="26" t="s">
        <v>478</v>
      </c>
      <c r="F190" s="53">
        <v>1325</v>
      </c>
      <c r="G190" s="26" t="s">
        <v>116</v>
      </c>
      <c r="H190" s="26" t="s">
        <v>483</v>
      </c>
      <c r="I190" s="23">
        <v>20107.75</v>
      </c>
      <c r="J190" s="47">
        <v>0.18</v>
      </c>
      <c r="K190" s="62">
        <v>0</v>
      </c>
      <c r="L190" s="24">
        <f t="shared" si="104"/>
        <v>1809.6975</v>
      </c>
      <c r="M190" s="23">
        <f t="shared" si="105"/>
        <v>1809.6975</v>
      </c>
      <c r="N190" s="37">
        <f t="shared" si="106"/>
        <v>23727.144999999997</v>
      </c>
      <c r="O190" s="22"/>
    </row>
    <row r="191" spans="1:15" ht="17.100000000000001" customHeight="1" x14ac:dyDescent="0.25">
      <c r="A191" s="27">
        <f>IF(C191="","",COUNTA($C$4:C191))</f>
        <v>188</v>
      </c>
      <c r="B191" s="27" t="str">
        <f t="shared" si="73"/>
        <v>August</v>
      </c>
      <c r="C191" s="49">
        <v>45880</v>
      </c>
      <c r="D191" s="21" t="s">
        <v>1338</v>
      </c>
      <c r="E191" s="26" t="s">
        <v>478</v>
      </c>
      <c r="F191" s="21">
        <v>1326</v>
      </c>
      <c r="G191" s="26" t="s">
        <v>116</v>
      </c>
      <c r="H191" s="26" t="s">
        <v>1320</v>
      </c>
      <c r="I191" s="23">
        <v>14997.29</v>
      </c>
      <c r="J191" s="47">
        <v>0.18</v>
      </c>
      <c r="K191" s="62">
        <v>0</v>
      </c>
      <c r="L191" s="24">
        <f t="shared" si="104"/>
        <v>1349.7561000000001</v>
      </c>
      <c r="M191" s="23">
        <f t="shared" si="105"/>
        <v>1349.7561000000001</v>
      </c>
      <c r="N191" s="37">
        <f t="shared" si="106"/>
        <v>17696.802200000002</v>
      </c>
      <c r="O191" s="22"/>
    </row>
    <row r="192" spans="1:15" ht="17.100000000000001" customHeight="1" x14ac:dyDescent="0.25">
      <c r="A192" s="27">
        <f>IF(C192="","",COUNTA($C$4:C192))</f>
        <v>189</v>
      </c>
      <c r="B192" s="27" t="str">
        <f t="shared" ref="B192:B193" si="109">IF(C192="","",TEXT(C192,"mmmm"))</f>
        <v>August</v>
      </c>
      <c r="C192" s="49">
        <v>45880</v>
      </c>
      <c r="D192" s="21" t="s">
        <v>1339</v>
      </c>
      <c r="E192" s="26" t="s">
        <v>478</v>
      </c>
      <c r="F192" s="21">
        <v>1327</v>
      </c>
      <c r="G192" s="26" t="s">
        <v>116</v>
      </c>
      <c r="H192" s="26" t="s">
        <v>1320</v>
      </c>
      <c r="I192" s="23">
        <v>103471.93</v>
      </c>
      <c r="J192" s="47">
        <v>0.18</v>
      </c>
      <c r="K192" s="62">
        <v>0</v>
      </c>
      <c r="L192" s="24">
        <f t="shared" si="104"/>
        <v>9312.4736999999986</v>
      </c>
      <c r="M192" s="23">
        <f t="shared" si="105"/>
        <v>9312.4736999999986</v>
      </c>
      <c r="N192" s="37">
        <f t="shared" si="106"/>
        <v>122096.8774</v>
      </c>
      <c r="O192" s="22"/>
    </row>
    <row r="193" spans="1:15" ht="17.100000000000001" customHeight="1" x14ac:dyDescent="0.25">
      <c r="A193" s="27">
        <f>IF(C193="","",COUNTA($C$4:C193))</f>
        <v>190</v>
      </c>
      <c r="B193" s="27" t="str">
        <f t="shared" si="109"/>
        <v>August</v>
      </c>
      <c r="C193" s="49">
        <v>45880</v>
      </c>
      <c r="D193" s="21" t="s">
        <v>1340</v>
      </c>
      <c r="E193" s="26" t="s">
        <v>478</v>
      </c>
      <c r="F193" s="21">
        <v>1328</v>
      </c>
      <c r="G193" s="26" t="s">
        <v>116</v>
      </c>
      <c r="H193" s="26" t="s">
        <v>1320</v>
      </c>
      <c r="I193" s="23">
        <v>8912.51</v>
      </c>
      <c r="J193" s="47">
        <v>0.18</v>
      </c>
      <c r="K193" s="62">
        <v>0</v>
      </c>
      <c r="L193" s="24">
        <f t="shared" si="104"/>
        <v>802.1259</v>
      </c>
      <c r="M193" s="23">
        <f t="shared" si="105"/>
        <v>802.1259</v>
      </c>
      <c r="N193" s="37">
        <f t="shared" si="106"/>
        <v>10516.7618</v>
      </c>
      <c r="O193" s="22"/>
    </row>
    <row r="194" spans="1:15" ht="17.100000000000001" customHeight="1" x14ac:dyDescent="0.25">
      <c r="A194" s="27">
        <f>IF(C194="","",COUNTA($C$4:C194))</f>
        <v>191</v>
      </c>
      <c r="B194" s="27" t="str">
        <f t="shared" si="73"/>
        <v>August</v>
      </c>
      <c r="C194" s="49">
        <v>45880</v>
      </c>
      <c r="D194" s="21" t="s">
        <v>1341</v>
      </c>
      <c r="E194" s="26" t="s">
        <v>478</v>
      </c>
      <c r="F194" s="21">
        <v>1329</v>
      </c>
      <c r="G194" s="26" t="s">
        <v>116</v>
      </c>
      <c r="H194" s="26" t="s">
        <v>495</v>
      </c>
      <c r="I194" s="23">
        <v>2676.55</v>
      </c>
      <c r="J194" s="47">
        <v>0.18</v>
      </c>
      <c r="K194" s="62">
        <v>0</v>
      </c>
      <c r="L194" s="24">
        <f t="shared" si="104"/>
        <v>240.8895</v>
      </c>
      <c r="M194" s="23">
        <f t="shared" si="105"/>
        <v>240.8895</v>
      </c>
      <c r="N194" s="37">
        <f t="shared" si="106"/>
        <v>3158.3290000000006</v>
      </c>
      <c r="O194" s="22"/>
    </row>
    <row r="195" spans="1:15" ht="17.100000000000001" customHeight="1" x14ac:dyDescent="0.25">
      <c r="A195" s="27">
        <f>IF(C195="","",COUNTA($C$4:C195))</f>
        <v>192</v>
      </c>
      <c r="B195" s="27" t="str">
        <f t="shared" si="73"/>
        <v>August</v>
      </c>
      <c r="C195" s="49">
        <v>45880</v>
      </c>
      <c r="D195" s="21" t="s">
        <v>1342</v>
      </c>
      <c r="E195" s="26" t="s">
        <v>478</v>
      </c>
      <c r="F195" s="21">
        <v>1330</v>
      </c>
      <c r="G195" s="26" t="s">
        <v>116</v>
      </c>
      <c r="H195" s="26" t="s">
        <v>953</v>
      </c>
      <c r="I195" s="23">
        <v>2559.8000000000002</v>
      </c>
      <c r="J195" s="47">
        <v>0.18</v>
      </c>
      <c r="K195" s="62">
        <v>0</v>
      </c>
      <c r="L195" s="24">
        <f t="shared" si="104"/>
        <v>230.38200000000001</v>
      </c>
      <c r="M195" s="23">
        <f t="shared" si="105"/>
        <v>230.38200000000001</v>
      </c>
      <c r="N195" s="37">
        <f t="shared" si="106"/>
        <v>3020.5640000000003</v>
      </c>
      <c r="O195" s="22"/>
    </row>
    <row r="196" spans="1:15" ht="17.100000000000001" customHeight="1" x14ac:dyDescent="0.25">
      <c r="A196" s="27">
        <f>IF(C196="","",COUNTA($C$4:C196))</f>
        <v>193</v>
      </c>
      <c r="B196" s="27" t="str">
        <f t="shared" si="73"/>
        <v>August</v>
      </c>
      <c r="C196" s="49">
        <v>45880</v>
      </c>
      <c r="D196" s="21" t="s">
        <v>1343</v>
      </c>
      <c r="E196" s="26" t="s">
        <v>478</v>
      </c>
      <c r="F196" s="21">
        <v>1331</v>
      </c>
      <c r="G196" s="26" t="s">
        <v>116</v>
      </c>
      <c r="H196" s="26" t="s">
        <v>479</v>
      </c>
      <c r="I196" s="23">
        <v>303625.14</v>
      </c>
      <c r="J196" s="47">
        <v>0.18</v>
      </c>
      <c r="K196" s="62">
        <v>0</v>
      </c>
      <c r="L196" s="24">
        <f t="shared" si="104"/>
        <v>27326.262600000002</v>
      </c>
      <c r="M196" s="23">
        <f t="shared" si="105"/>
        <v>27326.262600000002</v>
      </c>
      <c r="N196" s="37">
        <f t="shared" si="106"/>
        <v>358277.66520000005</v>
      </c>
      <c r="O196" s="22"/>
    </row>
    <row r="197" spans="1:15" ht="17.100000000000001" customHeight="1" x14ac:dyDescent="0.25">
      <c r="A197" s="27">
        <f>IF(C197="","",COUNTA($C$4:C197))</f>
        <v>194</v>
      </c>
      <c r="B197" s="27" t="str">
        <f t="shared" si="73"/>
        <v>August</v>
      </c>
      <c r="C197" s="49">
        <v>45880</v>
      </c>
      <c r="D197" s="21" t="s">
        <v>1344</v>
      </c>
      <c r="E197" s="26" t="s">
        <v>478</v>
      </c>
      <c r="F197" s="21">
        <v>1332</v>
      </c>
      <c r="G197" s="26" t="s">
        <v>116</v>
      </c>
      <c r="H197" s="26" t="s">
        <v>495</v>
      </c>
      <c r="I197" s="23">
        <v>79960.25</v>
      </c>
      <c r="J197" s="47">
        <v>0.18</v>
      </c>
      <c r="K197" s="62">
        <v>0</v>
      </c>
      <c r="L197" s="24">
        <f t="shared" si="104"/>
        <v>7196.4224999999997</v>
      </c>
      <c r="M197" s="23">
        <f t="shared" si="105"/>
        <v>7196.4224999999997</v>
      </c>
      <c r="N197" s="37">
        <f t="shared" si="106"/>
        <v>94353.095000000001</v>
      </c>
      <c r="O197" s="22"/>
    </row>
    <row r="198" spans="1:15" ht="17.100000000000001" customHeight="1" x14ac:dyDescent="0.25">
      <c r="A198" s="27">
        <f>IF(C198="","",COUNTA($C$4:C198))</f>
        <v>195</v>
      </c>
      <c r="B198" s="27" t="str">
        <f t="shared" si="73"/>
        <v>August</v>
      </c>
      <c r="C198" s="49">
        <v>45880</v>
      </c>
      <c r="D198" s="21" t="s">
        <v>1345</v>
      </c>
      <c r="E198" s="26" t="s">
        <v>1346</v>
      </c>
      <c r="F198" s="21" t="s">
        <v>1347</v>
      </c>
      <c r="G198" s="48" t="s">
        <v>1348</v>
      </c>
      <c r="H198" s="48" t="s">
        <v>1349</v>
      </c>
      <c r="I198" s="23">
        <v>17105</v>
      </c>
      <c r="J198" s="47">
        <v>0.18</v>
      </c>
      <c r="K198" s="62">
        <v>0</v>
      </c>
      <c r="L198" s="24">
        <f t="shared" si="104"/>
        <v>1539.45</v>
      </c>
      <c r="M198" s="23">
        <f t="shared" si="105"/>
        <v>1539.45</v>
      </c>
      <c r="N198" s="37">
        <f t="shared" si="106"/>
        <v>20183.900000000001</v>
      </c>
      <c r="O198" s="22"/>
    </row>
    <row r="199" spans="1:15" ht="17.100000000000001" customHeight="1" x14ac:dyDescent="0.25">
      <c r="A199" s="27">
        <f>IF(C199="","",COUNTA($C$4:C199))</f>
        <v>196</v>
      </c>
      <c r="B199" s="27" t="str">
        <f t="shared" si="73"/>
        <v>August</v>
      </c>
      <c r="C199" s="49">
        <v>45880</v>
      </c>
      <c r="D199" s="21" t="s">
        <v>1350</v>
      </c>
      <c r="E199" s="26" t="s">
        <v>478</v>
      </c>
      <c r="F199" s="21">
        <v>1333</v>
      </c>
      <c r="G199" s="48" t="s">
        <v>116</v>
      </c>
      <c r="H199" s="26" t="s">
        <v>479</v>
      </c>
      <c r="I199" s="23">
        <v>373259.02</v>
      </c>
      <c r="J199" s="47">
        <v>0.18</v>
      </c>
      <c r="K199" s="62">
        <v>0</v>
      </c>
      <c r="L199" s="24">
        <f t="shared" si="104"/>
        <v>33593.311800000003</v>
      </c>
      <c r="M199" s="23">
        <f t="shared" si="105"/>
        <v>33593.311800000003</v>
      </c>
      <c r="N199" s="37">
        <f t="shared" si="106"/>
        <v>440445.64360000007</v>
      </c>
      <c r="O199" s="22"/>
    </row>
    <row r="200" spans="1:15" ht="17.100000000000001" customHeight="1" x14ac:dyDescent="0.25">
      <c r="A200" s="27">
        <f>IF(C200="","",COUNTA($C$4:C200))</f>
        <v>197</v>
      </c>
      <c r="B200" s="27" t="str">
        <f t="shared" si="73"/>
        <v>August</v>
      </c>
      <c r="C200" s="49">
        <v>45873</v>
      </c>
      <c r="D200" s="21" t="s">
        <v>1383</v>
      </c>
      <c r="E200" s="26" t="s">
        <v>1384</v>
      </c>
      <c r="F200" s="21" t="s">
        <v>1385</v>
      </c>
      <c r="G200" s="48" t="s">
        <v>1386</v>
      </c>
      <c r="H200" s="26" t="s">
        <v>1387</v>
      </c>
      <c r="I200" s="23">
        <v>4500</v>
      </c>
      <c r="J200" s="47">
        <v>0.18</v>
      </c>
      <c r="K200" s="62">
        <v>0</v>
      </c>
      <c r="L200" s="24">
        <f t="shared" si="104"/>
        <v>405</v>
      </c>
      <c r="M200" s="23">
        <f t="shared" si="105"/>
        <v>405</v>
      </c>
      <c r="N200" s="37">
        <f t="shared" si="106"/>
        <v>5310</v>
      </c>
      <c r="O200" s="22"/>
    </row>
    <row r="201" spans="1:15" ht="17.100000000000001" customHeight="1" x14ac:dyDescent="0.25">
      <c r="A201" s="27">
        <f>IF(C201="","",COUNTA($C$4:C201))</f>
        <v>198</v>
      </c>
      <c r="B201" s="27" t="str">
        <f t="shared" si="73"/>
        <v>August</v>
      </c>
      <c r="C201" s="49">
        <v>45888</v>
      </c>
      <c r="D201" s="21" t="s">
        <v>1388</v>
      </c>
      <c r="E201" s="26" t="s">
        <v>364</v>
      </c>
      <c r="F201" s="21" t="s">
        <v>1389</v>
      </c>
      <c r="G201" s="26" t="s">
        <v>366</v>
      </c>
      <c r="H201" s="26" t="s">
        <v>1390</v>
      </c>
      <c r="I201" s="23">
        <v>2700</v>
      </c>
      <c r="J201" s="47">
        <v>0.18</v>
      </c>
      <c r="K201" s="62">
        <v>0</v>
      </c>
      <c r="L201" s="24">
        <f t="shared" si="104"/>
        <v>243</v>
      </c>
      <c r="M201" s="23">
        <f t="shared" si="105"/>
        <v>243</v>
      </c>
      <c r="N201" s="37">
        <f t="shared" si="106"/>
        <v>3186</v>
      </c>
      <c r="O201" s="22"/>
    </row>
    <row r="202" spans="1:15" ht="17.100000000000001" customHeight="1" x14ac:dyDescent="0.25">
      <c r="A202" s="27">
        <f>IF(C202="","",COUNTA($C$4:C202))</f>
        <v>199</v>
      </c>
      <c r="B202" s="27" t="str">
        <f t="shared" si="73"/>
        <v>August</v>
      </c>
      <c r="C202" s="49">
        <v>45885</v>
      </c>
      <c r="D202" s="21" t="s">
        <v>1391</v>
      </c>
      <c r="E202" s="26" t="s">
        <v>354</v>
      </c>
      <c r="F202" s="21">
        <v>1870</v>
      </c>
      <c r="G202" s="48" t="s">
        <v>355</v>
      </c>
      <c r="H202" s="26" t="s">
        <v>356</v>
      </c>
      <c r="I202" s="23">
        <v>2678.57</v>
      </c>
      <c r="J202" s="47">
        <v>0.12</v>
      </c>
      <c r="K202" s="62">
        <v>0</v>
      </c>
      <c r="L202" s="24">
        <f>I202*6/100</f>
        <v>160.71420000000001</v>
      </c>
      <c r="M202" s="23">
        <f>I202*6/100</f>
        <v>160.71420000000001</v>
      </c>
      <c r="N202" s="37">
        <f t="shared" si="106"/>
        <v>2999.9983999999999</v>
      </c>
      <c r="O202" s="22"/>
    </row>
    <row r="203" spans="1:15" ht="17.100000000000001" customHeight="1" x14ac:dyDescent="0.25">
      <c r="A203" s="27">
        <f>IF(C203="","",COUNTA($C$4:C203))</f>
        <v>200</v>
      </c>
      <c r="B203" s="27" t="str">
        <f t="shared" si="73"/>
        <v>August</v>
      </c>
      <c r="C203" s="49">
        <v>45889</v>
      </c>
      <c r="D203" s="21" t="s">
        <v>1392</v>
      </c>
      <c r="E203" s="26" t="s">
        <v>354</v>
      </c>
      <c r="F203" s="21">
        <v>1904</v>
      </c>
      <c r="G203" s="48" t="s">
        <v>355</v>
      </c>
      <c r="H203" s="26" t="s">
        <v>356</v>
      </c>
      <c r="I203" s="23">
        <v>3393</v>
      </c>
      <c r="J203" s="47">
        <v>0.12</v>
      </c>
      <c r="K203" s="62">
        <v>0</v>
      </c>
      <c r="L203" s="24">
        <f>I203*6/100</f>
        <v>203.58</v>
      </c>
      <c r="M203" s="23">
        <f>I203*6/100</f>
        <v>203.58</v>
      </c>
      <c r="N203" s="37">
        <f t="shared" si="106"/>
        <v>3800.16</v>
      </c>
      <c r="O203" s="22"/>
    </row>
    <row r="204" spans="1:15" ht="17.100000000000001" customHeight="1" x14ac:dyDescent="0.25">
      <c r="A204" s="27">
        <f>IF(C204="","",COUNTA($C$4:C204))</f>
        <v>201</v>
      </c>
      <c r="B204" s="27" t="str">
        <f t="shared" si="73"/>
        <v>August</v>
      </c>
      <c r="C204" s="49">
        <v>45891</v>
      </c>
      <c r="D204" s="21" t="s">
        <v>1393</v>
      </c>
      <c r="E204" s="26" t="s">
        <v>138</v>
      </c>
      <c r="F204" s="21">
        <v>208</v>
      </c>
      <c r="G204" s="48" t="s">
        <v>116</v>
      </c>
      <c r="H204" s="39" t="s">
        <v>860</v>
      </c>
      <c r="I204" s="23">
        <v>90574.2</v>
      </c>
      <c r="J204" s="47">
        <v>0.18</v>
      </c>
      <c r="K204" s="62">
        <v>0</v>
      </c>
      <c r="L204" s="24">
        <f>I204*9/100</f>
        <v>8151.677999999999</v>
      </c>
      <c r="M204" s="23">
        <f>I204*9/100</f>
        <v>8151.677999999999</v>
      </c>
      <c r="N204" s="37">
        <f t="shared" si="106"/>
        <v>106877.556</v>
      </c>
      <c r="O204" s="22"/>
    </row>
    <row r="205" spans="1:15" ht="17.100000000000001" customHeight="1" x14ac:dyDescent="0.25">
      <c r="A205" s="27">
        <f>IF(C205="","",COUNTA($C$4:C205))</f>
        <v>202</v>
      </c>
      <c r="B205" s="27" t="str">
        <f t="shared" si="73"/>
        <v>August</v>
      </c>
      <c r="C205" s="49">
        <v>45891</v>
      </c>
      <c r="D205" s="21" t="s">
        <v>1394</v>
      </c>
      <c r="E205" s="26" t="s">
        <v>354</v>
      </c>
      <c r="F205" s="21">
        <v>1919</v>
      </c>
      <c r="G205" s="26" t="s">
        <v>355</v>
      </c>
      <c r="H205" s="26" t="s">
        <v>356</v>
      </c>
      <c r="I205" s="23">
        <v>1607.14</v>
      </c>
      <c r="J205" s="47">
        <v>0.12</v>
      </c>
      <c r="K205" s="62">
        <v>0</v>
      </c>
      <c r="L205" s="24">
        <f>I205*6/100</f>
        <v>96.428399999999996</v>
      </c>
      <c r="M205" s="23">
        <f>I205*6/100</f>
        <v>96.428399999999996</v>
      </c>
      <c r="N205" s="37">
        <f t="shared" ref="N205:N210" si="110">+I205+L205+M205</f>
        <v>1799.9968000000001</v>
      </c>
      <c r="O205" s="22"/>
    </row>
    <row r="206" spans="1:15" ht="17.100000000000001" customHeight="1" x14ac:dyDescent="0.25">
      <c r="A206" s="27">
        <f>IF(C206="","",COUNTA($C$4:C206))</f>
        <v>203</v>
      </c>
      <c r="B206" s="27" t="str">
        <f t="shared" si="73"/>
        <v>August</v>
      </c>
      <c r="C206" s="49">
        <v>45883</v>
      </c>
      <c r="D206" s="21" t="s">
        <v>1395</v>
      </c>
      <c r="E206" s="26" t="s">
        <v>1384</v>
      </c>
      <c r="F206" s="21" t="s">
        <v>1396</v>
      </c>
      <c r="G206" s="48" t="s">
        <v>1386</v>
      </c>
      <c r="H206" s="26" t="s">
        <v>1387</v>
      </c>
      <c r="I206" s="23">
        <v>6000</v>
      </c>
      <c r="J206" s="47">
        <v>0.18</v>
      </c>
      <c r="K206" s="62">
        <v>0</v>
      </c>
      <c r="L206" s="24">
        <f>I206*9/100</f>
        <v>540</v>
      </c>
      <c r="M206" s="23">
        <f>I206*9/100</f>
        <v>540</v>
      </c>
      <c r="N206" s="37">
        <f t="shared" si="110"/>
        <v>7080</v>
      </c>
      <c r="O206" s="22"/>
    </row>
    <row r="207" spans="1:15" ht="17.100000000000001" customHeight="1" x14ac:dyDescent="0.25">
      <c r="A207" s="27">
        <f>IF(C207="","",COUNTA($C$4:C207))</f>
        <v>204</v>
      </c>
      <c r="B207" s="27" t="str">
        <f t="shared" si="73"/>
        <v>August</v>
      </c>
      <c r="C207" s="49">
        <v>45890</v>
      </c>
      <c r="D207" s="21" t="s">
        <v>1397</v>
      </c>
      <c r="E207" s="26" t="s">
        <v>548</v>
      </c>
      <c r="F207" s="21" t="s">
        <v>1398</v>
      </c>
      <c r="G207" s="26" t="s">
        <v>583</v>
      </c>
      <c r="H207" s="26" t="s">
        <v>1258</v>
      </c>
      <c r="I207" s="23">
        <v>576796.93000000005</v>
      </c>
      <c r="J207" s="47">
        <v>0.18</v>
      </c>
      <c r="K207" s="62">
        <v>0</v>
      </c>
      <c r="L207" s="24">
        <f>I207*9/100</f>
        <v>51911.723700000002</v>
      </c>
      <c r="M207" s="23">
        <f>I207*9/100</f>
        <v>51911.723700000002</v>
      </c>
      <c r="N207" s="37">
        <f t="shared" si="110"/>
        <v>680620.3774</v>
      </c>
      <c r="O207" s="22"/>
    </row>
    <row r="208" spans="1:15" ht="17.100000000000001" customHeight="1" x14ac:dyDescent="0.25">
      <c r="A208" s="27">
        <f>IF(C208="","",COUNTA($C$4:C208))</f>
        <v>205</v>
      </c>
      <c r="B208" s="27" t="str">
        <f t="shared" si="73"/>
        <v>August</v>
      </c>
      <c r="C208" s="49">
        <v>45890</v>
      </c>
      <c r="D208" s="21" t="s">
        <v>1399</v>
      </c>
      <c r="E208" s="26" t="s">
        <v>548</v>
      </c>
      <c r="F208" s="21" t="s">
        <v>1400</v>
      </c>
      <c r="G208" s="26" t="s">
        <v>553</v>
      </c>
      <c r="H208" s="26" t="s">
        <v>1258</v>
      </c>
      <c r="I208" s="23">
        <v>60943.12</v>
      </c>
      <c r="J208" s="47">
        <v>0.18</v>
      </c>
      <c r="K208" s="62">
        <v>0</v>
      </c>
      <c r="L208" s="24">
        <f>I208*9/100</f>
        <v>5484.8808000000008</v>
      </c>
      <c r="M208" s="23">
        <f>I208*9/100</f>
        <v>5484.8808000000008</v>
      </c>
      <c r="N208" s="37">
        <f t="shared" si="110"/>
        <v>71912.881600000008</v>
      </c>
      <c r="O208" s="22"/>
    </row>
    <row r="209" spans="1:15" ht="17.100000000000001" customHeight="1" x14ac:dyDescent="0.25">
      <c r="A209" s="27">
        <f>IF(C209="","",COUNTA($C$4:C209))</f>
        <v>206</v>
      </c>
      <c r="B209" s="27" t="str">
        <f t="shared" si="73"/>
        <v>August</v>
      </c>
      <c r="C209" s="49">
        <v>45890</v>
      </c>
      <c r="D209" s="21" t="s">
        <v>1401</v>
      </c>
      <c r="E209" s="26" t="s">
        <v>1402</v>
      </c>
      <c r="F209" s="21" t="s">
        <v>1403</v>
      </c>
      <c r="G209" s="26" t="s">
        <v>146</v>
      </c>
      <c r="H209" s="26" t="s">
        <v>1404</v>
      </c>
      <c r="I209" s="23">
        <v>23001</v>
      </c>
      <c r="J209" s="47">
        <v>0.18</v>
      </c>
      <c r="K209" s="62">
        <v>0</v>
      </c>
      <c r="L209" s="24">
        <f>I209*9/100</f>
        <v>2070.09</v>
      </c>
      <c r="M209" s="23">
        <f>I209*9/100</f>
        <v>2070.09</v>
      </c>
      <c r="N209" s="37">
        <f t="shared" si="110"/>
        <v>27141.18</v>
      </c>
      <c r="O209" s="22"/>
    </row>
    <row r="210" spans="1:15" ht="17.100000000000001" customHeight="1" x14ac:dyDescent="0.25">
      <c r="A210" s="27">
        <f>IF(C210="","",COUNTA($C$4:C210))</f>
        <v>207</v>
      </c>
      <c r="B210" s="27" t="str">
        <f t="shared" ref="B210:B246" si="111">IF(C210="","",TEXT(C210,"mmmm"))</f>
        <v>August</v>
      </c>
      <c r="C210" s="49">
        <v>45894</v>
      </c>
      <c r="D210" s="21" t="s">
        <v>1405</v>
      </c>
      <c r="E210" s="26" t="s">
        <v>474</v>
      </c>
      <c r="F210" s="21" t="s">
        <v>1406</v>
      </c>
      <c r="G210" s="48" t="s">
        <v>116</v>
      </c>
      <c r="H210" s="38" t="s">
        <v>1269</v>
      </c>
      <c r="I210" s="23">
        <v>26695</v>
      </c>
      <c r="J210" s="47">
        <v>0.18</v>
      </c>
      <c r="K210" s="62">
        <v>0</v>
      </c>
      <c r="L210" s="24">
        <f>I210*9/100</f>
        <v>2402.5500000000002</v>
      </c>
      <c r="M210" s="23">
        <f>I210*9/100</f>
        <v>2402.5500000000002</v>
      </c>
      <c r="N210" s="37">
        <f t="shared" si="110"/>
        <v>31500.1</v>
      </c>
      <c r="O210" s="22"/>
    </row>
    <row r="211" spans="1:15" ht="17.100000000000001" customHeight="1" x14ac:dyDescent="0.25">
      <c r="A211" s="27">
        <f>IF(C211="","",COUNTA($C$4:C211))</f>
        <v>208</v>
      </c>
      <c r="B211" s="27" t="str">
        <f t="shared" si="111"/>
        <v>August</v>
      </c>
      <c r="C211" s="49">
        <v>45893</v>
      </c>
      <c r="D211" s="21" t="s">
        <v>1407</v>
      </c>
      <c r="E211" s="26" t="s">
        <v>354</v>
      </c>
      <c r="F211" s="21">
        <v>1962</v>
      </c>
      <c r="G211" s="26" t="s">
        <v>355</v>
      </c>
      <c r="H211" s="26" t="s">
        <v>356</v>
      </c>
      <c r="I211" s="23">
        <v>2678.57</v>
      </c>
      <c r="J211" s="47">
        <v>0.12</v>
      </c>
      <c r="K211" s="62">
        <v>0</v>
      </c>
      <c r="L211" s="24">
        <f>I211*6/100</f>
        <v>160.71420000000001</v>
      </c>
      <c r="M211" s="23">
        <f>I211*6/100</f>
        <v>160.71420000000001</v>
      </c>
      <c r="N211" s="37">
        <f t="shared" ref="N211:N226" si="112">+I211+L211+M211</f>
        <v>2999.9983999999999</v>
      </c>
      <c r="O211" s="22"/>
    </row>
    <row r="212" spans="1:15" ht="17.100000000000001" customHeight="1" x14ac:dyDescent="0.25">
      <c r="A212" s="27">
        <f>IF(C212="","",COUNTA($C$4:C212))</f>
        <v>209</v>
      </c>
      <c r="B212" s="27" t="str">
        <f t="shared" si="111"/>
        <v>August</v>
      </c>
      <c r="C212" s="49">
        <v>45894</v>
      </c>
      <c r="D212" s="21" t="s">
        <v>1408</v>
      </c>
      <c r="E212" s="26" t="s">
        <v>354</v>
      </c>
      <c r="F212" s="21">
        <v>1968</v>
      </c>
      <c r="G212" s="26" t="s">
        <v>355</v>
      </c>
      <c r="H212" s="26" t="s">
        <v>356</v>
      </c>
      <c r="I212" s="23">
        <v>3392.84</v>
      </c>
      <c r="J212" s="47">
        <v>0.12</v>
      </c>
      <c r="K212" s="62">
        <v>0</v>
      </c>
      <c r="L212" s="24">
        <f>I212*6/100</f>
        <v>203.57040000000001</v>
      </c>
      <c r="M212" s="23">
        <f>I212*6/100</f>
        <v>203.57040000000001</v>
      </c>
      <c r="N212" s="37">
        <f t="shared" si="112"/>
        <v>3799.9808000000003</v>
      </c>
      <c r="O212" s="22"/>
    </row>
    <row r="213" spans="1:15" ht="17.100000000000001" customHeight="1" x14ac:dyDescent="0.25">
      <c r="A213" s="27">
        <f>IF(C213="","",COUNTA($C$4:C213))</f>
        <v>210</v>
      </c>
      <c r="B213" s="27" t="str">
        <f t="shared" si="111"/>
        <v>August</v>
      </c>
      <c r="C213" s="49">
        <v>45897</v>
      </c>
      <c r="D213" s="67" t="s">
        <v>1409</v>
      </c>
      <c r="E213" s="26" t="s">
        <v>1410</v>
      </c>
      <c r="F213" s="21" t="s">
        <v>1411</v>
      </c>
      <c r="G213" s="26" t="s">
        <v>1133</v>
      </c>
      <c r="H213" s="26" t="s">
        <v>1412</v>
      </c>
      <c r="I213" s="23">
        <v>24300</v>
      </c>
      <c r="J213" s="47">
        <v>0.18</v>
      </c>
      <c r="K213" s="62">
        <v>0</v>
      </c>
      <c r="L213" s="24">
        <f>I213*9/100</f>
        <v>2187</v>
      </c>
      <c r="M213" s="23">
        <f>I213*9/100</f>
        <v>2187</v>
      </c>
      <c r="N213" s="37">
        <f t="shared" si="112"/>
        <v>28674</v>
      </c>
      <c r="O213" s="22"/>
    </row>
    <row r="214" spans="1:15" ht="17.100000000000001" customHeight="1" x14ac:dyDescent="0.25">
      <c r="A214" s="27">
        <f>IF(C214="","",COUNTA($C$4:C214))</f>
        <v>211</v>
      </c>
      <c r="B214" s="27" t="str">
        <f t="shared" si="111"/>
        <v>August</v>
      </c>
      <c r="C214" s="49">
        <v>45870</v>
      </c>
      <c r="D214" s="21" t="s">
        <v>1625</v>
      </c>
      <c r="E214" s="26" t="s">
        <v>877</v>
      </c>
      <c r="F214" s="21">
        <v>397</v>
      </c>
      <c r="G214" s="26" t="s">
        <v>878</v>
      </c>
      <c r="H214" s="26" t="s">
        <v>1626</v>
      </c>
      <c r="I214" s="23">
        <v>5450</v>
      </c>
      <c r="J214" s="47">
        <v>0.18</v>
      </c>
      <c r="K214" s="62">
        <v>0</v>
      </c>
      <c r="L214" s="24">
        <f>I214*9/100</f>
        <v>490.5</v>
      </c>
      <c r="M214" s="23">
        <f>I214*9/100</f>
        <v>490.5</v>
      </c>
      <c r="N214" s="37">
        <f t="shared" si="112"/>
        <v>6431</v>
      </c>
      <c r="O214" s="22"/>
    </row>
    <row r="215" spans="1:15" ht="17.100000000000001" customHeight="1" x14ac:dyDescent="0.25">
      <c r="A215" s="27">
        <f>IF(C215="","",COUNTA($C$4:C215))</f>
        <v>212</v>
      </c>
      <c r="B215" s="27" t="str">
        <f t="shared" si="111"/>
        <v>August</v>
      </c>
      <c r="C215" s="49">
        <v>45875</v>
      </c>
      <c r="D215" s="21" t="s">
        <v>1489</v>
      </c>
      <c r="E215" s="26" t="s">
        <v>686</v>
      </c>
      <c r="F215" s="21" t="s">
        <v>1490</v>
      </c>
      <c r="G215" s="26" t="s">
        <v>688</v>
      </c>
      <c r="H215" s="26" t="s">
        <v>1491</v>
      </c>
      <c r="I215" s="23">
        <f>18787+600+54+54</f>
        <v>19495</v>
      </c>
      <c r="J215" s="47">
        <v>0</v>
      </c>
      <c r="K215" s="62">
        <v>0</v>
      </c>
      <c r="L215" s="24">
        <v>0</v>
      </c>
      <c r="M215" s="23">
        <v>0</v>
      </c>
      <c r="N215" s="37">
        <f t="shared" si="112"/>
        <v>19495</v>
      </c>
      <c r="O215" s="22"/>
    </row>
    <row r="216" spans="1:15" ht="17.100000000000001" customHeight="1" x14ac:dyDescent="0.25">
      <c r="A216" s="27">
        <f>IF(C216="","",COUNTA($C$4:C216))</f>
        <v>213</v>
      </c>
      <c r="B216" s="27" t="str">
        <f t="shared" si="111"/>
        <v>August</v>
      </c>
      <c r="C216" s="49">
        <v>45875</v>
      </c>
      <c r="D216" s="21" t="s">
        <v>1492</v>
      </c>
      <c r="E216" s="26" t="s">
        <v>686</v>
      </c>
      <c r="F216" s="21" t="s">
        <v>1493</v>
      </c>
      <c r="G216" s="26" t="s">
        <v>688</v>
      </c>
      <c r="H216" s="26" t="s">
        <v>1494</v>
      </c>
      <c r="I216" s="23">
        <f>18787+600+54+54</f>
        <v>19495</v>
      </c>
      <c r="J216" s="47">
        <v>0</v>
      </c>
      <c r="K216" s="62">
        <v>0</v>
      </c>
      <c r="L216" s="24">
        <v>0</v>
      </c>
      <c r="M216" s="23">
        <v>0</v>
      </c>
      <c r="N216" s="37">
        <f t="shared" si="112"/>
        <v>19495</v>
      </c>
      <c r="O216" s="22"/>
    </row>
    <row r="217" spans="1:15" ht="17.100000000000001" customHeight="1" x14ac:dyDescent="0.25">
      <c r="A217" s="27">
        <f>IF(C217="","",COUNTA($C$4:C217))</f>
        <v>214</v>
      </c>
      <c r="B217" s="27" t="str">
        <f t="shared" ref="B217:B240" si="113">IF(C217="","",TEXT(C217,"mmmm"))</f>
        <v>August</v>
      </c>
      <c r="C217" s="49">
        <v>45878</v>
      </c>
      <c r="D217" s="21" t="s">
        <v>1495</v>
      </c>
      <c r="E217" s="26" t="s">
        <v>686</v>
      </c>
      <c r="F217" s="21" t="s">
        <v>1627</v>
      </c>
      <c r="G217" s="26" t="s">
        <v>688</v>
      </c>
      <c r="H217" s="26" t="s">
        <v>1628</v>
      </c>
      <c r="I217" s="23">
        <v>22319</v>
      </c>
      <c r="J217" s="47">
        <v>0</v>
      </c>
      <c r="K217" s="62">
        <v>0</v>
      </c>
      <c r="L217" s="24">
        <v>0</v>
      </c>
      <c r="M217" s="23">
        <v>0</v>
      </c>
      <c r="N217" s="37">
        <f t="shared" si="112"/>
        <v>22319</v>
      </c>
      <c r="O217" s="22"/>
    </row>
    <row r="218" spans="1:15" ht="17.100000000000001" customHeight="1" x14ac:dyDescent="0.25">
      <c r="A218" s="27">
        <f>IF(C218="","",COUNTA($C$4:C218))</f>
        <v>215</v>
      </c>
      <c r="B218" s="27" t="str">
        <f t="shared" si="113"/>
        <v>August</v>
      </c>
      <c r="C218" s="49">
        <v>45897</v>
      </c>
      <c r="D218" s="21" t="s">
        <v>1629</v>
      </c>
      <c r="E218" s="26" t="s">
        <v>686</v>
      </c>
      <c r="F218" s="21" t="s">
        <v>1630</v>
      </c>
      <c r="G218" s="26" t="s">
        <v>688</v>
      </c>
      <c r="H218" s="26" t="s">
        <v>1631</v>
      </c>
      <c r="I218" s="23">
        <v>6686</v>
      </c>
      <c r="J218" s="47">
        <v>0</v>
      </c>
      <c r="K218" s="62">
        <v>0</v>
      </c>
      <c r="L218" s="24">
        <v>0</v>
      </c>
      <c r="M218" s="23">
        <v>0</v>
      </c>
      <c r="N218" s="37">
        <f t="shared" si="112"/>
        <v>6686</v>
      </c>
      <c r="O218" s="22"/>
    </row>
    <row r="219" spans="1:15" ht="17.100000000000001" customHeight="1" x14ac:dyDescent="0.25">
      <c r="A219" s="27">
        <f>IF(C219="","",COUNTA($C$4:C219))</f>
        <v>216</v>
      </c>
      <c r="B219" s="27" t="str">
        <f t="shared" si="113"/>
        <v>August</v>
      </c>
      <c r="C219" s="49">
        <v>45897</v>
      </c>
      <c r="D219" s="21" t="s">
        <v>1632</v>
      </c>
      <c r="E219" s="26" t="s">
        <v>686</v>
      </c>
      <c r="F219" s="21" t="s">
        <v>1633</v>
      </c>
      <c r="G219" s="26" t="s">
        <v>688</v>
      </c>
      <c r="H219" s="26" t="s">
        <v>1634</v>
      </c>
      <c r="I219" s="23">
        <v>6686</v>
      </c>
      <c r="J219" s="47">
        <v>0</v>
      </c>
      <c r="K219" s="62">
        <v>0</v>
      </c>
      <c r="L219" s="24">
        <v>0</v>
      </c>
      <c r="M219" s="23">
        <v>0</v>
      </c>
      <c r="N219" s="37">
        <f t="shared" si="112"/>
        <v>6686</v>
      </c>
      <c r="O219" s="22"/>
    </row>
    <row r="220" spans="1:15" ht="17.100000000000001" customHeight="1" x14ac:dyDescent="0.25">
      <c r="A220" s="27">
        <f>IF(C220="","",COUNTA($C$4:C220))</f>
        <v>217</v>
      </c>
      <c r="B220" s="27" t="str">
        <f t="shared" si="113"/>
        <v>August</v>
      </c>
      <c r="C220" s="49">
        <v>45897</v>
      </c>
      <c r="D220" s="21" t="s">
        <v>1635</v>
      </c>
      <c r="E220" s="26" t="s">
        <v>686</v>
      </c>
      <c r="F220" s="21" t="s">
        <v>1636</v>
      </c>
      <c r="G220" s="26" t="s">
        <v>688</v>
      </c>
      <c r="H220" s="26" t="s">
        <v>1637</v>
      </c>
      <c r="I220" s="23">
        <v>8737</v>
      </c>
      <c r="J220" s="47">
        <v>0</v>
      </c>
      <c r="K220" s="62">
        <v>0</v>
      </c>
      <c r="L220" s="24">
        <v>0</v>
      </c>
      <c r="M220" s="23">
        <v>0</v>
      </c>
      <c r="N220" s="37">
        <f t="shared" si="112"/>
        <v>8737</v>
      </c>
      <c r="O220" s="22"/>
    </row>
    <row r="221" spans="1:15" ht="17.100000000000001" customHeight="1" x14ac:dyDescent="0.25">
      <c r="A221" s="27">
        <f>IF(C221="","",COUNTA($C$4:C221))</f>
        <v>218</v>
      </c>
      <c r="B221" s="27" t="str">
        <f t="shared" si="113"/>
        <v>August</v>
      </c>
      <c r="C221" s="49">
        <v>45900</v>
      </c>
      <c r="D221" s="21" t="s">
        <v>1638</v>
      </c>
      <c r="E221" s="26" t="s">
        <v>686</v>
      </c>
      <c r="F221" s="21" t="s">
        <v>1639</v>
      </c>
      <c r="G221" s="26" t="s">
        <v>688</v>
      </c>
      <c r="H221" s="26" t="s">
        <v>1640</v>
      </c>
      <c r="I221" s="23">
        <v>7607</v>
      </c>
      <c r="J221" s="47">
        <v>0</v>
      </c>
      <c r="K221" s="62">
        <v>0</v>
      </c>
      <c r="L221" s="24">
        <v>0</v>
      </c>
      <c r="M221" s="23">
        <v>0</v>
      </c>
      <c r="N221" s="37">
        <f t="shared" si="112"/>
        <v>7607</v>
      </c>
      <c r="O221" s="22"/>
    </row>
    <row r="222" spans="1:15" ht="17.100000000000001" customHeight="1" x14ac:dyDescent="0.25">
      <c r="A222" s="27">
        <f>IF(C222="","",COUNTA($C$4:C222))</f>
        <v>219</v>
      </c>
      <c r="B222" s="27" t="str">
        <f t="shared" si="113"/>
        <v>August</v>
      </c>
      <c r="C222" s="49">
        <v>45900</v>
      </c>
      <c r="D222" s="21" t="s">
        <v>1641</v>
      </c>
      <c r="E222" s="26" t="s">
        <v>686</v>
      </c>
      <c r="F222" s="21" t="s">
        <v>1642</v>
      </c>
      <c r="G222" s="26" t="s">
        <v>688</v>
      </c>
      <c r="H222" s="26" t="s">
        <v>1643</v>
      </c>
      <c r="I222" s="23">
        <v>7607</v>
      </c>
      <c r="J222" s="47">
        <v>0</v>
      </c>
      <c r="K222" s="62">
        <v>0</v>
      </c>
      <c r="L222" s="24">
        <v>0</v>
      </c>
      <c r="M222" s="23">
        <v>0</v>
      </c>
      <c r="N222" s="37">
        <f t="shared" si="112"/>
        <v>7607</v>
      </c>
      <c r="O222" s="22"/>
    </row>
    <row r="223" spans="1:15" ht="17.100000000000001" customHeight="1" x14ac:dyDescent="0.25">
      <c r="A223" s="27">
        <f>IF(C223="","",COUNTA($C$4:C223))</f>
        <v>220</v>
      </c>
      <c r="B223" s="27" t="str">
        <f t="shared" si="113"/>
        <v>August</v>
      </c>
      <c r="C223" s="49">
        <v>45900</v>
      </c>
      <c r="D223" s="21" t="s">
        <v>1644</v>
      </c>
      <c r="E223" s="26" t="s">
        <v>686</v>
      </c>
      <c r="F223" s="21" t="s">
        <v>1645</v>
      </c>
      <c r="G223" s="26" t="s">
        <v>688</v>
      </c>
      <c r="H223" s="26" t="s">
        <v>1646</v>
      </c>
      <c r="I223" s="23">
        <v>11104</v>
      </c>
      <c r="J223" s="47">
        <v>0</v>
      </c>
      <c r="K223" s="62">
        <v>0</v>
      </c>
      <c r="L223" s="24">
        <v>0</v>
      </c>
      <c r="M223" s="23">
        <v>0</v>
      </c>
      <c r="N223" s="37">
        <f t="shared" si="112"/>
        <v>11104</v>
      </c>
      <c r="O223" s="22"/>
    </row>
    <row r="224" spans="1:15" ht="17.100000000000001" customHeight="1" x14ac:dyDescent="0.25">
      <c r="A224" s="27">
        <f>IF(C224="","",COUNTA($C$4:C224))</f>
        <v>221</v>
      </c>
      <c r="B224" s="27" t="str">
        <f t="shared" si="113"/>
        <v>August</v>
      </c>
      <c r="C224" s="49">
        <v>45900</v>
      </c>
      <c r="D224" s="21" t="s">
        <v>1647</v>
      </c>
      <c r="E224" s="26" t="s">
        <v>686</v>
      </c>
      <c r="F224" s="21" t="s">
        <v>1648</v>
      </c>
      <c r="G224" s="26" t="s">
        <v>688</v>
      </c>
      <c r="H224" s="26" t="s">
        <v>1649</v>
      </c>
      <c r="I224" s="23">
        <v>11104</v>
      </c>
      <c r="J224" s="47">
        <v>0</v>
      </c>
      <c r="K224" s="62">
        <v>0</v>
      </c>
      <c r="L224" s="24">
        <v>0</v>
      </c>
      <c r="M224" s="23">
        <v>0</v>
      </c>
      <c r="N224" s="37">
        <f t="shared" si="112"/>
        <v>11104</v>
      </c>
      <c r="O224" s="22"/>
    </row>
    <row r="225" spans="1:15" ht="17.100000000000001" customHeight="1" x14ac:dyDescent="0.25">
      <c r="A225" s="27">
        <f>IF(C225="","",COUNTA($C$4:C225))</f>
        <v>222</v>
      </c>
      <c r="B225" s="27" t="str">
        <f t="shared" si="113"/>
        <v>August</v>
      </c>
      <c r="C225" s="49">
        <v>45900</v>
      </c>
      <c r="D225" s="21" t="s">
        <v>1650</v>
      </c>
      <c r="E225" s="26" t="s">
        <v>452</v>
      </c>
      <c r="F225" s="21" t="s">
        <v>1651</v>
      </c>
      <c r="G225" s="26" t="s">
        <v>454</v>
      </c>
      <c r="H225" s="26" t="s">
        <v>1652</v>
      </c>
      <c r="I225" s="23">
        <v>1539.85</v>
      </c>
      <c r="J225" s="47">
        <v>0.18</v>
      </c>
      <c r="K225" s="62">
        <v>0</v>
      </c>
      <c r="L225" s="24">
        <f>I225*9/100</f>
        <v>138.5865</v>
      </c>
      <c r="M225" s="23">
        <f>I225*9/100</f>
        <v>138.5865</v>
      </c>
      <c r="N225" s="37">
        <f t="shared" si="112"/>
        <v>1817.0229999999997</v>
      </c>
      <c r="O225" s="22"/>
    </row>
    <row r="226" spans="1:15" ht="17.100000000000001" customHeight="1" x14ac:dyDescent="0.25">
      <c r="A226" s="27">
        <f>IF(C226="","",COUNTA($C$4:C226))</f>
        <v>223</v>
      </c>
      <c r="B226" s="27" t="str">
        <f t="shared" si="113"/>
        <v>August</v>
      </c>
      <c r="C226" s="49">
        <v>45900</v>
      </c>
      <c r="D226" s="21" t="s">
        <v>1653</v>
      </c>
      <c r="E226" s="26" t="s">
        <v>456</v>
      </c>
      <c r="F226" s="21" t="s">
        <v>1654</v>
      </c>
      <c r="G226" s="48" t="s">
        <v>457</v>
      </c>
      <c r="H226" s="26" t="s">
        <v>1655</v>
      </c>
      <c r="I226" s="23">
        <v>1500</v>
      </c>
      <c r="J226" s="47">
        <v>0.18</v>
      </c>
      <c r="K226" s="62">
        <v>0</v>
      </c>
      <c r="L226" s="24">
        <f>I226*9/100</f>
        <v>135</v>
      </c>
      <c r="M226" s="23">
        <f>I226*9/100</f>
        <v>135</v>
      </c>
      <c r="N226" s="37">
        <f t="shared" si="112"/>
        <v>1770</v>
      </c>
      <c r="O226" s="22"/>
    </row>
    <row r="227" spans="1:15" ht="17.100000000000001" customHeight="1" x14ac:dyDescent="0.25">
      <c r="A227" s="27">
        <f>IF(C227="","",COUNTA($C$4:C227))</f>
        <v>224</v>
      </c>
      <c r="B227" s="27" t="str">
        <f t="shared" si="113"/>
        <v>August</v>
      </c>
      <c r="C227" s="49">
        <v>45900</v>
      </c>
      <c r="D227" s="86" t="s">
        <v>1496</v>
      </c>
      <c r="E227" s="26" t="s">
        <v>478</v>
      </c>
      <c r="F227" s="21">
        <v>1334</v>
      </c>
      <c r="G227" s="26" t="s">
        <v>116</v>
      </c>
      <c r="H227" s="26" t="s">
        <v>479</v>
      </c>
      <c r="I227" s="23">
        <v>233579.69</v>
      </c>
      <c r="J227" s="47">
        <v>0.18</v>
      </c>
      <c r="K227" s="62">
        <v>0</v>
      </c>
      <c r="L227" s="24">
        <f>I227*9/100</f>
        <v>21022.1721</v>
      </c>
      <c r="M227" s="23">
        <f>I227*9/100</f>
        <v>21022.1721</v>
      </c>
      <c r="N227" s="37">
        <f t="shared" ref="N227:N255" si="114">+I227+L227+M227</f>
        <v>275624.03419999999</v>
      </c>
      <c r="O227" s="22"/>
    </row>
    <row r="228" spans="1:15" ht="17.100000000000001" customHeight="1" x14ac:dyDescent="0.25">
      <c r="A228" s="27">
        <f>IF(C228="","",COUNTA($C$4:C228))</f>
        <v>225</v>
      </c>
      <c r="B228" s="27" t="str">
        <f t="shared" si="113"/>
        <v>August</v>
      </c>
      <c r="C228" s="49">
        <v>45899</v>
      </c>
      <c r="D228" s="86" t="s">
        <v>1656</v>
      </c>
      <c r="E228" s="26" t="s">
        <v>478</v>
      </c>
      <c r="F228" s="21">
        <v>1335</v>
      </c>
      <c r="G228" s="26" t="s">
        <v>116</v>
      </c>
      <c r="H228" s="26" t="s">
        <v>483</v>
      </c>
      <c r="I228" s="23">
        <v>2636.2</v>
      </c>
      <c r="J228" s="47">
        <v>0.18</v>
      </c>
      <c r="K228" s="62">
        <v>0</v>
      </c>
      <c r="L228" s="24">
        <f>I228*9/100</f>
        <v>237.25799999999998</v>
      </c>
      <c r="M228" s="23">
        <f>I228*9/100</f>
        <v>237.25799999999998</v>
      </c>
      <c r="N228" s="37">
        <f t="shared" si="114"/>
        <v>3110.7159999999994</v>
      </c>
      <c r="O228" s="22"/>
    </row>
    <row r="229" spans="1:15" ht="17.100000000000001" customHeight="1" x14ac:dyDescent="0.25">
      <c r="A229" s="27">
        <f>IF(C229="","",COUNTA($C$4:C229))</f>
        <v>226</v>
      </c>
      <c r="B229" s="27" t="str">
        <f t="shared" si="113"/>
        <v>August</v>
      </c>
      <c r="C229" s="49">
        <v>45899</v>
      </c>
      <c r="D229" s="86" t="s">
        <v>1497</v>
      </c>
      <c r="E229" s="26" t="s">
        <v>478</v>
      </c>
      <c r="F229" s="21">
        <v>1336</v>
      </c>
      <c r="G229" s="26" t="s">
        <v>116</v>
      </c>
      <c r="H229" s="26" t="s">
        <v>479</v>
      </c>
      <c r="I229" s="23">
        <v>55501.69</v>
      </c>
      <c r="J229" s="47">
        <v>0.18</v>
      </c>
      <c r="K229" s="62">
        <v>0</v>
      </c>
      <c r="L229" s="24">
        <f t="shared" ref="L229:L252" si="115">I229*9/100</f>
        <v>4995.1521000000002</v>
      </c>
      <c r="M229" s="23">
        <f t="shared" ref="M229:M252" si="116">I229*9/100</f>
        <v>4995.1521000000002</v>
      </c>
      <c r="N229" s="37">
        <f t="shared" si="114"/>
        <v>65491.994200000001</v>
      </c>
      <c r="O229" s="22"/>
    </row>
    <row r="230" spans="1:15" ht="17.100000000000001" customHeight="1" x14ac:dyDescent="0.25">
      <c r="A230" s="27">
        <f>IF(C230="","",COUNTA($C$4:C230))</f>
        <v>227</v>
      </c>
      <c r="B230" s="27" t="str">
        <f t="shared" si="113"/>
        <v>August</v>
      </c>
      <c r="C230" s="49">
        <v>45899</v>
      </c>
      <c r="D230" s="86" t="s">
        <v>1498</v>
      </c>
      <c r="E230" s="26" t="s">
        <v>478</v>
      </c>
      <c r="F230" s="21">
        <v>1337</v>
      </c>
      <c r="G230" s="26" t="s">
        <v>116</v>
      </c>
      <c r="H230" s="26" t="s">
        <v>1499</v>
      </c>
      <c r="I230" s="23">
        <v>3050.46</v>
      </c>
      <c r="J230" s="47">
        <v>0.18</v>
      </c>
      <c r="K230" s="62">
        <v>0</v>
      </c>
      <c r="L230" s="24">
        <f t="shared" si="115"/>
        <v>274.54140000000001</v>
      </c>
      <c r="M230" s="23">
        <f t="shared" si="116"/>
        <v>274.54140000000001</v>
      </c>
      <c r="N230" s="37">
        <f t="shared" si="114"/>
        <v>3599.5428000000002</v>
      </c>
      <c r="O230" s="22"/>
    </row>
    <row r="231" spans="1:15" ht="17.100000000000001" customHeight="1" x14ac:dyDescent="0.25">
      <c r="A231" s="27">
        <f>IF(C231="","",COUNTA($C$4:C231))</f>
        <v>228</v>
      </c>
      <c r="B231" s="27" t="str">
        <f t="shared" si="113"/>
        <v>August</v>
      </c>
      <c r="C231" s="49">
        <v>45899</v>
      </c>
      <c r="D231" s="86" t="s">
        <v>1500</v>
      </c>
      <c r="E231" s="26" t="s">
        <v>478</v>
      </c>
      <c r="F231" s="21">
        <v>1338</v>
      </c>
      <c r="G231" s="26" t="s">
        <v>116</v>
      </c>
      <c r="H231" s="26" t="s">
        <v>495</v>
      </c>
      <c r="I231" s="23">
        <v>11203.85</v>
      </c>
      <c r="J231" s="47">
        <v>0.18</v>
      </c>
      <c r="K231" s="62">
        <v>0</v>
      </c>
      <c r="L231" s="24">
        <f t="shared" si="115"/>
        <v>1008.3465000000001</v>
      </c>
      <c r="M231" s="23">
        <f t="shared" si="116"/>
        <v>1008.3465000000001</v>
      </c>
      <c r="N231" s="37">
        <f t="shared" si="114"/>
        <v>13220.543</v>
      </c>
      <c r="O231" s="22"/>
    </row>
    <row r="232" spans="1:15" ht="17.100000000000001" customHeight="1" x14ac:dyDescent="0.25">
      <c r="A232" s="27">
        <f>IF(C232="","",COUNTA($C$4:C232))</f>
        <v>229</v>
      </c>
      <c r="B232" s="27" t="str">
        <f t="shared" si="113"/>
        <v>August</v>
      </c>
      <c r="C232" s="49">
        <v>45899</v>
      </c>
      <c r="D232" s="86" t="s">
        <v>1501</v>
      </c>
      <c r="E232" s="26" t="s">
        <v>478</v>
      </c>
      <c r="F232" s="21">
        <v>1339</v>
      </c>
      <c r="G232" s="26" t="s">
        <v>116</v>
      </c>
      <c r="H232" s="26" t="s">
        <v>483</v>
      </c>
      <c r="I232" s="23">
        <v>2905.2</v>
      </c>
      <c r="J232" s="47">
        <v>0.18</v>
      </c>
      <c r="K232" s="62">
        <v>0</v>
      </c>
      <c r="L232" s="24">
        <f t="shared" si="115"/>
        <v>261.46800000000002</v>
      </c>
      <c r="M232" s="23">
        <f t="shared" si="116"/>
        <v>261.46800000000002</v>
      </c>
      <c r="N232" s="37">
        <f t="shared" si="114"/>
        <v>3428.1359999999995</v>
      </c>
      <c r="O232" s="22"/>
    </row>
    <row r="233" spans="1:15" ht="17.100000000000001" customHeight="1" x14ac:dyDescent="0.25">
      <c r="A233" s="27">
        <f>IF(C233="","",COUNTA($C$4:C233))</f>
        <v>230</v>
      </c>
      <c r="B233" s="27" t="str">
        <f t="shared" si="113"/>
        <v>August</v>
      </c>
      <c r="C233" s="49">
        <v>45899</v>
      </c>
      <c r="D233" s="86" t="s">
        <v>1502</v>
      </c>
      <c r="E233" s="26" t="s">
        <v>478</v>
      </c>
      <c r="F233" s="21">
        <v>1340</v>
      </c>
      <c r="G233" s="26" t="s">
        <v>116</v>
      </c>
      <c r="H233" s="26" t="s">
        <v>479</v>
      </c>
      <c r="I233" s="23">
        <v>18401.75</v>
      </c>
      <c r="J233" s="47">
        <v>0.18</v>
      </c>
      <c r="K233" s="62">
        <v>0</v>
      </c>
      <c r="L233" s="24">
        <f t="shared" si="115"/>
        <v>1656.1575</v>
      </c>
      <c r="M233" s="23">
        <f t="shared" si="116"/>
        <v>1656.1575</v>
      </c>
      <c r="N233" s="37">
        <f t="shared" si="114"/>
        <v>21714.065000000002</v>
      </c>
      <c r="O233" s="22"/>
    </row>
    <row r="234" spans="1:15" ht="17.100000000000001" customHeight="1" x14ac:dyDescent="0.25">
      <c r="A234" s="27">
        <f>IF(C234="","",COUNTA($C$4:C234))</f>
        <v>231</v>
      </c>
      <c r="B234" s="27" t="str">
        <f t="shared" si="113"/>
        <v>August</v>
      </c>
      <c r="C234" s="49">
        <v>45899</v>
      </c>
      <c r="D234" s="86" t="s">
        <v>1503</v>
      </c>
      <c r="E234" s="26" t="s">
        <v>478</v>
      </c>
      <c r="F234" s="21">
        <v>1341</v>
      </c>
      <c r="G234" s="26" t="s">
        <v>116</v>
      </c>
      <c r="H234" s="26" t="s">
        <v>953</v>
      </c>
      <c r="I234" s="23">
        <v>4574.08</v>
      </c>
      <c r="J234" s="47">
        <v>0.18</v>
      </c>
      <c r="K234" s="62">
        <v>0</v>
      </c>
      <c r="L234" s="24">
        <f t="shared" si="115"/>
        <v>411.66720000000004</v>
      </c>
      <c r="M234" s="23">
        <f t="shared" si="116"/>
        <v>411.66720000000004</v>
      </c>
      <c r="N234" s="37">
        <f t="shared" si="114"/>
        <v>5397.4143999999997</v>
      </c>
      <c r="O234" s="22"/>
    </row>
    <row r="235" spans="1:15" ht="17.100000000000001" customHeight="1" x14ac:dyDescent="0.25">
      <c r="A235" s="27">
        <f>IF(C235="","",COUNTA($C$4:C235))</f>
        <v>232</v>
      </c>
      <c r="B235" s="27" t="str">
        <f t="shared" si="113"/>
        <v>August</v>
      </c>
      <c r="C235" s="49">
        <v>45899</v>
      </c>
      <c r="D235" s="86" t="s">
        <v>1504</v>
      </c>
      <c r="E235" s="26" t="s">
        <v>478</v>
      </c>
      <c r="F235" s="21">
        <v>1342</v>
      </c>
      <c r="G235" s="26" t="s">
        <v>116</v>
      </c>
      <c r="H235" s="26" t="s">
        <v>495</v>
      </c>
      <c r="I235" s="23">
        <v>3308.7</v>
      </c>
      <c r="J235" s="47">
        <v>0.18</v>
      </c>
      <c r="K235" s="62">
        <v>0</v>
      </c>
      <c r="L235" s="24">
        <f t="shared" si="115"/>
        <v>297.78300000000002</v>
      </c>
      <c r="M235" s="23">
        <f t="shared" si="116"/>
        <v>297.78300000000002</v>
      </c>
      <c r="N235" s="37">
        <f t="shared" si="114"/>
        <v>3904.2659999999996</v>
      </c>
      <c r="O235" s="22"/>
    </row>
    <row r="236" spans="1:15" ht="17.100000000000001" customHeight="1" x14ac:dyDescent="0.25">
      <c r="A236" s="27">
        <f>IF(C236="","",COUNTA($C$4:C236))</f>
        <v>233</v>
      </c>
      <c r="B236" s="27" t="str">
        <f t="shared" si="113"/>
        <v>August</v>
      </c>
      <c r="C236" s="49">
        <v>45899</v>
      </c>
      <c r="D236" s="86" t="s">
        <v>1505</v>
      </c>
      <c r="E236" s="26" t="s">
        <v>478</v>
      </c>
      <c r="F236" s="21">
        <v>1343</v>
      </c>
      <c r="G236" s="26" t="s">
        <v>116</v>
      </c>
      <c r="H236" s="26" t="s">
        <v>479</v>
      </c>
      <c r="I236" s="23">
        <v>21822.36</v>
      </c>
      <c r="J236" s="47">
        <v>0.18</v>
      </c>
      <c r="K236" s="62">
        <v>0</v>
      </c>
      <c r="L236" s="24">
        <f t="shared" si="115"/>
        <v>1964.0123999999998</v>
      </c>
      <c r="M236" s="23">
        <f t="shared" si="116"/>
        <v>1964.0123999999998</v>
      </c>
      <c r="N236" s="37">
        <f t="shared" si="114"/>
        <v>25750.3848</v>
      </c>
      <c r="O236" s="22"/>
    </row>
    <row r="237" spans="1:15" ht="17.100000000000001" customHeight="1" x14ac:dyDescent="0.25">
      <c r="A237" s="27">
        <f>IF(C237="","",COUNTA($C$4:C237))</f>
        <v>234</v>
      </c>
      <c r="B237" s="27" t="str">
        <f t="shared" si="113"/>
        <v>August</v>
      </c>
      <c r="C237" s="49">
        <v>45899</v>
      </c>
      <c r="D237" s="86" t="s">
        <v>1506</v>
      </c>
      <c r="E237" s="26" t="s">
        <v>478</v>
      </c>
      <c r="F237" s="21">
        <v>1344</v>
      </c>
      <c r="G237" s="26" t="s">
        <v>116</v>
      </c>
      <c r="H237" s="26" t="s">
        <v>479</v>
      </c>
      <c r="I237" s="23">
        <v>219885.44</v>
      </c>
      <c r="J237" s="47">
        <v>0.18</v>
      </c>
      <c r="K237" s="62">
        <v>0</v>
      </c>
      <c r="L237" s="24">
        <f t="shared" si="115"/>
        <v>19789.689599999998</v>
      </c>
      <c r="M237" s="23">
        <f t="shared" si="116"/>
        <v>19789.689599999998</v>
      </c>
      <c r="N237" s="37">
        <f t="shared" si="114"/>
        <v>259464.81919999997</v>
      </c>
      <c r="O237" s="22"/>
    </row>
    <row r="238" spans="1:15" ht="17.100000000000001" customHeight="1" x14ac:dyDescent="0.25">
      <c r="A238" s="27">
        <f>IF(C238="","",COUNTA($C$4:C238))</f>
        <v>235</v>
      </c>
      <c r="B238" s="27" t="str">
        <f t="shared" si="113"/>
        <v>August</v>
      </c>
      <c r="C238" s="49">
        <v>45899</v>
      </c>
      <c r="D238" s="86" t="s">
        <v>1507</v>
      </c>
      <c r="E238" s="26" t="s">
        <v>478</v>
      </c>
      <c r="F238" s="21">
        <v>1345</v>
      </c>
      <c r="G238" s="26" t="s">
        <v>116</v>
      </c>
      <c r="H238" s="26" t="s">
        <v>495</v>
      </c>
      <c r="I238" s="23">
        <v>85299.9</v>
      </c>
      <c r="J238" s="47">
        <v>0.18</v>
      </c>
      <c r="K238" s="62">
        <v>0</v>
      </c>
      <c r="L238" s="24">
        <f t="shared" si="115"/>
        <v>7676.991</v>
      </c>
      <c r="M238" s="23">
        <f t="shared" si="116"/>
        <v>7676.991</v>
      </c>
      <c r="N238" s="37">
        <f t="shared" si="114"/>
        <v>100653.88199999998</v>
      </c>
      <c r="O238" s="22"/>
    </row>
    <row r="239" spans="1:15" ht="17.100000000000001" customHeight="1" x14ac:dyDescent="0.25">
      <c r="A239" s="27">
        <f>IF(C239="","",COUNTA($C$4:C239))</f>
        <v>236</v>
      </c>
      <c r="B239" s="27" t="str">
        <f t="shared" si="113"/>
        <v>August</v>
      </c>
      <c r="C239" s="49">
        <v>45899</v>
      </c>
      <c r="D239" s="86" t="s">
        <v>1508</v>
      </c>
      <c r="E239" s="26" t="s">
        <v>1510</v>
      </c>
      <c r="F239" s="21">
        <v>1346</v>
      </c>
      <c r="G239" s="26" t="s">
        <v>116</v>
      </c>
      <c r="H239" s="26" t="s">
        <v>479</v>
      </c>
      <c r="I239" s="23">
        <v>18827.849999999999</v>
      </c>
      <c r="J239" s="47">
        <v>0.18</v>
      </c>
      <c r="K239" s="62">
        <v>0</v>
      </c>
      <c r="L239" s="24">
        <f t="shared" si="115"/>
        <v>1694.5065</v>
      </c>
      <c r="M239" s="23">
        <f t="shared" si="116"/>
        <v>1694.5065</v>
      </c>
      <c r="N239" s="37">
        <f t="shared" si="114"/>
        <v>22216.862999999998</v>
      </c>
      <c r="O239" s="22"/>
    </row>
    <row r="240" spans="1:15" ht="17.100000000000001" customHeight="1" x14ac:dyDescent="0.25">
      <c r="A240" s="27">
        <f>IF(C240="","",COUNTA($C$4:C240))</f>
        <v>237</v>
      </c>
      <c r="B240" s="27" t="str">
        <f t="shared" si="113"/>
        <v>August</v>
      </c>
      <c r="C240" s="49">
        <v>45899</v>
      </c>
      <c r="D240" s="86" t="s">
        <v>1509</v>
      </c>
      <c r="E240" s="26" t="s">
        <v>1510</v>
      </c>
      <c r="F240" s="21">
        <v>1347</v>
      </c>
      <c r="G240" s="26" t="s">
        <v>116</v>
      </c>
      <c r="H240" s="26" t="s">
        <v>953</v>
      </c>
      <c r="I240" s="23">
        <v>1678.56</v>
      </c>
      <c r="J240" s="47">
        <v>0.18</v>
      </c>
      <c r="K240" s="62">
        <v>0</v>
      </c>
      <c r="L240" s="24">
        <f t="shared" si="115"/>
        <v>151.07039999999998</v>
      </c>
      <c r="M240" s="23">
        <f t="shared" si="116"/>
        <v>151.07039999999998</v>
      </c>
      <c r="N240" s="37">
        <f t="shared" si="114"/>
        <v>1980.7008000000001</v>
      </c>
      <c r="O240" s="22"/>
    </row>
    <row r="241" spans="1:15" ht="17.100000000000001" customHeight="1" x14ac:dyDescent="0.25">
      <c r="A241" s="27">
        <f>IF(C241="","",COUNTA($C$4:C241))</f>
        <v>238</v>
      </c>
      <c r="B241" s="27" t="str">
        <f t="shared" ref="B241:B243" si="117">IF(C241="","",TEXT(C241,"mmmm"))</f>
        <v>August</v>
      </c>
      <c r="C241" s="49">
        <v>45899</v>
      </c>
      <c r="D241" s="86" t="s">
        <v>1511</v>
      </c>
      <c r="E241" s="26" t="s">
        <v>1510</v>
      </c>
      <c r="F241" s="21">
        <v>1348</v>
      </c>
      <c r="G241" s="26" t="s">
        <v>116</v>
      </c>
      <c r="H241" s="26" t="s">
        <v>495</v>
      </c>
      <c r="I241" s="23">
        <v>5016.8500000000004</v>
      </c>
      <c r="J241" s="47">
        <v>0.18</v>
      </c>
      <c r="K241" s="62">
        <v>0</v>
      </c>
      <c r="L241" s="24">
        <f t="shared" si="115"/>
        <v>451.51650000000001</v>
      </c>
      <c r="M241" s="23">
        <f t="shared" si="116"/>
        <v>451.51650000000001</v>
      </c>
      <c r="N241" s="37">
        <f t="shared" si="114"/>
        <v>5919.8829999999998</v>
      </c>
      <c r="O241" s="22"/>
    </row>
    <row r="242" spans="1:15" ht="17.100000000000001" customHeight="1" x14ac:dyDescent="0.25">
      <c r="A242" s="27">
        <f>IF(C242="","",COUNTA($C$4:C242))</f>
        <v>239</v>
      </c>
      <c r="B242" s="27" t="str">
        <f t="shared" si="117"/>
        <v>August</v>
      </c>
      <c r="C242" s="49">
        <v>45899</v>
      </c>
      <c r="D242" s="86" t="s">
        <v>1512</v>
      </c>
      <c r="E242" s="26" t="s">
        <v>1510</v>
      </c>
      <c r="F242" s="21">
        <v>1349</v>
      </c>
      <c r="G242" s="26" t="s">
        <v>116</v>
      </c>
      <c r="H242" s="26" t="s">
        <v>479</v>
      </c>
      <c r="I242" s="23">
        <v>47296.66</v>
      </c>
      <c r="J242" s="47">
        <v>0.18</v>
      </c>
      <c r="K242" s="62">
        <v>0</v>
      </c>
      <c r="L242" s="24">
        <f t="shared" si="115"/>
        <v>4256.6994000000004</v>
      </c>
      <c r="M242" s="23">
        <f t="shared" si="116"/>
        <v>4256.6994000000004</v>
      </c>
      <c r="N242" s="37">
        <f t="shared" si="114"/>
        <v>55810.058799999999</v>
      </c>
      <c r="O242" s="22"/>
    </row>
    <row r="243" spans="1:15" ht="17.100000000000001" customHeight="1" x14ac:dyDescent="0.25">
      <c r="A243" s="27">
        <f>IF(C243="","",COUNTA($C$4:C243))</f>
        <v>240</v>
      </c>
      <c r="B243" s="27" t="str">
        <f t="shared" si="117"/>
        <v>August</v>
      </c>
      <c r="C243" s="49">
        <v>45899</v>
      </c>
      <c r="D243" s="86" t="s">
        <v>1513</v>
      </c>
      <c r="E243" s="26" t="s">
        <v>1510</v>
      </c>
      <c r="F243" s="21">
        <v>1350</v>
      </c>
      <c r="G243" s="26" t="s">
        <v>116</v>
      </c>
      <c r="H243" s="26" t="s">
        <v>479</v>
      </c>
      <c r="I243" s="23">
        <v>5722.17</v>
      </c>
      <c r="J243" s="47">
        <v>0.18</v>
      </c>
      <c r="K243" s="24">
        <v>0</v>
      </c>
      <c r="L243" s="24">
        <f t="shared" si="115"/>
        <v>514.99530000000004</v>
      </c>
      <c r="M243" s="23">
        <f t="shared" si="116"/>
        <v>514.99530000000004</v>
      </c>
      <c r="N243" s="37">
        <f t="shared" si="114"/>
        <v>6752.1606000000011</v>
      </c>
      <c r="O243" s="22"/>
    </row>
    <row r="244" spans="1:15" ht="17.100000000000001" customHeight="1" x14ac:dyDescent="0.25">
      <c r="A244" s="27">
        <f>IF(C244="","",COUNTA($C$4:C244))</f>
        <v>241</v>
      </c>
      <c r="B244" s="27" t="str">
        <f t="shared" si="111"/>
        <v>August</v>
      </c>
      <c r="C244" s="49">
        <v>45899</v>
      </c>
      <c r="D244" s="21" t="s">
        <v>1514</v>
      </c>
      <c r="E244" s="26" t="s">
        <v>1510</v>
      </c>
      <c r="F244" s="21">
        <v>1351</v>
      </c>
      <c r="G244" s="26" t="s">
        <v>116</v>
      </c>
      <c r="H244" s="26" t="s">
        <v>495</v>
      </c>
      <c r="I244" s="23">
        <v>3685.3</v>
      </c>
      <c r="J244" s="47">
        <v>0.18</v>
      </c>
      <c r="K244" s="24">
        <v>0</v>
      </c>
      <c r="L244" s="24">
        <f t="shared" si="115"/>
        <v>331.67700000000002</v>
      </c>
      <c r="M244" s="23">
        <f t="shared" si="116"/>
        <v>331.67700000000002</v>
      </c>
      <c r="N244" s="37">
        <f t="shared" si="114"/>
        <v>4348.6540000000005</v>
      </c>
      <c r="O244" s="22"/>
    </row>
    <row r="245" spans="1:15" ht="17.100000000000001" customHeight="1" x14ac:dyDescent="0.25">
      <c r="A245" s="27">
        <f>IF(C245="","",COUNTA($C$4:C245))</f>
        <v>242</v>
      </c>
      <c r="B245" s="27" t="str">
        <f t="shared" si="111"/>
        <v>August</v>
      </c>
      <c r="C245" s="49">
        <v>45899</v>
      </c>
      <c r="D245" s="21" t="s">
        <v>1515</v>
      </c>
      <c r="E245" s="26" t="s">
        <v>1510</v>
      </c>
      <c r="F245" s="21">
        <v>1352</v>
      </c>
      <c r="G245" s="26" t="s">
        <v>116</v>
      </c>
      <c r="H245" s="26" t="s">
        <v>479</v>
      </c>
      <c r="I245" s="23">
        <v>4031.23</v>
      </c>
      <c r="J245" s="47">
        <v>0.18</v>
      </c>
      <c r="K245" s="24">
        <v>0</v>
      </c>
      <c r="L245" s="24">
        <f t="shared" si="115"/>
        <v>362.8107</v>
      </c>
      <c r="M245" s="23">
        <f t="shared" si="116"/>
        <v>362.8107</v>
      </c>
      <c r="N245" s="37">
        <f t="shared" si="114"/>
        <v>4756.8513999999996</v>
      </c>
      <c r="O245" s="22"/>
    </row>
    <row r="246" spans="1:15" ht="17.100000000000001" customHeight="1" x14ac:dyDescent="0.25">
      <c r="A246" s="27">
        <f>IF(C246="","",COUNTA($C$4:C246))</f>
        <v>243</v>
      </c>
      <c r="B246" s="27" t="str">
        <f t="shared" si="111"/>
        <v>August</v>
      </c>
      <c r="C246" s="49">
        <v>45899</v>
      </c>
      <c r="D246" s="21" t="s">
        <v>1516</v>
      </c>
      <c r="E246" s="26" t="s">
        <v>1510</v>
      </c>
      <c r="F246" s="21">
        <v>1353</v>
      </c>
      <c r="G246" s="26" t="s">
        <v>116</v>
      </c>
      <c r="H246" s="26" t="s">
        <v>495</v>
      </c>
      <c r="I246" s="23">
        <v>102098.95</v>
      </c>
      <c r="J246" s="47">
        <v>0.18</v>
      </c>
      <c r="K246" s="24">
        <v>0</v>
      </c>
      <c r="L246" s="24">
        <f t="shared" si="115"/>
        <v>9188.9054999999989</v>
      </c>
      <c r="M246" s="23">
        <f t="shared" si="116"/>
        <v>9188.9054999999989</v>
      </c>
      <c r="N246" s="37">
        <f t="shared" si="114"/>
        <v>120476.76099999998</v>
      </c>
      <c r="O246" s="22"/>
    </row>
    <row r="247" spans="1:15" ht="17.100000000000001" customHeight="1" x14ac:dyDescent="0.25">
      <c r="A247" s="27">
        <f>IF(C247="","",COUNTA($C$4:C247))</f>
        <v>244</v>
      </c>
      <c r="B247" s="27" t="str">
        <f t="shared" si="73"/>
        <v>August</v>
      </c>
      <c r="C247" s="49">
        <v>45899</v>
      </c>
      <c r="D247" s="21" t="s">
        <v>1517</v>
      </c>
      <c r="E247" s="26" t="s">
        <v>1510</v>
      </c>
      <c r="F247" s="21">
        <v>1354</v>
      </c>
      <c r="G247" s="26" t="s">
        <v>116</v>
      </c>
      <c r="H247" s="26" t="s">
        <v>715</v>
      </c>
      <c r="I247" s="23">
        <v>261465.31</v>
      </c>
      <c r="J247" s="47">
        <v>0.18</v>
      </c>
      <c r="K247" s="24">
        <v>0</v>
      </c>
      <c r="L247" s="24">
        <f t="shared" si="115"/>
        <v>23531.877899999999</v>
      </c>
      <c r="M247" s="23">
        <f t="shared" si="116"/>
        <v>23531.877899999999</v>
      </c>
      <c r="N247" s="37">
        <f t="shared" si="114"/>
        <v>308529.06580000004</v>
      </c>
      <c r="O247" s="22"/>
    </row>
    <row r="248" spans="1:15" ht="17.100000000000001" customHeight="1" x14ac:dyDescent="0.25">
      <c r="A248" s="27">
        <f>IF(C248="","",COUNTA($C$4:C248))</f>
        <v>245</v>
      </c>
      <c r="B248" s="27" t="str">
        <f t="shared" si="73"/>
        <v>August</v>
      </c>
      <c r="C248" s="49">
        <v>45899</v>
      </c>
      <c r="D248" s="21" t="s">
        <v>1518</v>
      </c>
      <c r="E248" s="26" t="s">
        <v>1510</v>
      </c>
      <c r="F248" s="21">
        <v>1355</v>
      </c>
      <c r="G248" s="26" t="s">
        <v>116</v>
      </c>
      <c r="H248" s="26" t="s">
        <v>479</v>
      </c>
      <c r="I248" s="23">
        <v>35064.69</v>
      </c>
      <c r="J248" s="47">
        <v>0.18</v>
      </c>
      <c r="K248" s="24">
        <v>0</v>
      </c>
      <c r="L248" s="24">
        <f t="shared" si="115"/>
        <v>3155.8221000000003</v>
      </c>
      <c r="M248" s="23">
        <f t="shared" si="116"/>
        <v>3155.8221000000003</v>
      </c>
      <c r="N248" s="37">
        <f t="shared" si="114"/>
        <v>41376.334199999998</v>
      </c>
      <c r="O248" s="22"/>
    </row>
    <row r="249" spans="1:15" ht="17.100000000000001" customHeight="1" x14ac:dyDescent="0.25">
      <c r="A249" s="27">
        <f>IF(C249="","",COUNTA($C$4:C249))</f>
        <v>246</v>
      </c>
      <c r="B249" s="27" t="str">
        <f t="shared" si="73"/>
        <v>August</v>
      </c>
      <c r="C249" s="49">
        <v>45899</v>
      </c>
      <c r="D249" s="21" t="s">
        <v>1519</v>
      </c>
      <c r="E249" s="26" t="s">
        <v>1510</v>
      </c>
      <c r="F249" s="21">
        <v>1356</v>
      </c>
      <c r="G249" s="26" t="s">
        <v>116</v>
      </c>
      <c r="H249" s="26" t="s">
        <v>479</v>
      </c>
      <c r="I249" s="23">
        <v>29963.37</v>
      </c>
      <c r="J249" s="47">
        <v>0.18</v>
      </c>
      <c r="K249" s="62">
        <v>0</v>
      </c>
      <c r="L249" s="24">
        <f t="shared" si="115"/>
        <v>2696.7033000000001</v>
      </c>
      <c r="M249" s="23">
        <f t="shared" si="116"/>
        <v>2696.7033000000001</v>
      </c>
      <c r="N249" s="37">
        <f t="shared" si="114"/>
        <v>35356.776599999997</v>
      </c>
      <c r="O249" s="22"/>
    </row>
    <row r="250" spans="1:15" ht="17.100000000000001" customHeight="1" x14ac:dyDescent="0.25">
      <c r="A250" s="27">
        <f>IF(C250="","",COUNTA($C$4:C250))</f>
        <v>247</v>
      </c>
      <c r="B250" s="27" t="str">
        <f t="shared" si="73"/>
        <v>August</v>
      </c>
      <c r="C250" s="49">
        <v>45899</v>
      </c>
      <c r="D250" s="21" t="s">
        <v>1520</v>
      </c>
      <c r="E250" s="26" t="s">
        <v>1510</v>
      </c>
      <c r="F250" s="21">
        <v>1357</v>
      </c>
      <c r="G250" s="26" t="s">
        <v>116</v>
      </c>
      <c r="H250" s="26" t="s">
        <v>495</v>
      </c>
      <c r="I250" s="23">
        <v>1358.45</v>
      </c>
      <c r="J250" s="47">
        <v>0.18</v>
      </c>
      <c r="K250" s="62">
        <v>0</v>
      </c>
      <c r="L250" s="24">
        <f t="shared" si="115"/>
        <v>122.26050000000001</v>
      </c>
      <c r="M250" s="23">
        <f t="shared" si="116"/>
        <v>122.26050000000001</v>
      </c>
      <c r="N250" s="37">
        <f t="shared" si="114"/>
        <v>1602.9710000000002</v>
      </c>
      <c r="O250" s="22"/>
    </row>
    <row r="251" spans="1:15" ht="17.100000000000001" customHeight="1" x14ac:dyDescent="0.25">
      <c r="A251" s="27">
        <f>IF(C251="","",COUNTA($C$4:C251))</f>
        <v>248</v>
      </c>
      <c r="B251" s="27" t="str">
        <f t="shared" si="73"/>
        <v>August</v>
      </c>
      <c r="C251" s="49">
        <v>45899</v>
      </c>
      <c r="D251" s="21" t="s">
        <v>1521</v>
      </c>
      <c r="E251" s="26" t="s">
        <v>1510</v>
      </c>
      <c r="F251" s="21">
        <v>1358</v>
      </c>
      <c r="G251" s="48" t="s">
        <v>116</v>
      </c>
      <c r="H251" s="26" t="s">
        <v>479</v>
      </c>
      <c r="I251" s="23">
        <v>231754.8</v>
      </c>
      <c r="J251" s="47">
        <v>0.18</v>
      </c>
      <c r="K251" s="62">
        <v>0</v>
      </c>
      <c r="L251" s="24">
        <f t="shared" si="115"/>
        <v>20857.932000000001</v>
      </c>
      <c r="M251" s="23">
        <f t="shared" si="116"/>
        <v>20857.932000000001</v>
      </c>
      <c r="N251" s="37">
        <f t="shared" si="114"/>
        <v>273470.66399999999</v>
      </c>
      <c r="O251" s="22"/>
    </row>
    <row r="252" spans="1:15" ht="17.100000000000001" customHeight="1" x14ac:dyDescent="0.25">
      <c r="A252" s="27">
        <f>IF(C252="","",COUNTA($C$4:C252))</f>
        <v>249</v>
      </c>
      <c r="B252" s="27" t="str">
        <f t="shared" si="73"/>
        <v>August</v>
      </c>
      <c r="C252" s="49">
        <v>45899</v>
      </c>
      <c r="D252" s="21" t="s">
        <v>1522</v>
      </c>
      <c r="E252" s="26" t="s">
        <v>1510</v>
      </c>
      <c r="F252" s="21">
        <v>1359</v>
      </c>
      <c r="G252" s="48" t="s">
        <v>116</v>
      </c>
      <c r="H252" s="26" t="s">
        <v>715</v>
      </c>
      <c r="I252" s="23">
        <v>431257.57</v>
      </c>
      <c r="J252" s="47">
        <v>0.18</v>
      </c>
      <c r="K252" s="62">
        <v>0</v>
      </c>
      <c r="L252" s="24">
        <f t="shared" si="115"/>
        <v>38813.181299999997</v>
      </c>
      <c r="M252" s="23">
        <f t="shared" si="116"/>
        <v>38813.181299999997</v>
      </c>
      <c r="N252" s="37">
        <f t="shared" si="114"/>
        <v>508883.9326</v>
      </c>
      <c r="O252" s="22"/>
    </row>
    <row r="253" spans="1:15" ht="17.100000000000001" customHeight="1" x14ac:dyDescent="0.25">
      <c r="A253" s="27">
        <f>IF(C253="","",COUNTA($C$4:C253))</f>
        <v>250</v>
      </c>
      <c r="B253" s="27" t="str">
        <f t="shared" si="73"/>
        <v>August</v>
      </c>
      <c r="C253" s="49">
        <v>45900</v>
      </c>
      <c r="D253" s="21" t="s">
        <v>1657</v>
      </c>
      <c r="E253" s="26" t="s">
        <v>448</v>
      </c>
      <c r="F253" s="21">
        <v>204</v>
      </c>
      <c r="G253" s="48" t="s">
        <v>449</v>
      </c>
      <c r="H253" s="26" t="s">
        <v>1652</v>
      </c>
      <c r="I253" s="23">
        <v>112050</v>
      </c>
      <c r="J253" s="47">
        <v>0</v>
      </c>
      <c r="K253" s="62">
        <v>0</v>
      </c>
      <c r="L253" s="24">
        <v>0</v>
      </c>
      <c r="M253" s="23">
        <v>0</v>
      </c>
      <c r="N253" s="37">
        <f t="shared" si="114"/>
        <v>112050</v>
      </c>
      <c r="O253" s="22"/>
    </row>
    <row r="254" spans="1:15" ht="17.100000000000001" customHeight="1" x14ac:dyDescent="0.25">
      <c r="A254" s="27">
        <f>IF(C254="","",COUNTA($C$4:C254))</f>
        <v>251</v>
      </c>
      <c r="B254" s="27" t="str">
        <f t="shared" si="73"/>
        <v>August</v>
      </c>
      <c r="C254" s="49">
        <v>45900</v>
      </c>
      <c r="D254" s="21" t="s">
        <v>1658</v>
      </c>
      <c r="E254" s="26" t="s">
        <v>448</v>
      </c>
      <c r="F254" s="21">
        <v>205</v>
      </c>
      <c r="G254" s="48" t="s">
        <v>449</v>
      </c>
      <c r="H254" s="26" t="s">
        <v>1652</v>
      </c>
      <c r="I254" s="23">
        <v>30850</v>
      </c>
      <c r="J254" s="47">
        <v>0</v>
      </c>
      <c r="K254" s="62">
        <v>0</v>
      </c>
      <c r="L254" s="24">
        <v>0</v>
      </c>
      <c r="M254" s="23">
        <v>0</v>
      </c>
      <c r="N254" s="37">
        <f t="shared" si="114"/>
        <v>30850</v>
      </c>
      <c r="O254" s="22"/>
    </row>
    <row r="255" spans="1:15" ht="17.100000000000001" customHeight="1" x14ac:dyDescent="0.25">
      <c r="A255" s="27">
        <f>IF(C255="","",COUNTA($C$4:C255))</f>
        <v>252</v>
      </c>
      <c r="B255" s="27" t="str">
        <f t="shared" si="73"/>
        <v>August</v>
      </c>
      <c r="C255" s="49">
        <v>45900</v>
      </c>
      <c r="D255" s="21" t="s">
        <v>1659</v>
      </c>
      <c r="E255" s="26" t="s">
        <v>460</v>
      </c>
      <c r="F255" s="21" t="s">
        <v>1660</v>
      </c>
      <c r="G255" s="48" t="s">
        <v>462</v>
      </c>
      <c r="H255" s="26" t="s">
        <v>1652</v>
      </c>
      <c r="I255" s="23">
        <v>18505</v>
      </c>
      <c r="J255" s="47">
        <v>0</v>
      </c>
      <c r="K255" s="62">
        <v>0</v>
      </c>
      <c r="L255" s="24">
        <v>0</v>
      </c>
      <c r="M255" s="23">
        <v>0</v>
      </c>
      <c r="N255" s="37">
        <f t="shared" si="114"/>
        <v>18505</v>
      </c>
      <c r="O255" s="22"/>
    </row>
    <row r="256" spans="1:15" ht="17.100000000000001" customHeight="1" x14ac:dyDescent="0.25">
      <c r="A256" s="27">
        <f>IF(C256="","",COUNTA($C$4:C256))</f>
        <v>253</v>
      </c>
      <c r="B256" s="27" t="str">
        <f t="shared" si="73"/>
        <v>August</v>
      </c>
      <c r="C256" s="49">
        <v>45898</v>
      </c>
      <c r="D256" s="21" t="s">
        <v>1661</v>
      </c>
      <c r="E256" s="26" t="s">
        <v>1662</v>
      </c>
      <c r="F256" s="21">
        <v>263</v>
      </c>
      <c r="G256" s="26" t="s">
        <v>1663</v>
      </c>
      <c r="H256" s="26" t="s">
        <v>1664</v>
      </c>
      <c r="I256" s="23">
        <v>18100</v>
      </c>
      <c r="J256" s="47">
        <v>0.18</v>
      </c>
      <c r="K256" s="62">
        <f>I256*18/100</f>
        <v>3258</v>
      </c>
      <c r="L256" s="24">
        <v>0</v>
      </c>
      <c r="M256" s="23">
        <v>0</v>
      </c>
      <c r="N256" s="37">
        <f>I256+K256</f>
        <v>21358</v>
      </c>
      <c r="O256" s="22"/>
    </row>
    <row r="257" spans="1:15" ht="17.100000000000001" customHeight="1" x14ac:dyDescent="0.25">
      <c r="A257" s="27">
        <f>IF(C257="","",COUNTA($C$4:C257))</f>
        <v>254</v>
      </c>
      <c r="B257" s="27" t="str">
        <f t="shared" ref="B257:B261" si="118">IF(C257="","",TEXT(C257,"mmmm"))</f>
        <v>September</v>
      </c>
      <c r="C257" s="49">
        <v>45901</v>
      </c>
      <c r="D257" s="21" t="s">
        <v>1783</v>
      </c>
      <c r="E257" s="26" t="s">
        <v>1266</v>
      </c>
      <c r="F257" s="21">
        <v>500</v>
      </c>
      <c r="G257" s="26" t="s">
        <v>392</v>
      </c>
      <c r="H257" s="26" t="s">
        <v>1652</v>
      </c>
      <c r="I257" s="23">
        <v>149520</v>
      </c>
      <c r="J257" s="47">
        <v>0.18</v>
      </c>
      <c r="K257" s="62">
        <v>0</v>
      </c>
      <c r="L257" s="24">
        <f t="shared" ref="L257" si="119">I257*9/100</f>
        <v>13456.8</v>
      </c>
      <c r="M257" s="23">
        <f t="shared" ref="M257" si="120">I257*9/100</f>
        <v>13456.8</v>
      </c>
      <c r="N257" s="37">
        <f t="shared" ref="N257:N270" si="121">+I257+L257+M257</f>
        <v>176433.59999999998</v>
      </c>
      <c r="O257" s="22"/>
    </row>
    <row r="258" spans="1:15" ht="17.100000000000001" customHeight="1" x14ac:dyDescent="0.25">
      <c r="A258" s="27">
        <f>IF(C258="","",COUNTA($C$4:C258))</f>
        <v>255</v>
      </c>
      <c r="B258" s="27" t="str">
        <f t="shared" si="118"/>
        <v>September</v>
      </c>
      <c r="C258" s="49">
        <v>45903</v>
      </c>
      <c r="D258" s="21" t="s">
        <v>1784</v>
      </c>
      <c r="E258" s="26" t="s">
        <v>569</v>
      </c>
      <c r="F258" s="21">
        <v>73</v>
      </c>
      <c r="G258" s="26" t="s">
        <v>285</v>
      </c>
      <c r="H258" s="26" t="s">
        <v>1785</v>
      </c>
      <c r="I258" s="23">
        <v>2500</v>
      </c>
      <c r="J258" s="47">
        <v>0</v>
      </c>
      <c r="K258" s="62">
        <v>0</v>
      </c>
      <c r="L258" s="24">
        <v>0</v>
      </c>
      <c r="M258" s="23">
        <v>0</v>
      </c>
      <c r="N258" s="37">
        <f t="shared" si="121"/>
        <v>2500</v>
      </c>
      <c r="O258" s="22"/>
    </row>
    <row r="259" spans="1:15" ht="17.100000000000001" customHeight="1" x14ac:dyDescent="0.25">
      <c r="A259" s="27">
        <f>IF(C259="","",COUNTA($C$4:C259))</f>
        <v>256</v>
      </c>
      <c r="B259" s="27" t="str">
        <f t="shared" si="118"/>
        <v>September</v>
      </c>
      <c r="C259" s="49">
        <v>45904</v>
      </c>
      <c r="D259" s="21" t="s">
        <v>1786</v>
      </c>
      <c r="E259" s="26" t="s">
        <v>372</v>
      </c>
      <c r="F259" s="21">
        <v>166</v>
      </c>
      <c r="G259" s="26" t="s">
        <v>373</v>
      </c>
      <c r="H259" s="26" t="s">
        <v>1787</v>
      </c>
      <c r="I259" s="23">
        <v>25000</v>
      </c>
      <c r="J259" s="47">
        <v>0</v>
      </c>
      <c r="K259" s="62">
        <v>0</v>
      </c>
      <c r="L259" s="24">
        <v>0</v>
      </c>
      <c r="M259" s="23">
        <v>0</v>
      </c>
      <c r="N259" s="37">
        <f t="shared" si="121"/>
        <v>25000</v>
      </c>
      <c r="O259" s="22"/>
    </row>
    <row r="260" spans="1:15" ht="17.100000000000001" customHeight="1" x14ac:dyDescent="0.25">
      <c r="A260" s="27">
        <f>IF(C260="","",COUNTA($C$4:C260))</f>
        <v>257</v>
      </c>
      <c r="B260" s="27" t="str">
        <f t="shared" si="118"/>
        <v>September</v>
      </c>
      <c r="C260" s="49">
        <v>45903</v>
      </c>
      <c r="D260" s="21" t="s">
        <v>1788</v>
      </c>
      <c r="E260" s="26" t="s">
        <v>111</v>
      </c>
      <c r="F260" s="53" t="s">
        <v>1789</v>
      </c>
      <c r="G260" s="26" t="s">
        <v>472</v>
      </c>
      <c r="H260" s="26" t="s">
        <v>1652</v>
      </c>
      <c r="I260" s="23">
        <v>145948</v>
      </c>
      <c r="J260" s="47">
        <v>0</v>
      </c>
      <c r="K260" s="62">
        <v>0</v>
      </c>
      <c r="L260" s="24">
        <v>0</v>
      </c>
      <c r="M260" s="23">
        <v>0</v>
      </c>
      <c r="N260" s="37">
        <f t="shared" si="121"/>
        <v>145948</v>
      </c>
      <c r="O260" s="22"/>
    </row>
    <row r="261" spans="1:15" ht="17.100000000000001" customHeight="1" x14ac:dyDescent="0.25">
      <c r="A261" s="27">
        <f>IF(C261="","",COUNTA($C$4:C261))</f>
        <v>258</v>
      </c>
      <c r="B261" s="27" t="str">
        <f t="shared" si="118"/>
        <v>September</v>
      </c>
      <c r="C261" s="49">
        <v>45904</v>
      </c>
      <c r="D261" s="21" t="s">
        <v>1790</v>
      </c>
      <c r="E261" s="26" t="s">
        <v>783</v>
      </c>
      <c r="F261" s="21" t="s">
        <v>1791</v>
      </c>
      <c r="G261" s="26" t="s">
        <v>583</v>
      </c>
      <c r="H261" s="26" t="s">
        <v>1652</v>
      </c>
      <c r="I261" s="23">
        <v>634095</v>
      </c>
      <c r="J261" s="47">
        <v>0.18</v>
      </c>
      <c r="K261" s="62">
        <v>0</v>
      </c>
      <c r="L261" s="24">
        <f t="shared" ref="L261:L264" si="122">I261*9/100</f>
        <v>57068.55</v>
      </c>
      <c r="M261" s="23">
        <f t="shared" ref="M261:M264" si="123">I261*9/100</f>
        <v>57068.55</v>
      </c>
      <c r="N261" s="37">
        <f t="shared" si="121"/>
        <v>748232.10000000009</v>
      </c>
      <c r="O261" s="22"/>
    </row>
    <row r="262" spans="1:15" ht="17.100000000000001" customHeight="1" x14ac:dyDescent="0.25">
      <c r="A262" s="27">
        <f>IF(C262="","",COUNTA($C$4:C262))</f>
        <v>259</v>
      </c>
      <c r="B262" s="27" t="str">
        <f t="shared" ref="B262" si="124">IF(C262="","",TEXT(C262,"mmmm"))</f>
        <v>September</v>
      </c>
      <c r="C262" s="49">
        <v>45906</v>
      </c>
      <c r="D262" s="21" t="s">
        <v>1792</v>
      </c>
      <c r="E262" s="26" t="s">
        <v>364</v>
      </c>
      <c r="F262" s="21" t="s">
        <v>1793</v>
      </c>
      <c r="G262" s="26" t="s">
        <v>366</v>
      </c>
      <c r="H262" s="26" t="s">
        <v>1390</v>
      </c>
      <c r="I262" s="23">
        <v>2700</v>
      </c>
      <c r="J262" s="47">
        <v>0.18</v>
      </c>
      <c r="K262" s="62">
        <v>0</v>
      </c>
      <c r="L262" s="24">
        <f t="shared" si="122"/>
        <v>243</v>
      </c>
      <c r="M262" s="23">
        <f t="shared" si="123"/>
        <v>243</v>
      </c>
      <c r="N262" s="37">
        <f t="shared" si="121"/>
        <v>3186</v>
      </c>
      <c r="O262" s="22"/>
    </row>
    <row r="263" spans="1:15" ht="17.100000000000001" customHeight="1" x14ac:dyDescent="0.25">
      <c r="A263" s="27">
        <f>IF(C263="","",COUNTA($C$4:C263))</f>
        <v>260</v>
      </c>
      <c r="B263" s="27" t="str">
        <f t="shared" si="73"/>
        <v>September</v>
      </c>
      <c r="C263" s="49">
        <v>45910</v>
      </c>
      <c r="D263" s="21" t="s">
        <v>1794</v>
      </c>
      <c r="E263" s="26" t="s">
        <v>1384</v>
      </c>
      <c r="F263" s="21" t="s">
        <v>1795</v>
      </c>
      <c r="G263" s="48" t="s">
        <v>1386</v>
      </c>
      <c r="H263" s="26" t="s">
        <v>1387</v>
      </c>
      <c r="I263" s="23">
        <v>3000</v>
      </c>
      <c r="J263" s="47">
        <v>0.18</v>
      </c>
      <c r="K263" s="62">
        <v>0</v>
      </c>
      <c r="L263" s="24">
        <f t="shared" si="122"/>
        <v>270</v>
      </c>
      <c r="M263" s="23">
        <f t="shared" si="123"/>
        <v>270</v>
      </c>
      <c r="N263" s="37">
        <f t="shared" si="121"/>
        <v>3540</v>
      </c>
      <c r="O263" s="22"/>
    </row>
    <row r="264" spans="1:15" ht="17.100000000000001" customHeight="1" x14ac:dyDescent="0.25">
      <c r="A264" s="27">
        <f>IF(C264="","",COUNTA($C$4:C264))</f>
        <v>261</v>
      </c>
      <c r="B264" s="27" t="str">
        <f t="shared" ref="B264:B321" si="125">IF(C264="","",TEXT(C264,"mmmm"))</f>
        <v>September</v>
      </c>
      <c r="C264" s="49">
        <v>45912</v>
      </c>
      <c r="D264" s="21" t="s">
        <v>1796</v>
      </c>
      <c r="E264" s="26" t="s">
        <v>284</v>
      </c>
      <c r="F264" s="21">
        <v>3965</v>
      </c>
      <c r="G264" s="48" t="s">
        <v>285</v>
      </c>
      <c r="H264" s="26" t="s">
        <v>626</v>
      </c>
      <c r="I264" s="23">
        <v>4100</v>
      </c>
      <c r="J264" s="47">
        <v>0.18</v>
      </c>
      <c r="K264" s="62">
        <v>0</v>
      </c>
      <c r="L264" s="24">
        <f t="shared" si="122"/>
        <v>369</v>
      </c>
      <c r="M264" s="23">
        <f t="shared" si="123"/>
        <v>369</v>
      </c>
      <c r="N264" s="37">
        <f t="shared" si="121"/>
        <v>4838</v>
      </c>
      <c r="O264" s="22"/>
    </row>
    <row r="265" spans="1:15" ht="17.100000000000001" customHeight="1" x14ac:dyDescent="0.25">
      <c r="A265" s="27">
        <f>IF(C265="","",COUNTA($C$4:C265))</f>
        <v>262</v>
      </c>
      <c r="B265" s="27" t="str">
        <f t="shared" si="125"/>
        <v>September</v>
      </c>
      <c r="C265" s="49">
        <v>45912</v>
      </c>
      <c r="D265" s="21" t="s">
        <v>1797</v>
      </c>
      <c r="E265" s="26" t="s">
        <v>151</v>
      </c>
      <c r="F265" s="21">
        <v>88972</v>
      </c>
      <c r="G265" s="26" t="s">
        <v>116</v>
      </c>
      <c r="H265" s="26" t="s">
        <v>1798</v>
      </c>
      <c r="I265" s="23">
        <v>9740</v>
      </c>
      <c r="J265" s="47">
        <v>0.12</v>
      </c>
      <c r="K265" s="62">
        <v>0</v>
      </c>
      <c r="L265" s="24">
        <f>I265*6/100</f>
        <v>584.4</v>
      </c>
      <c r="M265" s="23">
        <f>I265*6/100</f>
        <v>584.4</v>
      </c>
      <c r="N265" s="37">
        <f t="shared" si="121"/>
        <v>10908.8</v>
      </c>
      <c r="O265" s="22"/>
    </row>
    <row r="266" spans="1:15" ht="17.100000000000001" customHeight="1" x14ac:dyDescent="0.25">
      <c r="A266" s="27">
        <f>IF(C266="","",COUNTA($C$4:C266))</f>
        <v>263</v>
      </c>
      <c r="B266" s="27" t="str">
        <f t="shared" si="125"/>
        <v>September</v>
      </c>
      <c r="C266" s="49">
        <v>45912</v>
      </c>
      <c r="D266" s="21" t="s">
        <v>1799</v>
      </c>
      <c r="E266" s="26" t="s">
        <v>151</v>
      </c>
      <c r="F266" s="21">
        <v>88973</v>
      </c>
      <c r="G266" s="26" t="s">
        <v>116</v>
      </c>
      <c r="H266" s="26" t="s">
        <v>1800</v>
      </c>
      <c r="I266" s="23">
        <v>4360</v>
      </c>
      <c r="J266" s="47">
        <v>0.12</v>
      </c>
      <c r="K266" s="62">
        <v>0</v>
      </c>
      <c r="L266" s="24">
        <f>I266*6/100</f>
        <v>261.60000000000002</v>
      </c>
      <c r="M266" s="23">
        <f>I266*6/100</f>
        <v>261.60000000000002</v>
      </c>
      <c r="N266" s="37">
        <f t="shared" si="121"/>
        <v>4883.2000000000007</v>
      </c>
      <c r="O266" s="22"/>
    </row>
    <row r="267" spans="1:15" ht="17.100000000000001" customHeight="1" x14ac:dyDescent="0.25">
      <c r="A267" s="27">
        <f>IF(C267="","",COUNTA($C$4:C267))</f>
        <v>264</v>
      </c>
      <c r="B267" s="27" t="str">
        <f t="shared" si="125"/>
        <v>September</v>
      </c>
      <c r="C267" s="49">
        <v>45912</v>
      </c>
      <c r="D267" s="21" t="s">
        <v>1801</v>
      </c>
      <c r="E267" s="26" t="s">
        <v>151</v>
      </c>
      <c r="F267" s="21">
        <v>88974</v>
      </c>
      <c r="G267" s="26" t="s">
        <v>116</v>
      </c>
      <c r="H267" s="26" t="s">
        <v>1802</v>
      </c>
      <c r="I267" s="23">
        <v>3580</v>
      </c>
      <c r="J267" s="47">
        <v>0.12</v>
      </c>
      <c r="K267" s="62">
        <v>0</v>
      </c>
      <c r="L267" s="24">
        <f>I267*6/100</f>
        <v>214.8</v>
      </c>
      <c r="M267" s="23">
        <f>I267*6/100</f>
        <v>214.8</v>
      </c>
      <c r="N267" s="37">
        <f t="shared" si="121"/>
        <v>4009.6000000000004</v>
      </c>
      <c r="O267" s="22"/>
    </row>
    <row r="268" spans="1:15" ht="17.100000000000001" customHeight="1" x14ac:dyDescent="0.25">
      <c r="A268" s="27">
        <f>IF(C268="","",COUNTA($C$4:C268))</f>
        <v>265</v>
      </c>
      <c r="B268" s="27" t="str">
        <f t="shared" si="125"/>
        <v>September</v>
      </c>
      <c r="C268" s="49">
        <v>45912</v>
      </c>
      <c r="D268" s="21" t="s">
        <v>1803</v>
      </c>
      <c r="E268" s="26" t="s">
        <v>151</v>
      </c>
      <c r="F268" s="21">
        <v>88976</v>
      </c>
      <c r="G268" s="26" t="s">
        <v>116</v>
      </c>
      <c r="H268" s="26" t="s">
        <v>1804</v>
      </c>
      <c r="I268" s="23">
        <v>5285</v>
      </c>
      <c r="J268" s="47">
        <v>0.12</v>
      </c>
      <c r="K268" s="62">
        <v>0</v>
      </c>
      <c r="L268" s="24">
        <f>I268*6/100</f>
        <v>317.10000000000002</v>
      </c>
      <c r="M268" s="23">
        <f>I268*6/100</f>
        <v>317.10000000000002</v>
      </c>
      <c r="N268" s="37">
        <f t="shared" si="121"/>
        <v>5919.2000000000007</v>
      </c>
      <c r="O268" s="22"/>
    </row>
    <row r="269" spans="1:15" ht="17.100000000000001" customHeight="1" x14ac:dyDescent="0.25">
      <c r="A269" s="27">
        <f>IF(C269="","",COUNTA($C$4:C269))</f>
        <v>266</v>
      </c>
      <c r="B269" s="27" t="str">
        <f t="shared" si="125"/>
        <v>September</v>
      </c>
      <c r="C269" s="49">
        <v>45912</v>
      </c>
      <c r="D269" s="21" t="s">
        <v>1805</v>
      </c>
      <c r="E269" s="26" t="s">
        <v>151</v>
      </c>
      <c r="F269" s="21">
        <v>88977</v>
      </c>
      <c r="G269" s="26" t="s">
        <v>116</v>
      </c>
      <c r="H269" s="26" t="s">
        <v>1806</v>
      </c>
      <c r="I269" s="23">
        <v>3400</v>
      </c>
      <c r="J269" s="47">
        <v>0.12</v>
      </c>
      <c r="K269" s="62">
        <v>0</v>
      </c>
      <c r="L269" s="24">
        <f>I269*6/100</f>
        <v>204</v>
      </c>
      <c r="M269" s="23">
        <f>I269*6/100</f>
        <v>204</v>
      </c>
      <c r="N269" s="37">
        <f t="shared" si="121"/>
        <v>3808</v>
      </c>
      <c r="O269" s="22"/>
    </row>
    <row r="270" spans="1:15" ht="17.100000000000001" customHeight="1" x14ac:dyDescent="0.25">
      <c r="A270" s="27">
        <f>IF(C270="","",COUNTA($C$4:C270))</f>
        <v>267</v>
      </c>
      <c r="B270" s="27" t="str">
        <f t="shared" si="125"/>
        <v>September</v>
      </c>
      <c r="C270" s="49">
        <v>45913</v>
      </c>
      <c r="D270" s="21" t="s">
        <v>1807</v>
      </c>
      <c r="E270" s="26" t="s">
        <v>138</v>
      </c>
      <c r="F270" s="21">
        <v>226</v>
      </c>
      <c r="G270" s="48" t="s">
        <v>116</v>
      </c>
      <c r="H270" s="39" t="s">
        <v>1808</v>
      </c>
      <c r="I270" s="23">
        <v>105262.6</v>
      </c>
      <c r="J270" s="47">
        <v>0.18</v>
      </c>
      <c r="K270" s="62">
        <v>0</v>
      </c>
      <c r="L270" s="24">
        <f>I270*9/100</f>
        <v>9473.634</v>
      </c>
      <c r="M270" s="23">
        <f>I270*9/100</f>
        <v>9473.634</v>
      </c>
      <c r="N270" s="37">
        <f t="shared" si="121"/>
        <v>124209.86800000002</v>
      </c>
      <c r="O270" s="22"/>
    </row>
    <row r="271" spans="1:15" ht="17.100000000000001" customHeight="1" x14ac:dyDescent="0.25">
      <c r="A271" s="27">
        <f>IF(C271="","",COUNTA($C$4:C271))</f>
        <v>268</v>
      </c>
      <c r="B271" s="27" t="str">
        <f t="shared" si="125"/>
        <v>September</v>
      </c>
      <c r="C271" s="49">
        <v>45913</v>
      </c>
      <c r="D271" s="21" t="s">
        <v>1809</v>
      </c>
      <c r="E271" s="26" t="s">
        <v>1810</v>
      </c>
      <c r="F271" s="21" t="s">
        <v>1811</v>
      </c>
      <c r="G271" s="48" t="s">
        <v>1812</v>
      </c>
      <c r="H271" s="26" t="s">
        <v>1813</v>
      </c>
      <c r="I271" s="23">
        <v>20338.98</v>
      </c>
      <c r="J271" s="47">
        <v>0.18</v>
      </c>
      <c r="K271" s="62">
        <f>I271*18/100</f>
        <v>3661.0164</v>
      </c>
      <c r="L271" s="24">
        <v>0</v>
      </c>
      <c r="M271" s="23">
        <v>0</v>
      </c>
      <c r="N271" s="37">
        <f>I271+K271</f>
        <v>23999.9964</v>
      </c>
      <c r="O271" s="22"/>
    </row>
    <row r="272" spans="1:15" ht="17.100000000000001" customHeight="1" x14ac:dyDescent="0.25">
      <c r="A272" s="27">
        <f>IF(C272="","",COUNTA($C$4:C272))</f>
        <v>269</v>
      </c>
      <c r="B272" s="27" t="str">
        <f t="shared" si="125"/>
        <v>September</v>
      </c>
      <c r="C272" s="49">
        <v>45915</v>
      </c>
      <c r="D272" s="21" t="s">
        <v>1814</v>
      </c>
      <c r="E272" s="26" t="s">
        <v>141</v>
      </c>
      <c r="F272" s="21">
        <v>469</v>
      </c>
      <c r="G272" s="48" t="s">
        <v>1815</v>
      </c>
      <c r="H272" s="26" t="s">
        <v>1816</v>
      </c>
      <c r="I272" s="23">
        <v>15538</v>
      </c>
      <c r="J272" s="47">
        <v>0</v>
      </c>
      <c r="K272" s="62">
        <v>0</v>
      </c>
      <c r="L272" s="24">
        <v>0</v>
      </c>
      <c r="M272" s="23">
        <v>0</v>
      </c>
      <c r="N272" s="37">
        <f>I272+K272</f>
        <v>15538</v>
      </c>
      <c r="O272" s="22"/>
    </row>
    <row r="273" spans="1:15" ht="17.100000000000001" customHeight="1" x14ac:dyDescent="0.25">
      <c r="A273" s="27">
        <f>IF(C273="","",COUNTA($C$4:C273))</f>
        <v>270</v>
      </c>
      <c r="B273" s="27" t="str">
        <f t="shared" si="125"/>
        <v>September</v>
      </c>
      <c r="C273" s="49">
        <v>45916</v>
      </c>
      <c r="D273" s="21" t="s">
        <v>1817</v>
      </c>
      <c r="E273" s="26" t="s">
        <v>548</v>
      </c>
      <c r="F273" s="21" t="s">
        <v>1818</v>
      </c>
      <c r="G273" s="26" t="s">
        <v>583</v>
      </c>
      <c r="H273" s="26" t="s">
        <v>1652</v>
      </c>
      <c r="I273" s="23">
        <v>597725.06000000006</v>
      </c>
      <c r="J273" s="47">
        <v>0.18</v>
      </c>
      <c r="K273" s="62">
        <v>0</v>
      </c>
      <c r="L273" s="24">
        <f t="shared" ref="L273:L278" si="126">I273*9/100</f>
        <v>53795.255400000009</v>
      </c>
      <c r="M273" s="23">
        <f t="shared" ref="M273:M278" si="127">I273*9/100</f>
        <v>53795.255400000009</v>
      </c>
      <c r="N273" s="37">
        <f t="shared" ref="N273:N279" si="128">+I273+L273+M273</f>
        <v>705315.5708000001</v>
      </c>
      <c r="O273" s="22"/>
    </row>
    <row r="274" spans="1:15" ht="17.100000000000001" customHeight="1" x14ac:dyDescent="0.25">
      <c r="A274" s="27">
        <f>IF(C274="","",COUNTA($C$4:C274))</f>
        <v>271</v>
      </c>
      <c r="B274" s="27" t="str">
        <f t="shared" ref="B274" si="129">IF(C274="","",TEXT(C274,"mmmm"))</f>
        <v>September</v>
      </c>
      <c r="C274" s="49">
        <v>45916</v>
      </c>
      <c r="D274" s="21" t="s">
        <v>1819</v>
      </c>
      <c r="E274" s="26" t="s">
        <v>548</v>
      </c>
      <c r="F274" s="21" t="s">
        <v>1820</v>
      </c>
      <c r="G274" s="48" t="s">
        <v>553</v>
      </c>
      <c r="H274" s="26" t="s">
        <v>1652</v>
      </c>
      <c r="I274" s="23">
        <v>23201.7</v>
      </c>
      <c r="J274" s="47">
        <v>0.18</v>
      </c>
      <c r="K274" s="62">
        <v>0</v>
      </c>
      <c r="L274" s="24">
        <f t="shared" si="126"/>
        <v>2088.1530000000002</v>
      </c>
      <c r="M274" s="23">
        <f t="shared" si="127"/>
        <v>2088.1530000000002</v>
      </c>
      <c r="N274" s="37">
        <f t="shared" si="128"/>
        <v>27378.006000000001</v>
      </c>
      <c r="O274" s="22"/>
    </row>
    <row r="275" spans="1:15" ht="17.100000000000001" customHeight="1" x14ac:dyDescent="0.25">
      <c r="A275" s="27">
        <f>IF(C275="","",COUNTA($C$4:C275))</f>
        <v>272</v>
      </c>
      <c r="B275" s="27" t="str">
        <f t="shared" ref="B275:B276" si="130">IF(C275="","",TEXT(C275,"mmmm"))</f>
        <v>September</v>
      </c>
      <c r="C275" s="49">
        <v>45916</v>
      </c>
      <c r="D275" s="21" t="s">
        <v>1821</v>
      </c>
      <c r="E275" s="26" t="s">
        <v>1384</v>
      </c>
      <c r="F275" s="21" t="s">
        <v>1822</v>
      </c>
      <c r="G275" s="26" t="s">
        <v>1386</v>
      </c>
      <c r="H275" s="26" t="s">
        <v>1387</v>
      </c>
      <c r="I275" s="23">
        <v>4500</v>
      </c>
      <c r="J275" s="47">
        <v>0.18</v>
      </c>
      <c r="K275" s="62">
        <v>0</v>
      </c>
      <c r="L275" s="24">
        <f t="shared" si="126"/>
        <v>405</v>
      </c>
      <c r="M275" s="23">
        <f t="shared" si="127"/>
        <v>405</v>
      </c>
      <c r="N275" s="37">
        <f t="shared" si="128"/>
        <v>5310</v>
      </c>
      <c r="O275" s="22"/>
    </row>
    <row r="276" spans="1:15" ht="17.100000000000001" customHeight="1" x14ac:dyDescent="0.25">
      <c r="A276" s="27">
        <f>IF(C276="","",COUNTA($C$4:C276))</f>
        <v>273</v>
      </c>
      <c r="B276" s="27" t="str">
        <f t="shared" si="130"/>
        <v>September</v>
      </c>
      <c r="C276" s="49">
        <v>45918</v>
      </c>
      <c r="D276" s="21" t="s">
        <v>1823</v>
      </c>
      <c r="E276" s="26" t="s">
        <v>1824</v>
      </c>
      <c r="F276" s="21">
        <v>107</v>
      </c>
      <c r="G276" s="26" t="s">
        <v>1825</v>
      </c>
      <c r="H276" s="26" t="s">
        <v>1826</v>
      </c>
      <c r="I276" s="23">
        <v>13500</v>
      </c>
      <c r="J276" s="47">
        <v>0.18</v>
      </c>
      <c r="K276" s="62">
        <v>0</v>
      </c>
      <c r="L276" s="24">
        <f t="shared" si="126"/>
        <v>1215</v>
      </c>
      <c r="M276" s="23">
        <f t="shared" si="127"/>
        <v>1215</v>
      </c>
      <c r="N276" s="37">
        <f t="shared" si="128"/>
        <v>15930</v>
      </c>
      <c r="O276" s="22"/>
    </row>
    <row r="277" spans="1:15" ht="17.100000000000001" customHeight="1" x14ac:dyDescent="0.25">
      <c r="A277" s="27">
        <f>IF(C277="","",COUNTA($C$4:C277))</f>
        <v>274</v>
      </c>
      <c r="B277" s="27" t="str">
        <f t="shared" si="125"/>
        <v>September</v>
      </c>
      <c r="C277" s="49">
        <v>45925</v>
      </c>
      <c r="D277" s="21" t="s">
        <v>1827</v>
      </c>
      <c r="E277" s="26" t="s">
        <v>1402</v>
      </c>
      <c r="F277" s="21" t="s">
        <v>1828</v>
      </c>
      <c r="G277" s="26" t="s">
        <v>1829</v>
      </c>
      <c r="H277" s="26" t="s">
        <v>1830</v>
      </c>
      <c r="I277" s="23">
        <v>17400</v>
      </c>
      <c r="J277" s="47">
        <v>0.18</v>
      </c>
      <c r="K277" s="62">
        <v>0</v>
      </c>
      <c r="L277" s="24">
        <f t="shared" si="126"/>
        <v>1566</v>
      </c>
      <c r="M277" s="23">
        <f t="shared" si="127"/>
        <v>1566</v>
      </c>
      <c r="N277" s="37">
        <f t="shared" si="128"/>
        <v>20532</v>
      </c>
      <c r="O277" s="22"/>
    </row>
    <row r="278" spans="1:15" ht="17.100000000000001" customHeight="1" x14ac:dyDescent="0.25">
      <c r="A278" s="27">
        <f>IF(C278="","",COUNTA($C$4:C278))</f>
        <v>275</v>
      </c>
      <c r="B278" s="27" t="str">
        <f t="shared" si="125"/>
        <v>September</v>
      </c>
      <c r="C278" s="49">
        <v>45927</v>
      </c>
      <c r="D278" s="21" t="s">
        <v>1831</v>
      </c>
      <c r="E278" s="26" t="s">
        <v>364</v>
      </c>
      <c r="F278" s="21" t="s">
        <v>1832</v>
      </c>
      <c r="G278" s="26" t="s">
        <v>366</v>
      </c>
      <c r="H278" s="26" t="s">
        <v>1833</v>
      </c>
      <c r="I278" s="23">
        <v>2280</v>
      </c>
      <c r="J278" s="47">
        <v>0.18</v>
      </c>
      <c r="K278" s="62">
        <v>0</v>
      </c>
      <c r="L278" s="24">
        <f t="shared" si="126"/>
        <v>205.2</v>
      </c>
      <c r="M278" s="23">
        <f t="shared" si="127"/>
        <v>205.2</v>
      </c>
      <c r="N278" s="37">
        <f t="shared" si="128"/>
        <v>2690.3999999999996</v>
      </c>
      <c r="O278" s="22"/>
    </row>
    <row r="279" spans="1:15" ht="17.100000000000001" customHeight="1" x14ac:dyDescent="0.25">
      <c r="A279" s="27">
        <f>IF(C279="","",COUNTA($C$4:C279))</f>
        <v>276</v>
      </c>
      <c r="B279" s="27" t="str">
        <f t="shared" si="125"/>
        <v>September</v>
      </c>
      <c r="C279" s="49">
        <v>45930</v>
      </c>
      <c r="D279" s="21" t="s">
        <v>1834</v>
      </c>
      <c r="E279" s="26" t="s">
        <v>141</v>
      </c>
      <c r="F279" s="21">
        <v>518</v>
      </c>
      <c r="G279" s="26" t="s">
        <v>1815</v>
      </c>
      <c r="H279" s="26" t="s">
        <v>1816</v>
      </c>
      <c r="I279" s="23">
        <v>15538</v>
      </c>
      <c r="J279" s="47">
        <v>0</v>
      </c>
      <c r="K279" s="62">
        <v>0</v>
      </c>
      <c r="L279" s="24">
        <v>0</v>
      </c>
      <c r="M279" s="23">
        <v>0</v>
      </c>
      <c r="N279" s="37">
        <f t="shared" si="128"/>
        <v>15538</v>
      </c>
      <c r="O279" s="22"/>
    </row>
    <row r="280" spans="1:15" ht="17.100000000000001" customHeight="1" x14ac:dyDescent="0.25">
      <c r="A280" s="27">
        <f>IF(C280="","",COUNTA($C$4:C280))</f>
        <v>277</v>
      </c>
      <c r="B280" s="27" t="str">
        <f t="shared" si="125"/>
        <v>September</v>
      </c>
      <c r="C280" s="49">
        <v>45928</v>
      </c>
      <c r="D280" s="21" t="s">
        <v>1835</v>
      </c>
      <c r="E280" s="26" t="s">
        <v>354</v>
      </c>
      <c r="F280" s="21">
        <v>2410</v>
      </c>
      <c r="G280" s="26" t="s">
        <v>355</v>
      </c>
      <c r="H280" s="26" t="s">
        <v>1836</v>
      </c>
      <c r="I280" s="23">
        <v>2857.14</v>
      </c>
      <c r="J280" s="47">
        <v>0.05</v>
      </c>
      <c r="K280" s="62">
        <v>0</v>
      </c>
      <c r="L280" s="24">
        <f>I280*2.5/100</f>
        <v>71.4285</v>
      </c>
      <c r="M280" s="23">
        <f>I280*2.5/100</f>
        <v>71.4285</v>
      </c>
      <c r="N280" s="37">
        <f t="shared" ref="N280:N284" si="131">+I280+L280+M280</f>
        <v>2999.9969999999998</v>
      </c>
      <c r="O280" s="22"/>
    </row>
    <row r="281" spans="1:15" ht="17.100000000000001" customHeight="1" x14ac:dyDescent="0.25">
      <c r="A281" s="27">
        <f>IF(C281="","",COUNTA($C$4:C281))</f>
        <v>278</v>
      </c>
      <c r="B281" s="27" t="str">
        <f t="shared" si="125"/>
        <v>September</v>
      </c>
      <c r="C281" s="49">
        <v>45930</v>
      </c>
      <c r="D281" s="21" t="s">
        <v>1837</v>
      </c>
      <c r="E281" s="26" t="s">
        <v>1838</v>
      </c>
      <c r="F281" s="21">
        <v>92</v>
      </c>
      <c r="G281" s="26" t="s">
        <v>146</v>
      </c>
      <c r="H281" s="26" t="s">
        <v>1839</v>
      </c>
      <c r="I281" s="23">
        <v>14200</v>
      </c>
      <c r="J281" s="50">
        <v>0.18</v>
      </c>
      <c r="K281" s="62">
        <v>0</v>
      </c>
      <c r="L281" s="24">
        <f t="shared" ref="L281" si="132">I281*9/100</f>
        <v>1278</v>
      </c>
      <c r="M281" s="23">
        <f t="shared" ref="M281" si="133">I281*9/100</f>
        <v>1278</v>
      </c>
      <c r="N281" s="37">
        <f t="shared" si="131"/>
        <v>16756</v>
      </c>
      <c r="O281" s="22"/>
    </row>
    <row r="282" spans="1:15" ht="17.100000000000001" customHeight="1" x14ac:dyDescent="0.25">
      <c r="A282" s="27">
        <f>IF(C282="","",COUNTA($C$4:C282))</f>
        <v>279</v>
      </c>
      <c r="B282" s="27" t="str">
        <f t="shared" si="125"/>
        <v>September</v>
      </c>
      <c r="C282" s="49">
        <v>45930</v>
      </c>
      <c r="D282" s="21" t="s">
        <v>1840</v>
      </c>
      <c r="E282" s="26" t="s">
        <v>448</v>
      </c>
      <c r="F282" s="21">
        <v>234</v>
      </c>
      <c r="G282" s="26" t="s">
        <v>449</v>
      </c>
      <c r="H282" s="26" t="s">
        <v>1841</v>
      </c>
      <c r="I282" s="23">
        <v>86150</v>
      </c>
      <c r="J282" s="47">
        <v>0</v>
      </c>
      <c r="K282" s="24">
        <v>0</v>
      </c>
      <c r="L282" s="24">
        <v>0</v>
      </c>
      <c r="M282" s="23">
        <v>0</v>
      </c>
      <c r="N282" s="37">
        <f t="shared" si="131"/>
        <v>86150</v>
      </c>
      <c r="O282" s="22"/>
    </row>
    <row r="283" spans="1:15" ht="17.100000000000001" customHeight="1" x14ac:dyDescent="0.25">
      <c r="A283" s="27">
        <f>IF(C283="","",COUNTA($C$4:C283))</f>
        <v>280</v>
      </c>
      <c r="B283" s="27" t="str">
        <f t="shared" si="125"/>
        <v>September</v>
      </c>
      <c r="C283" s="49">
        <v>45930</v>
      </c>
      <c r="D283" s="21" t="s">
        <v>1842</v>
      </c>
      <c r="E283" s="26" t="s">
        <v>448</v>
      </c>
      <c r="F283" s="53">
        <v>235</v>
      </c>
      <c r="G283" s="26" t="s">
        <v>449</v>
      </c>
      <c r="H283" s="26" t="s">
        <v>1841</v>
      </c>
      <c r="I283" s="23">
        <v>74750</v>
      </c>
      <c r="J283" s="47">
        <v>0</v>
      </c>
      <c r="K283" s="24">
        <v>0</v>
      </c>
      <c r="L283" s="24">
        <v>0</v>
      </c>
      <c r="M283" s="23">
        <v>0</v>
      </c>
      <c r="N283" s="37">
        <f t="shared" si="131"/>
        <v>74750</v>
      </c>
      <c r="O283" s="22"/>
    </row>
    <row r="284" spans="1:15" ht="17.100000000000001" customHeight="1" x14ac:dyDescent="0.25">
      <c r="A284" s="27">
        <f>IF(C284="","",COUNTA($C$4:C284))</f>
        <v>281</v>
      </c>
      <c r="B284" s="27" t="str">
        <f t="shared" si="125"/>
        <v>September</v>
      </c>
      <c r="C284" s="49">
        <v>45930</v>
      </c>
      <c r="D284" s="21" t="s">
        <v>1843</v>
      </c>
      <c r="E284" s="26" t="s">
        <v>460</v>
      </c>
      <c r="F284" s="21" t="s">
        <v>1844</v>
      </c>
      <c r="G284" s="26" t="s">
        <v>462</v>
      </c>
      <c r="H284" s="26" t="s">
        <v>1841</v>
      </c>
      <c r="I284" s="23">
        <v>8241</v>
      </c>
      <c r="J284" s="47">
        <v>0</v>
      </c>
      <c r="K284" s="24">
        <v>0</v>
      </c>
      <c r="L284" s="24">
        <v>0</v>
      </c>
      <c r="M284" s="23">
        <v>0</v>
      </c>
      <c r="N284" s="37">
        <f t="shared" si="131"/>
        <v>8241</v>
      </c>
      <c r="O284" s="22"/>
    </row>
    <row r="285" spans="1:15" ht="17.100000000000001" customHeight="1" x14ac:dyDescent="0.25">
      <c r="A285" s="27">
        <f>IF(C285="","",COUNTA($C$4:C285))</f>
        <v>282</v>
      </c>
      <c r="B285" s="27" t="str">
        <f t="shared" ref="B285:B286" si="134">IF(C285="","",TEXT(C285,"mmmm"))</f>
        <v>September</v>
      </c>
      <c r="C285" s="49">
        <v>45930</v>
      </c>
      <c r="D285" s="21" t="s">
        <v>1845</v>
      </c>
      <c r="E285" s="26" t="s">
        <v>452</v>
      </c>
      <c r="F285" s="21" t="s">
        <v>1846</v>
      </c>
      <c r="G285" s="26" t="s">
        <v>454</v>
      </c>
      <c r="H285" s="26" t="s">
        <v>1841</v>
      </c>
      <c r="I285" s="23">
        <v>1196</v>
      </c>
      <c r="J285" s="47">
        <v>0.18</v>
      </c>
      <c r="K285" s="24">
        <v>0</v>
      </c>
      <c r="L285" s="24">
        <f t="shared" ref="L285:L308" si="135">I285*9/100</f>
        <v>107.64</v>
      </c>
      <c r="M285" s="23">
        <f t="shared" ref="M285:M308" si="136">I285*9/100</f>
        <v>107.64</v>
      </c>
      <c r="N285" s="37">
        <f t="shared" ref="N285:N307" si="137">+I285+L285+M285</f>
        <v>1411.2800000000002</v>
      </c>
      <c r="O285" s="22"/>
    </row>
    <row r="286" spans="1:15" ht="17.100000000000001" customHeight="1" x14ac:dyDescent="0.25">
      <c r="A286" s="27">
        <f>IF(C286="","",COUNTA($C$4:C286))</f>
        <v>283</v>
      </c>
      <c r="B286" s="27" t="str">
        <f t="shared" si="134"/>
        <v>September</v>
      </c>
      <c r="C286" s="49">
        <v>45930</v>
      </c>
      <c r="D286" s="21" t="s">
        <v>1847</v>
      </c>
      <c r="E286" s="26" t="s">
        <v>1848</v>
      </c>
      <c r="F286" s="21">
        <v>22041765</v>
      </c>
      <c r="G286" s="26" t="s">
        <v>1849</v>
      </c>
      <c r="H286" s="26" t="s">
        <v>1850</v>
      </c>
      <c r="I286" s="23">
        <v>11446.97</v>
      </c>
      <c r="J286" s="47">
        <v>0.18</v>
      </c>
      <c r="K286" s="24">
        <v>0</v>
      </c>
      <c r="L286" s="24">
        <f t="shared" si="135"/>
        <v>1030.2273</v>
      </c>
      <c r="M286" s="23">
        <f t="shared" si="136"/>
        <v>1030.2273</v>
      </c>
      <c r="N286" s="37">
        <f t="shared" si="137"/>
        <v>13507.4246</v>
      </c>
      <c r="O286" s="22"/>
    </row>
    <row r="287" spans="1:15" ht="17.100000000000001" customHeight="1" x14ac:dyDescent="0.25">
      <c r="A287" s="27">
        <f>IF(C287="","",COUNTA($C$4:C287))</f>
        <v>284</v>
      </c>
      <c r="B287" s="27" t="str">
        <f t="shared" si="125"/>
        <v>September</v>
      </c>
      <c r="C287" s="49">
        <v>45930</v>
      </c>
      <c r="D287" s="21" t="s">
        <v>1851</v>
      </c>
      <c r="E287" s="26" t="s">
        <v>1848</v>
      </c>
      <c r="F287" s="21">
        <v>22041795</v>
      </c>
      <c r="G287" s="26" t="s">
        <v>1849</v>
      </c>
      <c r="H287" s="26" t="s">
        <v>1850</v>
      </c>
      <c r="I287" s="23">
        <v>3382.98</v>
      </c>
      <c r="J287" s="47">
        <v>0.18</v>
      </c>
      <c r="K287" s="62">
        <v>0</v>
      </c>
      <c r="L287" s="24">
        <f t="shared" si="135"/>
        <v>304.46820000000002</v>
      </c>
      <c r="M287" s="23">
        <f t="shared" si="136"/>
        <v>304.46820000000002</v>
      </c>
      <c r="N287" s="37">
        <f t="shared" si="137"/>
        <v>3991.9164000000001</v>
      </c>
      <c r="O287" s="22"/>
    </row>
    <row r="288" spans="1:15" ht="17.100000000000001" customHeight="1" x14ac:dyDescent="0.25">
      <c r="A288" s="27">
        <f>IF(C288="","",COUNTA($C$4:C288))</f>
        <v>285</v>
      </c>
      <c r="B288" s="27" t="str">
        <f t="shared" si="125"/>
        <v>September</v>
      </c>
      <c r="C288" s="49">
        <v>45930</v>
      </c>
      <c r="D288" s="21" t="s">
        <v>1852</v>
      </c>
      <c r="E288" s="26" t="s">
        <v>456</v>
      </c>
      <c r="F288" s="21" t="s">
        <v>1853</v>
      </c>
      <c r="G288" s="26" t="s">
        <v>457</v>
      </c>
      <c r="H288" s="39" t="s">
        <v>1854</v>
      </c>
      <c r="I288" s="23">
        <v>1500</v>
      </c>
      <c r="J288" s="47">
        <v>0.18</v>
      </c>
      <c r="K288" s="62">
        <v>0</v>
      </c>
      <c r="L288" s="24">
        <f t="shared" si="135"/>
        <v>135</v>
      </c>
      <c r="M288" s="23">
        <f t="shared" si="136"/>
        <v>135</v>
      </c>
      <c r="N288" s="37">
        <f t="shared" si="137"/>
        <v>1770</v>
      </c>
      <c r="O288" s="22"/>
    </row>
    <row r="289" spans="1:15" ht="17.100000000000001" customHeight="1" x14ac:dyDescent="0.25">
      <c r="A289" s="27">
        <f>IF(C289="","",COUNTA($C$4:C289))</f>
        <v>286</v>
      </c>
      <c r="B289" s="27" t="str">
        <f t="shared" si="125"/>
        <v>September</v>
      </c>
      <c r="C289" s="49">
        <v>45927</v>
      </c>
      <c r="D289" s="21" t="s">
        <v>1855</v>
      </c>
      <c r="E289" s="26" t="s">
        <v>1410</v>
      </c>
      <c r="F289" s="21" t="s">
        <v>1856</v>
      </c>
      <c r="G289" s="26" t="s">
        <v>146</v>
      </c>
      <c r="H289" s="39" t="s">
        <v>1857</v>
      </c>
      <c r="I289" s="23">
        <v>8100</v>
      </c>
      <c r="J289" s="47">
        <v>0.18</v>
      </c>
      <c r="K289" s="62">
        <v>0</v>
      </c>
      <c r="L289" s="24">
        <f t="shared" si="135"/>
        <v>729</v>
      </c>
      <c r="M289" s="23">
        <f t="shared" si="136"/>
        <v>729</v>
      </c>
      <c r="N289" s="37">
        <f t="shared" si="137"/>
        <v>9558</v>
      </c>
      <c r="O289" s="22"/>
    </row>
    <row r="290" spans="1:15" ht="17.100000000000001" customHeight="1" x14ac:dyDescent="0.25">
      <c r="A290" s="27">
        <f>IF(C290="","",COUNTA($C$4:C290))</f>
        <v>287</v>
      </c>
      <c r="B290" s="27" t="str">
        <f t="shared" si="125"/>
        <v>September</v>
      </c>
      <c r="C290" s="49">
        <v>45930</v>
      </c>
      <c r="D290" s="21" t="s">
        <v>1858</v>
      </c>
      <c r="E290" s="26" t="s">
        <v>478</v>
      </c>
      <c r="F290" s="21">
        <v>1363</v>
      </c>
      <c r="G290" s="26" t="s">
        <v>116</v>
      </c>
      <c r="H290" s="26" t="s">
        <v>495</v>
      </c>
      <c r="I290" s="23">
        <v>254057.05</v>
      </c>
      <c r="J290" s="47">
        <v>0.18</v>
      </c>
      <c r="K290" s="62">
        <v>0</v>
      </c>
      <c r="L290" s="24">
        <f t="shared" si="135"/>
        <v>22865.134499999996</v>
      </c>
      <c r="M290" s="23">
        <f t="shared" si="136"/>
        <v>22865.134499999996</v>
      </c>
      <c r="N290" s="37">
        <f t="shared" si="137"/>
        <v>299787.31899999996</v>
      </c>
      <c r="O290" s="22"/>
    </row>
    <row r="291" spans="1:15" ht="17.100000000000001" customHeight="1" x14ac:dyDescent="0.25">
      <c r="A291" s="27">
        <f>IF(C291="","",COUNTA($C$4:C291))</f>
        <v>288</v>
      </c>
      <c r="B291" s="27" t="str">
        <f t="shared" si="125"/>
        <v>September</v>
      </c>
      <c r="C291" s="49">
        <v>45930</v>
      </c>
      <c r="D291" s="21" t="s">
        <v>1859</v>
      </c>
      <c r="E291" s="26" t="s">
        <v>478</v>
      </c>
      <c r="F291" s="21">
        <v>1364</v>
      </c>
      <c r="G291" s="26" t="s">
        <v>116</v>
      </c>
      <c r="H291" s="26" t="s">
        <v>495</v>
      </c>
      <c r="I291" s="23">
        <v>20107.75</v>
      </c>
      <c r="J291" s="47">
        <v>0.18</v>
      </c>
      <c r="K291" s="62">
        <v>0</v>
      </c>
      <c r="L291" s="24">
        <f t="shared" si="135"/>
        <v>1809.6975</v>
      </c>
      <c r="M291" s="23">
        <f t="shared" si="136"/>
        <v>1809.6975</v>
      </c>
      <c r="N291" s="37">
        <f t="shared" si="137"/>
        <v>23727.144999999997</v>
      </c>
      <c r="O291" s="22"/>
    </row>
    <row r="292" spans="1:15" ht="17.100000000000001" customHeight="1" x14ac:dyDescent="0.25">
      <c r="A292" s="27">
        <f>IF(C292="","",COUNTA($C$4:C292))</f>
        <v>289</v>
      </c>
      <c r="B292" s="27" t="str">
        <f t="shared" si="125"/>
        <v>September</v>
      </c>
      <c r="C292" s="49">
        <v>45930</v>
      </c>
      <c r="D292" s="21" t="s">
        <v>1860</v>
      </c>
      <c r="E292" s="26" t="s">
        <v>478</v>
      </c>
      <c r="F292" s="21">
        <v>1365</v>
      </c>
      <c r="G292" s="26" t="s">
        <v>116</v>
      </c>
      <c r="H292" s="26" t="s">
        <v>495</v>
      </c>
      <c r="I292" s="23">
        <v>10612.05</v>
      </c>
      <c r="J292" s="47">
        <v>0.18</v>
      </c>
      <c r="K292" s="62">
        <v>0</v>
      </c>
      <c r="L292" s="24">
        <f t="shared" si="135"/>
        <v>955.08449999999993</v>
      </c>
      <c r="M292" s="23">
        <f t="shared" si="136"/>
        <v>955.08449999999993</v>
      </c>
      <c r="N292" s="37">
        <f t="shared" si="137"/>
        <v>12522.219000000001</v>
      </c>
      <c r="O292" s="22"/>
    </row>
    <row r="293" spans="1:15" ht="17.100000000000001" customHeight="1" x14ac:dyDescent="0.25">
      <c r="A293" s="27">
        <f>IF(C293="","",COUNTA($C$4:C293))</f>
        <v>290</v>
      </c>
      <c r="B293" s="27" t="str">
        <f t="shared" ref="B293" si="138">IF(C293="","",TEXT(C293,"mmmm"))</f>
        <v>September</v>
      </c>
      <c r="C293" s="49">
        <v>45930</v>
      </c>
      <c r="D293" s="21" t="s">
        <v>1861</v>
      </c>
      <c r="E293" s="26" t="s">
        <v>478</v>
      </c>
      <c r="F293" s="21">
        <v>1366</v>
      </c>
      <c r="G293" s="26" t="s">
        <v>116</v>
      </c>
      <c r="H293" s="26" t="s">
        <v>495</v>
      </c>
      <c r="I293" s="23">
        <v>10141.299999999999</v>
      </c>
      <c r="J293" s="47">
        <v>0.18</v>
      </c>
      <c r="K293" s="62">
        <v>0</v>
      </c>
      <c r="L293" s="24">
        <f t="shared" si="135"/>
        <v>912.71699999999998</v>
      </c>
      <c r="M293" s="23">
        <f t="shared" si="136"/>
        <v>912.71699999999998</v>
      </c>
      <c r="N293" s="37">
        <f t="shared" si="137"/>
        <v>11966.734</v>
      </c>
      <c r="O293" s="22"/>
    </row>
    <row r="294" spans="1:15" ht="17.100000000000001" customHeight="1" x14ac:dyDescent="0.25">
      <c r="A294" s="27">
        <f>IF(C294="","",COUNTA($C$4:C294))</f>
        <v>291</v>
      </c>
      <c r="B294" s="27" t="str">
        <f t="shared" ref="B294:B307" si="139">IF(C294="","",TEXT(C294,"mmmm"))</f>
        <v>September</v>
      </c>
      <c r="C294" s="49">
        <v>45930</v>
      </c>
      <c r="D294" s="21" t="s">
        <v>1862</v>
      </c>
      <c r="E294" s="26" t="s">
        <v>478</v>
      </c>
      <c r="F294" s="21">
        <v>1367</v>
      </c>
      <c r="G294" s="26" t="s">
        <v>116</v>
      </c>
      <c r="H294" s="26" t="s">
        <v>953</v>
      </c>
      <c r="I294" s="23">
        <v>1147.02</v>
      </c>
      <c r="J294" s="47">
        <v>0.18</v>
      </c>
      <c r="K294" s="62">
        <v>0</v>
      </c>
      <c r="L294" s="24">
        <f t="shared" si="135"/>
        <v>103.23180000000001</v>
      </c>
      <c r="M294" s="23">
        <f t="shared" si="136"/>
        <v>103.23180000000001</v>
      </c>
      <c r="N294" s="37">
        <f t="shared" si="137"/>
        <v>1353.4836</v>
      </c>
      <c r="O294" s="22"/>
    </row>
    <row r="295" spans="1:15" ht="17.100000000000001" customHeight="1" x14ac:dyDescent="0.25">
      <c r="A295" s="27">
        <f>IF(C295="","",COUNTA($C$4:C295))</f>
        <v>292</v>
      </c>
      <c r="B295" s="27" t="str">
        <f t="shared" si="139"/>
        <v>September</v>
      </c>
      <c r="C295" s="49">
        <v>45930</v>
      </c>
      <c r="D295" s="21" t="s">
        <v>1863</v>
      </c>
      <c r="E295" s="26" t="s">
        <v>478</v>
      </c>
      <c r="F295" s="21">
        <v>1368</v>
      </c>
      <c r="G295" s="26" t="s">
        <v>116</v>
      </c>
      <c r="H295" s="26" t="s">
        <v>479</v>
      </c>
      <c r="I295" s="23">
        <v>176912.69</v>
      </c>
      <c r="J295" s="47">
        <v>0.18</v>
      </c>
      <c r="K295" s="62">
        <v>0</v>
      </c>
      <c r="L295" s="24">
        <f t="shared" si="135"/>
        <v>15922.142099999999</v>
      </c>
      <c r="M295" s="23">
        <f t="shared" si="136"/>
        <v>15922.142099999999</v>
      </c>
      <c r="N295" s="37">
        <f t="shared" si="137"/>
        <v>208756.9742</v>
      </c>
      <c r="O295" s="22"/>
    </row>
    <row r="296" spans="1:15" ht="17.100000000000001" customHeight="1" x14ac:dyDescent="0.25">
      <c r="A296" s="27">
        <f>IF(C296="","",COUNTA($C$4:C296))</f>
        <v>293</v>
      </c>
      <c r="B296" s="27" t="str">
        <f t="shared" si="139"/>
        <v>September</v>
      </c>
      <c r="C296" s="49">
        <v>45930</v>
      </c>
      <c r="D296" s="21" t="s">
        <v>1864</v>
      </c>
      <c r="E296" s="26" t="s">
        <v>478</v>
      </c>
      <c r="F296" s="21">
        <v>1369</v>
      </c>
      <c r="G296" s="26" t="s">
        <v>116</v>
      </c>
      <c r="H296" s="26" t="s">
        <v>1320</v>
      </c>
      <c r="I296" s="23">
        <v>272602.99</v>
      </c>
      <c r="J296" s="47">
        <v>0.18</v>
      </c>
      <c r="K296" s="62">
        <v>0</v>
      </c>
      <c r="L296" s="24">
        <f t="shared" si="135"/>
        <v>24534.269100000001</v>
      </c>
      <c r="M296" s="23">
        <f t="shared" si="136"/>
        <v>24534.269100000001</v>
      </c>
      <c r="N296" s="37">
        <f t="shared" si="137"/>
        <v>321671.52819999994</v>
      </c>
      <c r="O296" s="22"/>
    </row>
    <row r="297" spans="1:15" ht="17.100000000000001" customHeight="1" x14ac:dyDescent="0.25">
      <c r="A297" s="27">
        <f>IF(C297="","",COUNTA($C$4:C297))</f>
        <v>294</v>
      </c>
      <c r="B297" s="27" t="str">
        <f t="shared" si="139"/>
        <v>September</v>
      </c>
      <c r="C297" s="49">
        <v>45930</v>
      </c>
      <c r="D297" s="21" t="s">
        <v>1865</v>
      </c>
      <c r="E297" s="26" t="s">
        <v>478</v>
      </c>
      <c r="F297" s="21">
        <v>1370</v>
      </c>
      <c r="G297" s="26" t="s">
        <v>116</v>
      </c>
      <c r="H297" s="26" t="s">
        <v>1320</v>
      </c>
      <c r="I297" s="23">
        <v>93747.04</v>
      </c>
      <c r="J297" s="47">
        <v>0.18</v>
      </c>
      <c r="K297" s="62">
        <v>0</v>
      </c>
      <c r="L297" s="24">
        <f t="shared" si="135"/>
        <v>8437.2335999999996</v>
      </c>
      <c r="M297" s="23">
        <f t="shared" si="136"/>
        <v>8437.2335999999996</v>
      </c>
      <c r="N297" s="37">
        <f t="shared" si="137"/>
        <v>110621.50719999999</v>
      </c>
      <c r="O297" s="22"/>
    </row>
    <row r="298" spans="1:15" ht="17.100000000000001" customHeight="1" x14ac:dyDescent="0.25">
      <c r="A298" s="27">
        <f>IF(C298="","",COUNTA($C$4:C298))</f>
        <v>295</v>
      </c>
      <c r="B298" s="27" t="str">
        <f t="shared" si="139"/>
        <v>September</v>
      </c>
      <c r="C298" s="49">
        <v>45930</v>
      </c>
      <c r="D298" s="21" t="s">
        <v>1866</v>
      </c>
      <c r="E298" s="26" t="s">
        <v>478</v>
      </c>
      <c r="F298" s="21">
        <v>1371</v>
      </c>
      <c r="G298" s="26" t="s">
        <v>116</v>
      </c>
      <c r="H298" s="26" t="s">
        <v>1320</v>
      </c>
      <c r="I298" s="23">
        <v>137991.62</v>
      </c>
      <c r="J298" s="47">
        <v>0.18</v>
      </c>
      <c r="K298" s="62">
        <v>0</v>
      </c>
      <c r="L298" s="24">
        <f t="shared" si="135"/>
        <v>12419.245800000001</v>
      </c>
      <c r="M298" s="23">
        <f t="shared" si="136"/>
        <v>12419.245800000001</v>
      </c>
      <c r="N298" s="37">
        <f t="shared" si="137"/>
        <v>162830.1116</v>
      </c>
      <c r="O298" s="22"/>
    </row>
    <row r="299" spans="1:15" ht="17.100000000000001" customHeight="1" x14ac:dyDescent="0.25">
      <c r="A299" s="27">
        <f>IF(C299="","",COUNTA($C$4:C299))</f>
        <v>296</v>
      </c>
      <c r="B299" s="27" t="str">
        <f t="shared" si="139"/>
        <v>September</v>
      </c>
      <c r="C299" s="49">
        <v>45930</v>
      </c>
      <c r="D299" s="21" t="s">
        <v>1867</v>
      </c>
      <c r="E299" s="26" t="s">
        <v>478</v>
      </c>
      <c r="F299" s="21">
        <v>1372</v>
      </c>
      <c r="G299" s="26" t="s">
        <v>116</v>
      </c>
      <c r="H299" s="26" t="s">
        <v>1320</v>
      </c>
      <c r="I299" s="23">
        <v>19826.38</v>
      </c>
      <c r="J299" s="47">
        <v>0.18</v>
      </c>
      <c r="K299" s="62">
        <v>0</v>
      </c>
      <c r="L299" s="24">
        <f t="shared" si="135"/>
        <v>1784.3742000000002</v>
      </c>
      <c r="M299" s="23">
        <f t="shared" si="136"/>
        <v>1784.3742000000002</v>
      </c>
      <c r="N299" s="37">
        <f t="shared" si="137"/>
        <v>23395.128400000001</v>
      </c>
      <c r="O299" s="22"/>
    </row>
    <row r="300" spans="1:15" ht="17.100000000000001" customHeight="1" x14ac:dyDescent="0.25">
      <c r="A300" s="27">
        <f>IF(C300="","",COUNTA($C$4:C300))</f>
        <v>297</v>
      </c>
      <c r="B300" s="27" t="str">
        <f t="shared" si="139"/>
        <v>September</v>
      </c>
      <c r="C300" s="49">
        <v>45930</v>
      </c>
      <c r="D300" s="21" t="s">
        <v>1868</v>
      </c>
      <c r="E300" s="26" t="s">
        <v>478</v>
      </c>
      <c r="F300" s="21">
        <v>1373</v>
      </c>
      <c r="G300" s="26" t="s">
        <v>116</v>
      </c>
      <c r="H300" s="26" t="s">
        <v>495</v>
      </c>
      <c r="I300" s="23">
        <v>9293.9500000000007</v>
      </c>
      <c r="J300" s="47">
        <v>0.18</v>
      </c>
      <c r="K300" s="62">
        <v>0</v>
      </c>
      <c r="L300" s="24">
        <f t="shared" si="135"/>
        <v>836.45550000000003</v>
      </c>
      <c r="M300" s="23">
        <f t="shared" si="136"/>
        <v>836.45550000000003</v>
      </c>
      <c r="N300" s="37">
        <f t="shared" si="137"/>
        <v>10966.861000000001</v>
      </c>
      <c r="O300" s="22"/>
    </row>
    <row r="301" spans="1:15" ht="17.100000000000001" customHeight="1" x14ac:dyDescent="0.25">
      <c r="A301" s="27">
        <f>IF(C301="","",COUNTA($C$4:C301))</f>
        <v>298</v>
      </c>
      <c r="B301" s="27" t="str">
        <f t="shared" si="139"/>
        <v>September</v>
      </c>
      <c r="C301" s="49">
        <v>45930</v>
      </c>
      <c r="D301" s="21" t="s">
        <v>1869</v>
      </c>
      <c r="E301" s="26" t="s">
        <v>478</v>
      </c>
      <c r="F301" s="21">
        <v>1374</v>
      </c>
      <c r="G301" s="26" t="s">
        <v>116</v>
      </c>
      <c r="H301" s="26" t="s">
        <v>1870</v>
      </c>
      <c r="I301" s="23">
        <v>51594.2</v>
      </c>
      <c r="J301" s="47">
        <v>0.18</v>
      </c>
      <c r="K301" s="62">
        <v>0</v>
      </c>
      <c r="L301" s="24">
        <f t="shared" si="135"/>
        <v>4643.4780000000001</v>
      </c>
      <c r="M301" s="23">
        <f t="shared" si="136"/>
        <v>4643.4780000000001</v>
      </c>
      <c r="N301" s="37">
        <f t="shared" si="137"/>
        <v>60881.156000000003</v>
      </c>
      <c r="O301" s="22"/>
    </row>
    <row r="302" spans="1:15" ht="17.100000000000001" customHeight="1" x14ac:dyDescent="0.25">
      <c r="A302" s="27">
        <f>IF(C302="","",COUNTA($C$4:C302))</f>
        <v>299</v>
      </c>
      <c r="B302" s="27" t="str">
        <f t="shared" si="139"/>
        <v>September</v>
      </c>
      <c r="C302" s="49">
        <v>45930</v>
      </c>
      <c r="D302" s="21" t="s">
        <v>1871</v>
      </c>
      <c r="E302" s="26" t="s">
        <v>1510</v>
      </c>
      <c r="F302" s="21">
        <v>1375</v>
      </c>
      <c r="G302" s="48" t="s">
        <v>116</v>
      </c>
      <c r="H302" s="26" t="s">
        <v>707</v>
      </c>
      <c r="I302" s="23">
        <v>12427.8</v>
      </c>
      <c r="J302" s="47">
        <v>0.18</v>
      </c>
      <c r="K302" s="62">
        <v>0</v>
      </c>
      <c r="L302" s="24">
        <f t="shared" si="135"/>
        <v>1118.502</v>
      </c>
      <c r="M302" s="23">
        <f t="shared" si="136"/>
        <v>1118.502</v>
      </c>
      <c r="N302" s="37">
        <f t="shared" si="137"/>
        <v>14664.804</v>
      </c>
      <c r="O302" s="22"/>
    </row>
    <row r="303" spans="1:15" ht="17.100000000000001" customHeight="1" x14ac:dyDescent="0.25">
      <c r="A303" s="27">
        <f>IF(C303="","",COUNTA($C$4:C303))</f>
        <v>300</v>
      </c>
      <c r="B303" s="27" t="str">
        <f t="shared" si="139"/>
        <v>September</v>
      </c>
      <c r="C303" s="49">
        <v>45930</v>
      </c>
      <c r="D303" s="21" t="s">
        <v>1872</v>
      </c>
      <c r="E303" s="26" t="s">
        <v>1510</v>
      </c>
      <c r="F303" s="21">
        <v>1376</v>
      </c>
      <c r="G303" s="48" t="s">
        <v>116</v>
      </c>
      <c r="H303" s="26" t="s">
        <v>1320</v>
      </c>
      <c r="I303" s="23">
        <v>82560.399999999994</v>
      </c>
      <c r="J303" s="47">
        <v>0.18</v>
      </c>
      <c r="K303" s="62">
        <v>0</v>
      </c>
      <c r="L303" s="24">
        <f t="shared" si="135"/>
        <v>7430.4359999999997</v>
      </c>
      <c r="M303" s="23">
        <f t="shared" si="136"/>
        <v>7430.4359999999997</v>
      </c>
      <c r="N303" s="37">
        <f t="shared" si="137"/>
        <v>97421.271999999997</v>
      </c>
      <c r="O303" s="22"/>
    </row>
    <row r="304" spans="1:15" ht="17.100000000000001" customHeight="1" x14ac:dyDescent="0.25">
      <c r="A304" s="27">
        <f>IF(C304="","",COUNTA($C$4:C304))</f>
        <v>301</v>
      </c>
      <c r="B304" s="27" t="str">
        <f t="shared" si="139"/>
        <v>September</v>
      </c>
      <c r="C304" s="49">
        <v>45930</v>
      </c>
      <c r="D304" s="21" t="s">
        <v>1873</v>
      </c>
      <c r="E304" s="26" t="s">
        <v>478</v>
      </c>
      <c r="F304" s="21">
        <v>1377</v>
      </c>
      <c r="G304" s="48" t="s">
        <v>1874</v>
      </c>
      <c r="H304" s="26" t="s">
        <v>1320</v>
      </c>
      <c r="I304" s="23">
        <v>23356.73</v>
      </c>
      <c r="J304" s="47">
        <v>0.18</v>
      </c>
      <c r="K304" s="62">
        <v>0</v>
      </c>
      <c r="L304" s="24">
        <f t="shared" si="135"/>
        <v>2102.1057000000001</v>
      </c>
      <c r="M304" s="23">
        <f t="shared" si="136"/>
        <v>2102.1057000000001</v>
      </c>
      <c r="N304" s="37">
        <f t="shared" si="137"/>
        <v>27560.9414</v>
      </c>
      <c r="O304" s="22"/>
    </row>
    <row r="305" spans="1:15" ht="17.100000000000001" customHeight="1" x14ac:dyDescent="0.25">
      <c r="A305" s="27">
        <f>IF(C305="","",COUNTA($C$4:C305))</f>
        <v>302</v>
      </c>
      <c r="B305" s="27" t="str">
        <f t="shared" si="139"/>
        <v>September</v>
      </c>
      <c r="C305" s="49">
        <v>45930</v>
      </c>
      <c r="D305" s="21" t="s">
        <v>1875</v>
      </c>
      <c r="E305" s="26" t="s">
        <v>1510</v>
      </c>
      <c r="F305" s="21">
        <v>1378</v>
      </c>
      <c r="G305" s="48" t="s">
        <v>1874</v>
      </c>
      <c r="H305" s="26" t="s">
        <v>1876</v>
      </c>
      <c r="I305" s="23">
        <v>27401.42</v>
      </c>
      <c r="J305" s="47">
        <v>0.18</v>
      </c>
      <c r="K305" s="62">
        <v>0</v>
      </c>
      <c r="L305" s="24">
        <f t="shared" si="135"/>
        <v>2466.1277999999998</v>
      </c>
      <c r="M305" s="23">
        <f t="shared" si="136"/>
        <v>2466.1277999999998</v>
      </c>
      <c r="N305" s="37">
        <f t="shared" si="137"/>
        <v>32333.675599999995</v>
      </c>
      <c r="O305" s="22"/>
    </row>
    <row r="306" spans="1:15" ht="17.100000000000001" customHeight="1" x14ac:dyDescent="0.25">
      <c r="A306" s="27">
        <f>IF(C306="","",COUNTA($C$4:C306))</f>
        <v>303</v>
      </c>
      <c r="B306" s="27" t="str">
        <f t="shared" si="139"/>
        <v>September</v>
      </c>
      <c r="C306" s="49">
        <v>45930</v>
      </c>
      <c r="D306" s="21" t="s">
        <v>1877</v>
      </c>
      <c r="E306" s="26" t="s">
        <v>478</v>
      </c>
      <c r="F306" s="21">
        <v>1379</v>
      </c>
      <c r="G306" s="48" t="s">
        <v>116</v>
      </c>
      <c r="H306" s="26" t="s">
        <v>938</v>
      </c>
      <c r="I306" s="23">
        <v>180273.04</v>
      </c>
      <c r="J306" s="47">
        <v>0.18</v>
      </c>
      <c r="K306" s="62">
        <v>0</v>
      </c>
      <c r="L306" s="24">
        <f t="shared" si="135"/>
        <v>16224.573600000002</v>
      </c>
      <c r="M306" s="23">
        <f t="shared" si="136"/>
        <v>16224.573600000002</v>
      </c>
      <c r="N306" s="37">
        <f t="shared" si="137"/>
        <v>212722.18720000001</v>
      </c>
      <c r="O306" s="22"/>
    </row>
    <row r="307" spans="1:15" ht="17.100000000000001" customHeight="1" x14ac:dyDescent="0.25">
      <c r="A307" s="27">
        <f>IF(C307="","",COUNTA($C$4:C307))</f>
        <v>304</v>
      </c>
      <c r="B307" s="27" t="str">
        <f t="shared" si="139"/>
        <v>September</v>
      </c>
      <c r="C307" s="49">
        <v>45930</v>
      </c>
      <c r="D307" s="21" t="s">
        <v>1878</v>
      </c>
      <c r="E307" s="26" t="s">
        <v>1510</v>
      </c>
      <c r="F307" s="21">
        <v>1380</v>
      </c>
      <c r="G307" s="26" t="s">
        <v>116</v>
      </c>
      <c r="H307" s="26" t="s">
        <v>938</v>
      </c>
      <c r="I307" s="23">
        <v>50489.15</v>
      </c>
      <c r="J307" s="47">
        <v>0.18</v>
      </c>
      <c r="K307" s="62">
        <v>0</v>
      </c>
      <c r="L307" s="24">
        <f t="shared" si="135"/>
        <v>4544.0235000000002</v>
      </c>
      <c r="M307" s="23">
        <f t="shared" si="136"/>
        <v>4544.0235000000002</v>
      </c>
      <c r="N307" s="37">
        <f t="shared" si="137"/>
        <v>59577.197000000007</v>
      </c>
      <c r="O307" s="22"/>
    </row>
    <row r="308" spans="1:15" ht="17.100000000000001" customHeight="1" x14ac:dyDescent="0.25">
      <c r="A308" s="27">
        <f>IF(C308="","",COUNTA($C$4:C308))</f>
        <v>305</v>
      </c>
      <c r="B308" s="27" t="str">
        <f t="shared" ref="B308:B309" si="140">IF(C308="","",TEXT(C308,"mmmm"))</f>
        <v>September</v>
      </c>
      <c r="C308" s="49">
        <v>45924</v>
      </c>
      <c r="D308" s="21" t="s">
        <v>1879</v>
      </c>
      <c r="E308" s="26" t="s">
        <v>853</v>
      </c>
      <c r="F308" s="21" t="s">
        <v>1880</v>
      </c>
      <c r="G308" s="26" t="s">
        <v>855</v>
      </c>
      <c r="H308" s="26" t="s">
        <v>856</v>
      </c>
      <c r="I308" s="23">
        <v>3600</v>
      </c>
      <c r="J308" s="47">
        <v>0.18</v>
      </c>
      <c r="K308" s="62">
        <v>0</v>
      </c>
      <c r="L308" s="24">
        <f t="shared" si="135"/>
        <v>324</v>
      </c>
      <c r="M308" s="23">
        <f t="shared" si="136"/>
        <v>324</v>
      </c>
      <c r="N308" s="37">
        <f>+I308+L308+M308+311</f>
        <v>4559</v>
      </c>
      <c r="O308" s="22"/>
    </row>
    <row r="309" spans="1:15" ht="17.100000000000001" customHeight="1" x14ac:dyDescent="0.25">
      <c r="A309" s="27">
        <f>IF(C309="","",COUNTA($C$4:C309))</f>
        <v>306</v>
      </c>
      <c r="B309" s="27" t="str">
        <f t="shared" si="140"/>
        <v>October</v>
      </c>
      <c r="C309" s="49">
        <v>45960</v>
      </c>
      <c r="D309" s="21" t="s">
        <v>1881</v>
      </c>
      <c r="E309" s="26" t="s">
        <v>1882</v>
      </c>
      <c r="F309" s="21">
        <v>870609</v>
      </c>
      <c r="G309" s="26" t="s">
        <v>1883</v>
      </c>
      <c r="H309" s="26" t="s">
        <v>1884</v>
      </c>
      <c r="I309" s="23">
        <v>135000</v>
      </c>
      <c r="J309" s="47">
        <v>0</v>
      </c>
      <c r="K309" s="62">
        <v>0</v>
      </c>
      <c r="L309" s="24"/>
      <c r="M309" s="23">
        <v>0</v>
      </c>
      <c r="N309" s="37">
        <f>+I309+L309+M309</f>
        <v>135000</v>
      </c>
      <c r="O309" s="22"/>
    </row>
    <row r="310" spans="1:15" ht="17.100000000000001" customHeight="1" x14ac:dyDescent="0.25">
      <c r="A310" s="27">
        <f>IF(C310="","",COUNTA($C$4:C310))</f>
        <v>307</v>
      </c>
      <c r="B310" s="27" t="str">
        <f t="shared" si="125"/>
        <v>October</v>
      </c>
      <c r="C310" s="49">
        <v>45960</v>
      </c>
      <c r="D310" s="21" t="s">
        <v>1885</v>
      </c>
      <c r="E310" s="26" t="s">
        <v>1882</v>
      </c>
      <c r="F310" s="21">
        <v>870610</v>
      </c>
      <c r="G310" s="26" t="s">
        <v>1883</v>
      </c>
      <c r="H310" s="26" t="s">
        <v>1886</v>
      </c>
      <c r="I310" s="23">
        <v>135000</v>
      </c>
      <c r="J310" s="47">
        <v>0</v>
      </c>
      <c r="K310" s="62">
        <v>0</v>
      </c>
      <c r="L310" s="24"/>
      <c r="M310" s="23">
        <v>0</v>
      </c>
      <c r="N310" s="37">
        <f>+I310+L310+M310</f>
        <v>135000</v>
      </c>
      <c r="O310" s="22"/>
    </row>
    <row r="311" spans="1:15" ht="17.100000000000001" customHeight="1" x14ac:dyDescent="0.25">
      <c r="A311" s="27">
        <f>IF(C311="","",COUNTA($C$4:C311))</f>
        <v>308</v>
      </c>
      <c r="B311" s="27" t="str">
        <f t="shared" si="125"/>
        <v>October</v>
      </c>
      <c r="C311" s="49">
        <v>45932</v>
      </c>
      <c r="D311" s="96" t="s">
        <v>1887</v>
      </c>
      <c r="E311" s="26" t="s">
        <v>1266</v>
      </c>
      <c r="F311" s="21">
        <v>566</v>
      </c>
      <c r="G311" s="26" t="s">
        <v>392</v>
      </c>
      <c r="H311" s="26" t="s">
        <v>1841</v>
      </c>
      <c r="I311" s="23">
        <v>149584</v>
      </c>
      <c r="J311" s="47">
        <v>0.18</v>
      </c>
      <c r="K311" s="62">
        <v>0</v>
      </c>
      <c r="L311" s="24">
        <f t="shared" ref="L311" si="141">I311*9/100</f>
        <v>13462.56</v>
      </c>
      <c r="M311" s="23">
        <f t="shared" ref="M311" si="142">I311*9/100</f>
        <v>13462.56</v>
      </c>
      <c r="N311" s="37">
        <f t="shared" ref="N311:N314" si="143">+I311+L311+M311</f>
        <v>176509.12</v>
      </c>
      <c r="O311" s="22"/>
    </row>
    <row r="312" spans="1:15" ht="17.100000000000001" customHeight="1" x14ac:dyDescent="0.25">
      <c r="A312" s="27">
        <f>IF(C312="","",COUNTA($C$4:C312))</f>
        <v>309</v>
      </c>
      <c r="B312" s="27" t="str">
        <f t="shared" si="125"/>
        <v>October</v>
      </c>
      <c r="C312" s="49">
        <v>45933</v>
      </c>
      <c r="D312" s="96" t="s">
        <v>1888</v>
      </c>
      <c r="E312" s="26" t="s">
        <v>354</v>
      </c>
      <c r="F312" s="21">
        <v>2467</v>
      </c>
      <c r="G312" s="26" t="s">
        <v>355</v>
      </c>
      <c r="H312" s="26" t="s">
        <v>1889</v>
      </c>
      <c r="I312" s="23">
        <v>1714.29</v>
      </c>
      <c r="J312" s="47">
        <v>0.05</v>
      </c>
      <c r="K312" s="62">
        <v>0</v>
      </c>
      <c r="L312" s="24">
        <f>I312*2.5/100</f>
        <v>42.857250000000001</v>
      </c>
      <c r="M312" s="23">
        <f>I312*2.5/100</f>
        <v>42.857250000000001</v>
      </c>
      <c r="N312" s="37">
        <f t="shared" si="143"/>
        <v>1800.0045</v>
      </c>
      <c r="O312" s="22"/>
    </row>
    <row r="313" spans="1:15" ht="17.100000000000001" customHeight="1" x14ac:dyDescent="0.25">
      <c r="A313" s="27">
        <f>IF(C313="","",COUNTA($C$4:C313))</f>
        <v>310</v>
      </c>
      <c r="B313" s="27" t="str">
        <f t="shared" si="125"/>
        <v>October</v>
      </c>
      <c r="C313" s="49">
        <v>45933</v>
      </c>
      <c r="D313" s="96" t="s">
        <v>1890</v>
      </c>
      <c r="E313" s="26" t="s">
        <v>111</v>
      </c>
      <c r="F313" s="53" t="s">
        <v>1891</v>
      </c>
      <c r="G313" s="26" t="s">
        <v>472</v>
      </c>
      <c r="H313" s="26" t="s">
        <v>1841</v>
      </c>
      <c r="I313" s="23">
        <v>149201</v>
      </c>
      <c r="J313" s="47">
        <v>0</v>
      </c>
      <c r="K313" s="62">
        <v>0</v>
      </c>
      <c r="L313" s="24">
        <v>0</v>
      </c>
      <c r="M313" s="23">
        <v>0</v>
      </c>
      <c r="N313" s="37">
        <f t="shared" si="143"/>
        <v>149201</v>
      </c>
      <c r="O313" s="22"/>
    </row>
    <row r="314" spans="1:15" ht="17.100000000000001" customHeight="1" x14ac:dyDescent="0.25">
      <c r="A314" s="27">
        <f>IF(C314="","",COUNTA($C$4:C314))</f>
        <v>311</v>
      </c>
      <c r="B314" s="27" t="str">
        <f t="shared" si="125"/>
        <v>October</v>
      </c>
      <c r="C314" s="49">
        <v>45941</v>
      </c>
      <c r="D314" s="96" t="s">
        <v>1892</v>
      </c>
      <c r="E314" s="26" t="s">
        <v>1893</v>
      </c>
      <c r="F314" s="21" t="s">
        <v>1894</v>
      </c>
      <c r="G314" s="26" t="s">
        <v>146</v>
      </c>
      <c r="H314" s="26" t="s">
        <v>1895</v>
      </c>
      <c r="I314" s="23">
        <v>5500</v>
      </c>
      <c r="J314" s="50">
        <v>0</v>
      </c>
      <c r="K314" s="62">
        <v>0</v>
      </c>
      <c r="L314" s="24">
        <v>0</v>
      </c>
      <c r="M314" s="23">
        <v>0</v>
      </c>
      <c r="N314" s="37">
        <f t="shared" si="143"/>
        <v>5500</v>
      </c>
      <c r="O314" s="22"/>
    </row>
    <row r="315" spans="1:15" ht="17.100000000000001" customHeight="1" x14ac:dyDescent="0.25">
      <c r="A315" s="27">
        <f>IF(C315="","",COUNTA($C$4:C315))</f>
        <v>312</v>
      </c>
      <c r="B315" s="27" t="str">
        <f t="shared" si="125"/>
        <v>October</v>
      </c>
      <c r="C315" s="49">
        <v>45941</v>
      </c>
      <c r="D315" s="96" t="s">
        <v>1896</v>
      </c>
      <c r="E315" s="26" t="s">
        <v>783</v>
      </c>
      <c r="F315" s="21" t="s">
        <v>1897</v>
      </c>
      <c r="G315" s="26" t="s">
        <v>583</v>
      </c>
      <c r="H315" s="26" t="s">
        <v>1841</v>
      </c>
      <c r="I315" s="23">
        <v>717730</v>
      </c>
      <c r="J315" s="50">
        <v>0.18</v>
      </c>
      <c r="K315" s="62">
        <v>0</v>
      </c>
      <c r="L315" s="24">
        <f t="shared" ref="L315:L317" si="144">I315*9/100</f>
        <v>64595.7</v>
      </c>
      <c r="M315" s="23">
        <f t="shared" ref="M315:M317" si="145">I315*9/100</f>
        <v>64595.7</v>
      </c>
      <c r="N315" s="37">
        <f t="shared" ref="N315:N318" si="146">+I315+L315+M315</f>
        <v>846921.39999999991</v>
      </c>
      <c r="O315" s="22"/>
    </row>
    <row r="316" spans="1:15" ht="17.100000000000001" customHeight="1" x14ac:dyDescent="0.25">
      <c r="A316" s="27">
        <f>IF(C316="","",COUNTA($C$4:C316))</f>
        <v>313</v>
      </c>
      <c r="B316" s="27" t="str">
        <f t="shared" si="125"/>
        <v>October</v>
      </c>
      <c r="C316" s="49">
        <v>45941</v>
      </c>
      <c r="D316" s="96" t="s">
        <v>1898</v>
      </c>
      <c r="E316" s="26" t="s">
        <v>783</v>
      </c>
      <c r="F316" s="21" t="s">
        <v>1899</v>
      </c>
      <c r="G316" s="26" t="s">
        <v>583</v>
      </c>
      <c r="H316" s="26" t="s">
        <v>1900</v>
      </c>
      <c r="I316" s="23">
        <v>192435</v>
      </c>
      <c r="J316" s="50">
        <v>0.18</v>
      </c>
      <c r="K316" s="62">
        <v>0</v>
      </c>
      <c r="L316" s="24">
        <f t="shared" si="144"/>
        <v>17319.150000000001</v>
      </c>
      <c r="M316" s="23">
        <f t="shared" si="145"/>
        <v>17319.150000000001</v>
      </c>
      <c r="N316" s="37">
        <f t="shared" si="146"/>
        <v>227073.3</v>
      </c>
      <c r="O316" s="22"/>
    </row>
    <row r="317" spans="1:15" ht="17.100000000000001" customHeight="1" x14ac:dyDescent="0.25">
      <c r="A317" s="27">
        <f>IF(C317="","",COUNTA($C$4:C317))</f>
        <v>314</v>
      </c>
      <c r="B317" s="27" t="str">
        <f t="shared" si="125"/>
        <v>October</v>
      </c>
      <c r="C317" s="49">
        <v>45943</v>
      </c>
      <c r="D317" s="96" t="s">
        <v>1901</v>
      </c>
      <c r="E317" s="26" t="s">
        <v>1902</v>
      </c>
      <c r="F317" s="21" t="s">
        <v>1903</v>
      </c>
      <c r="G317" s="26" t="s">
        <v>457</v>
      </c>
      <c r="H317" s="26" t="s">
        <v>1904</v>
      </c>
      <c r="I317" s="23">
        <v>210000</v>
      </c>
      <c r="J317" s="50">
        <v>0.18</v>
      </c>
      <c r="K317" s="62">
        <v>0</v>
      </c>
      <c r="L317" s="24">
        <f t="shared" si="144"/>
        <v>18900</v>
      </c>
      <c r="M317" s="23">
        <f t="shared" si="145"/>
        <v>18900</v>
      </c>
      <c r="N317" s="37">
        <f t="shared" si="146"/>
        <v>247800</v>
      </c>
      <c r="O317" s="22"/>
    </row>
    <row r="318" spans="1:15" ht="17.100000000000001" customHeight="1" x14ac:dyDescent="0.25">
      <c r="A318" s="27">
        <f>IF(C318="","",COUNTA($C$4:C318))</f>
        <v>315</v>
      </c>
      <c r="B318" s="27" t="str">
        <f t="shared" si="125"/>
        <v>October</v>
      </c>
      <c r="C318" s="49">
        <v>45945</v>
      </c>
      <c r="D318" s="21" t="s">
        <v>1905</v>
      </c>
      <c r="E318" s="26" t="s">
        <v>141</v>
      </c>
      <c r="F318" s="21">
        <v>558</v>
      </c>
      <c r="G318" s="26" t="s">
        <v>142</v>
      </c>
      <c r="H318" s="26" t="s">
        <v>1906</v>
      </c>
      <c r="I318" s="23">
        <v>14512</v>
      </c>
      <c r="J318" s="50">
        <v>0</v>
      </c>
      <c r="K318" s="62">
        <v>0</v>
      </c>
      <c r="L318" s="24">
        <v>0</v>
      </c>
      <c r="M318" s="23">
        <v>0</v>
      </c>
      <c r="N318" s="37">
        <f t="shared" si="146"/>
        <v>14512</v>
      </c>
      <c r="O318" s="22"/>
    </row>
    <row r="319" spans="1:15" ht="17.100000000000001" customHeight="1" x14ac:dyDescent="0.25">
      <c r="A319" s="27">
        <f>IF(C319="","",COUNTA($C$4:C319))</f>
        <v>316</v>
      </c>
      <c r="B319" s="27" t="str">
        <f t="shared" si="125"/>
        <v>October</v>
      </c>
      <c r="C319" s="49">
        <v>45941</v>
      </c>
      <c r="D319" s="21" t="s">
        <v>1974</v>
      </c>
      <c r="E319" s="26" t="s">
        <v>548</v>
      </c>
      <c r="F319" s="21" t="s">
        <v>1975</v>
      </c>
      <c r="G319" s="26" t="s">
        <v>1976</v>
      </c>
      <c r="H319" s="26" t="s">
        <v>1977</v>
      </c>
      <c r="I319" s="23">
        <v>338355.96</v>
      </c>
      <c r="J319" s="50">
        <v>0.18</v>
      </c>
      <c r="K319" s="62">
        <v>0</v>
      </c>
      <c r="L319" s="24">
        <f t="shared" ref="L319:L322" si="147">I319*9/100</f>
        <v>30452.036400000001</v>
      </c>
      <c r="M319" s="23">
        <f t="shared" ref="M319:M322" si="148">I319*9/100</f>
        <v>30452.036400000001</v>
      </c>
      <c r="N319" s="37">
        <f t="shared" ref="N319:N329" si="149">+I319+L319+M319</f>
        <v>399260.03279999999</v>
      </c>
      <c r="O319" s="22"/>
    </row>
    <row r="320" spans="1:15" ht="17.100000000000001" customHeight="1" x14ac:dyDescent="0.25">
      <c r="A320" s="27">
        <f>IF(C320="","",COUNTA($C$4:C320))</f>
        <v>317</v>
      </c>
      <c r="B320" s="27" t="str">
        <f t="shared" si="125"/>
        <v>October</v>
      </c>
      <c r="C320" s="49">
        <v>45944</v>
      </c>
      <c r="D320" s="21" t="s">
        <v>1978</v>
      </c>
      <c r="E320" s="26" t="s">
        <v>548</v>
      </c>
      <c r="F320" s="21" t="s">
        <v>1979</v>
      </c>
      <c r="G320" s="26" t="s">
        <v>583</v>
      </c>
      <c r="H320" s="26" t="s">
        <v>1841</v>
      </c>
      <c r="I320" s="23">
        <v>661434.97</v>
      </c>
      <c r="J320" s="50">
        <v>0.18</v>
      </c>
      <c r="K320" s="62">
        <v>0</v>
      </c>
      <c r="L320" s="24">
        <f t="shared" si="147"/>
        <v>59529.147299999997</v>
      </c>
      <c r="M320" s="23">
        <f t="shared" si="148"/>
        <v>59529.147299999997</v>
      </c>
      <c r="N320" s="37">
        <f t="shared" si="149"/>
        <v>780493.26459999988</v>
      </c>
      <c r="O320" s="22"/>
    </row>
    <row r="321" spans="1:15" ht="17.100000000000001" customHeight="1" x14ac:dyDescent="0.25">
      <c r="A321" s="27">
        <f>IF(C321="","",COUNTA($C$4:C321))</f>
        <v>318</v>
      </c>
      <c r="B321" s="27" t="str">
        <f t="shared" si="125"/>
        <v>October</v>
      </c>
      <c r="C321" s="49">
        <v>45944</v>
      </c>
      <c r="D321" s="21" t="s">
        <v>1980</v>
      </c>
      <c r="E321" s="26" t="s">
        <v>548</v>
      </c>
      <c r="F321" s="21" t="s">
        <v>1981</v>
      </c>
      <c r="G321" s="26" t="s">
        <v>553</v>
      </c>
      <c r="H321" s="26" t="s">
        <v>1841</v>
      </c>
      <c r="I321" s="23">
        <v>156998.15</v>
      </c>
      <c r="J321" s="50">
        <v>0.18</v>
      </c>
      <c r="K321" s="62">
        <v>0</v>
      </c>
      <c r="L321" s="24">
        <f t="shared" si="147"/>
        <v>14129.833499999999</v>
      </c>
      <c r="M321" s="23">
        <f t="shared" si="148"/>
        <v>14129.833499999999</v>
      </c>
      <c r="N321" s="37">
        <f t="shared" si="149"/>
        <v>185257.81700000001</v>
      </c>
      <c r="O321" s="22"/>
    </row>
    <row r="322" spans="1:15" ht="17.100000000000001" customHeight="1" x14ac:dyDescent="0.25">
      <c r="A322" s="27">
        <f>IF(C322="","",COUNTA($C$4:C322))</f>
        <v>319</v>
      </c>
      <c r="B322" s="27" t="str">
        <f t="shared" ref="B322:B357" si="150">IF(C322="","",TEXT(C322,"mmmm"))</f>
        <v>October</v>
      </c>
      <c r="C322" s="49">
        <v>45946</v>
      </c>
      <c r="D322" s="21" t="s">
        <v>1982</v>
      </c>
      <c r="E322" s="26" t="s">
        <v>364</v>
      </c>
      <c r="F322" s="21" t="s">
        <v>1983</v>
      </c>
      <c r="G322" s="48" t="s">
        <v>366</v>
      </c>
      <c r="H322" s="26" t="s">
        <v>1984</v>
      </c>
      <c r="I322" s="23">
        <v>4050</v>
      </c>
      <c r="J322" s="50">
        <v>0.18</v>
      </c>
      <c r="K322" s="62">
        <v>0</v>
      </c>
      <c r="L322" s="24">
        <f t="shared" si="147"/>
        <v>364.5</v>
      </c>
      <c r="M322" s="23">
        <f t="shared" si="148"/>
        <v>364.5</v>
      </c>
      <c r="N322" s="37">
        <f t="shared" si="149"/>
        <v>4779</v>
      </c>
      <c r="O322" s="22"/>
    </row>
    <row r="323" spans="1:15" ht="17.100000000000001" customHeight="1" x14ac:dyDescent="0.25">
      <c r="A323" s="27">
        <f>IF(C323="","",COUNTA($C$4:C323))</f>
        <v>320</v>
      </c>
      <c r="B323" s="27" t="str">
        <f t="shared" si="150"/>
        <v>October</v>
      </c>
      <c r="C323" s="49">
        <v>45948</v>
      </c>
      <c r="D323" s="96" t="s">
        <v>2026</v>
      </c>
      <c r="E323" s="26" t="s">
        <v>354</v>
      </c>
      <c r="F323" s="21">
        <v>2665</v>
      </c>
      <c r="G323" s="48" t="s">
        <v>355</v>
      </c>
      <c r="H323" s="26" t="s">
        <v>2027</v>
      </c>
      <c r="I323" s="23">
        <v>3619.05</v>
      </c>
      <c r="J323" s="50">
        <v>0.05</v>
      </c>
      <c r="K323" s="62"/>
      <c r="L323" s="24">
        <f>I323*2.5/100</f>
        <v>90.476249999999993</v>
      </c>
      <c r="M323" s="23">
        <f>I323*2.5/100</f>
        <v>90.476249999999993</v>
      </c>
      <c r="N323" s="37">
        <f t="shared" si="149"/>
        <v>3800.0025000000005</v>
      </c>
      <c r="O323" s="22"/>
    </row>
    <row r="324" spans="1:15" ht="17.100000000000001" customHeight="1" x14ac:dyDescent="0.25">
      <c r="A324" s="27">
        <f>IF(C324="","",COUNTA($C$4:C324))</f>
        <v>321</v>
      </c>
      <c r="B324" s="27" t="str">
        <f t="shared" si="150"/>
        <v>October</v>
      </c>
      <c r="C324" s="49">
        <v>45957</v>
      </c>
      <c r="D324" s="96" t="s">
        <v>2028</v>
      </c>
      <c r="E324" s="26" t="s">
        <v>284</v>
      </c>
      <c r="F324" s="21">
        <v>4137</v>
      </c>
      <c r="G324" s="26" t="s">
        <v>285</v>
      </c>
      <c r="H324" s="26" t="s">
        <v>2029</v>
      </c>
      <c r="I324" s="23">
        <v>6500</v>
      </c>
      <c r="J324" s="50">
        <v>0.18</v>
      </c>
      <c r="K324" s="62"/>
      <c r="L324" s="24">
        <f>I324*9/100</f>
        <v>585</v>
      </c>
      <c r="M324" s="23">
        <f>I324*9/100</f>
        <v>585</v>
      </c>
      <c r="N324" s="37">
        <f t="shared" si="149"/>
        <v>7670</v>
      </c>
      <c r="O324" s="22"/>
    </row>
    <row r="325" spans="1:15" ht="17.100000000000001" customHeight="1" x14ac:dyDescent="0.25">
      <c r="A325" s="27">
        <f>IF(C325="","",COUNTA($C$4:C325))</f>
        <v>322</v>
      </c>
      <c r="B325" s="27" t="str">
        <f t="shared" si="150"/>
        <v>October</v>
      </c>
      <c r="C325" s="49">
        <v>45960</v>
      </c>
      <c r="D325" s="96" t="s">
        <v>2030</v>
      </c>
      <c r="E325" s="26" t="s">
        <v>151</v>
      </c>
      <c r="F325" s="21">
        <v>90190</v>
      </c>
      <c r="G325" s="26" t="s">
        <v>116</v>
      </c>
      <c r="H325" s="26" t="s">
        <v>2031</v>
      </c>
      <c r="I325" s="23">
        <v>10320</v>
      </c>
      <c r="J325" s="50">
        <v>0.18</v>
      </c>
      <c r="K325" s="62">
        <v>0</v>
      </c>
      <c r="L325" s="24">
        <f>I325*9/100</f>
        <v>928.8</v>
      </c>
      <c r="M325" s="23">
        <f>I325*9/100</f>
        <v>928.8</v>
      </c>
      <c r="N325" s="37">
        <f t="shared" si="149"/>
        <v>12177.599999999999</v>
      </c>
      <c r="O325" s="22"/>
    </row>
    <row r="326" spans="1:15" ht="17.100000000000001" customHeight="1" x14ac:dyDescent="0.25">
      <c r="A326" s="27">
        <f>IF(C326="","",COUNTA($C$4:C326))</f>
        <v>323</v>
      </c>
      <c r="B326" s="27" t="str">
        <f t="shared" si="150"/>
        <v>October</v>
      </c>
      <c r="C326" s="49">
        <v>45960</v>
      </c>
      <c r="D326" s="96" t="s">
        <v>2032</v>
      </c>
      <c r="E326" s="26" t="s">
        <v>151</v>
      </c>
      <c r="F326" s="21">
        <v>90191</v>
      </c>
      <c r="G326" s="26" t="s">
        <v>116</v>
      </c>
      <c r="H326" s="26" t="s">
        <v>2033</v>
      </c>
      <c r="I326" s="23">
        <v>8050</v>
      </c>
      <c r="J326" s="50">
        <v>0.18</v>
      </c>
      <c r="K326" s="62">
        <v>0</v>
      </c>
      <c r="L326" s="24">
        <f>I326*9/100</f>
        <v>724.5</v>
      </c>
      <c r="M326" s="23">
        <f>I326*9/100</f>
        <v>724.5</v>
      </c>
      <c r="N326" s="37">
        <f t="shared" si="149"/>
        <v>9499</v>
      </c>
      <c r="O326" s="22"/>
    </row>
    <row r="327" spans="1:15" ht="17.100000000000001" customHeight="1" x14ac:dyDescent="0.25">
      <c r="A327" s="27">
        <f>IF(C327="","",COUNTA($C$4:C327))</f>
        <v>324</v>
      </c>
      <c r="B327" s="27" t="str">
        <f t="shared" si="150"/>
        <v>October</v>
      </c>
      <c r="C327" s="49">
        <v>45960</v>
      </c>
      <c r="D327" s="96" t="s">
        <v>2034</v>
      </c>
      <c r="E327" s="26" t="s">
        <v>151</v>
      </c>
      <c r="F327" s="21">
        <v>90192</v>
      </c>
      <c r="G327" s="26" t="s">
        <v>116</v>
      </c>
      <c r="H327" s="26" t="s">
        <v>2035</v>
      </c>
      <c r="I327" s="23">
        <v>8375</v>
      </c>
      <c r="J327" s="50">
        <v>0.18</v>
      </c>
      <c r="K327" s="62">
        <v>0</v>
      </c>
      <c r="L327" s="24">
        <f>I327*9/100</f>
        <v>753.75</v>
      </c>
      <c r="M327" s="23">
        <f>I327*9/100</f>
        <v>753.75</v>
      </c>
      <c r="N327" s="37">
        <f t="shared" si="149"/>
        <v>9882.5</v>
      </c>
      <c r="O327" s="22"/>
    </row>
    <row r="328" spans="1:15" ht="17.100000000000001" customHeight="1" x14ac:dyDescent="0.25">
      <c r="A328" s="27">
        <f>IF(C328="","",COUNTA($C$4:C328))</f>
        <v>325</v>
      </c>
      <c r="B328" s="27" t="str">
        <f t="shared" si="150"/>
        <v>October</v>
      </c>
      <c r="C328" s="49">
        <v>45953</v>
      </c>
      <c r="D328" s="96" t="s">
        <v>2036</v>
      </c>
      <c r="E328" s="48" t="s">
        <v>291</v>
      </c>
      <c r="F328" s="51">
        <v>338</v>
      </c>
      <c r="G328" s="26" t="s">
        <v>292</v>
      </c>
      <c r="H328" s="26" t="s">
        <v>2037</v>
      </c>
      <c r="I328" s="23">
        <v>2000</v>
      </c>
      <c r="J328" s="50">
        <v>0.18</v>
      </c>
      <c r="K328" s="62">
        <v>0</v>
      </c>
      <c r="L328" s="24">
        <f>I328*9/100</f>
        <v>180</v>
      </c>
      <c r="M328" s="23">
        <f>I328*9/100</f>
        <v>180</v>
      </c>
      <c r="N328" s="37">
        <f t="shared" si="149"/>
        <v>2360</v>
      </c>
      <c r="O328" s="22"/>
    </row>
    <row r="329" spans="1:15" ht="17.100000000000001" customHeight="1" x14ac:dyDescent="0.25">
      <c r="A329" s="27">
        <f>IF(C329="","",COUNTA($C$4:C329))</f>
        <v>326</v>
      </c>
      <c r="B329" s="27" t="str">
        <f t="shared" si="150"/>
        <v>October</v>
      </c>
      <c r="C329" s="49">
        <v>45961</v>
      </c>
      <c r="D329" s="132" t="s">
        <v>2038</v>
      </c>
      <c r="E329" s="26" t="s">
        <v>2131</v>
      </c>
      <c r="F329" s="21"/>
      <c r="G329" s="26" t="s">
        <v>2129</v>
      </c>
      <c r="H329" s="26" t="s">
        <v>2130</v>
      </c>
      <c r="I329" s="23">
        <v>8000</v>
      </c>
      <c r="J329" s="50">
        <v>0</v>
      </c>
      <c r="K329" s="62">
        <v>0</v>
      </c>
      <c r="L329" s="24">
        <v>0</v>
      </c>
      <c r="M329" s="23">
        <v>0</v>
      </c>
      <c r="N329" s="37">
        <f t="shared" si="149"/>
        <v>8000</v>
      </c>
      <c r="O329" s="22"/>
    </row>
    <row r="330" spans="1:15" ht="17.100000000000001" customHeight="1" x14ac:dyDescent="0.25">
      <c r="A330" s="27">
        <f>IF(C330="","",COUNTA($C$4:C330))</f>
        <v>327</v>
      </c>
      <c r="B330" s="27" t="str">
        <f t="shared" si="150"/>
        <v>October</v>
      </c>
      <c r="C330" s="49">
        <v>45961</v>
      </c>
      <c r="D330" s="96" t="s">
        <v>2039</v>
      </c>
      <c r="E330" s="26" t="s">
        <v>1810</v>
      </c>
      <c r="F330" s="21" t="s">
        <v>2095</v>
      </c>
      <c r="G330" s="26" t="s">
        <v>1812</v>
      </c>
      <c r="H330" s="26" t="s">
        <v>1813</v>
      </c>
      <c r="I330" s="23">
        <v>15254.24</v>
      </c>
      <c r="J330" s="50">
        <v>0.18</v>
      </c>
      <c r="K330" s="62">
        <f>I330*18/100</f>
        <v>2745.7631999999999</v>
      </c>
      <c r="L330" s="24">
        <v>0</v>
      </c>
      <c r="M330" s="23">
        <v>0</v>
      </c>
      <c r="N330" s="37">
        <f>I330+K330</f>
        <v>18000.003199999999</v>
      </c>
      <c r="O330" s="22"/>
    </row>
    <row r="331" spans="1:15" ht="17.100000000000001" customHeight="1" x14ac:dyDescent="0.25">
      <c r="A331" s="27">
        <f>IF(C331="","",COUNTA($C$4:C331))</f>
        <v>328</v>
      </c>
      <c r="B331" s="27" t="str">
        <f t="shared" si="150"/>
        <v>October</v>
      </c>
      <c r="C331" s="49">
        <v>45961</v>
      </c>
      <c r="D331" s="96" t="s">
        <v>2040</v>
      </c>
      <c r="E331" s="26" t="s">
        <v>460</v>
      </c>
      <c r="F331" s="21" t="s">
        <v>2041</v>
      </c>
      <c r="G331" s="26" t="s">
        <v>462</v>
      </c>
      <c r="H331" s="26" t="s">
        <v>2042</v>
      </c>
      <c r="I331" s="23">
        <v>5014</v>
      </c>
      <c r="J331" s="50">
        <v>0</v>
      </c>
      <c r="K331" s="62">
        <v>0</v>
      </c>
      <c r="L331" s="24">
        <v>0</v>
      </c>
      <c r="M331" s="23">
        <v>0</v>
      </c>
      <c r="N331" s="37">
        <f t="shared" ref="N331:N358" si="151">+I331+L331+M331</f>
        <v>5014</v>
      </c>
      <c r="O331" s="22"/>
    </row>
    <row r="332" spans="1:15" ht="17.100000000000001" customHeight="1" x14ac:dyDescent="0.25">
      <c r="A332" s="27">
        <f>IF(C332="","",COUNTA($C$4:C332))</f>
        <v>329</v>
      </c>
      <c r="B332" s="27" t="str">
        <f t="shared" si="150"/>
        <v>October</v>
      </c>
      <c r="C332" s="49">
        <v>45961</v>
      </c>
      <c r="D332" s="135" t="s">
        <v>2043</v>
      </c>
      <c r="E332" s="26" t="s">
        <v>448</v>
      </c>
      <c r="F332" s="21">
        <v>252</v>
      </c>
      <c r="G332" s="26" t="s">
        <v>449</v>
      </c>
      <c r="H332" s="26" t="s">
        <v>2042</v>
      </c>
      <c r="I332" s="23">
        <v>93400</v>
      </c>
      <c r="J332" s="50">
        <v>0</v>
      </c>
      <c r="K332" s="62">
        <v>0</v>
      </c>
      <c r="L332" s="24">
        <v>0</v>
      </c>
      <c r="M332" s="23">
        <v>0</v>
      </c>
      <c r="N332" s="37">
        <f t="shared" si="151"/>
        <v>93400</v>
      </c>
      <c r="O332" s="22"/>
    </row>
    <row r="333" spans="1:15" s="142" customFormat="1" ht="17.100000000000001" customHeight="1" x14ac:dyDescent="0.25">
      <c r="A333" s="133">
        <f>IF(C333="","",COUNTA($C$4:C333))</f>
        <v>330</v>
      </c>
      <c r="B333" s="133" t="str">
        <f t="shared" si="150"/>
        <v>October</v>
      </c>
      <c r="C333" s="134">
        <v>45961</v>
      </c>
      <c r="D333" s="135" t="s">
        <v>2096</v>
      </c>
      <c r="E333" s="136" t="s">
        <v>448</v>
      </c>
      <c r="F333" s="86">
        <v>253</v>
      </c>
      <c r="G333" s="136" t="s">
        <v>449</v>
      </c>
      <c r="H333" s="136" t="s">
        <v>2042</v>
      </c>
      <c r="I333" s="137">
        <v>34350</v>
      </c>
      <c r="J333" s="138">
        <v>0</v>
      </c>
      <c r="K333" s="139">
        <v>0</v>
      </c>
      <c r="L333" s="127">
        <v>0</v>
      </c>
      <c r="M333" s="137">
        <v>0</v>
      </c>
      <c r="N333" s="140">
        <f t="shared" si="151"/>
        <v>34350</v>
      </c>
      <c r="O333" s="141"/>
    </row>
    <row r="334" spans="1:15" ht="17.100000000000001" customHeight="1" x14ac:dyDescent="0.25">
      <c r="A334" s="27">
        <f>IF(C334="","",COUNTA($C$4:C334))</f>
        <v>331</v>
      </c>
      <c r="B334" s="27" t="str">
        <f t="shared" si="150"/>
        <v>October</v>
      </c>
      <c r="C334" s="49">
        <v>45961</v>
      </c>
      <c r="D334" s="96" t="s">
        <v>2097</v>
      </c>
      <c r="E334" s="26" t="s">
        <v>456</v>
      </c>
      <c r="F334" s="21" t="s">
        <v>2098</v>
      </c>
      <c r="G334" s="26" t="s">
        <v>292</v>
      </c>
      <c r="H334" s="39" t="s">
        <v>2099</v>
      </c>
      <c r="I334" s="23">
        <v>1500</v>
      </c>
      <c r="J334" s="50">
        <v>0.18</v>
      </c>
      <c r="K334" s="62">
        <v>0</v>
      </c>
      <c r="L334" s="24">
        <f t="shared" ref="L334:L351" si="152">I334*9/100</f>
        <v>135</v>
      </c>
      <c r="M334" s="23">
        <f t="shared" ref="M334:M351" si="153">I334*9/100</f>
        <v>135</v>
      </c>
      <c r="N334" s="37">
        <f t="shared" ref="N334:N353" si="154">+I334+L334+M334</f>
        <v>1770</v>
      </c>
      <c r="O334" s="22"/>
    </row>
    <row r="335" spans="1:15" ht="17.100000000000001" customHeight="1" x14ac:dyDescent="0.25">
      <c r="A335" s="27">
        <f>IF(C335="","",COUNTA($C$4:C335))</f>
        <v>332</v>
      </c>
      <c r="B335" s="27" t="str">
        <f t="shared" si="150"/>
        <v>October</v>
      </c>
      <c r="C335" s="49">
        <v>45961</v>
      </c>
      <c r="D335" s="96" t="s">
        <v>2100</v>
      </c>
      <c r="E335" s="26" t="s">
        <v>452</v>
      </c>
      <c r="F335" s="21" t="s">
        <v>2101</v>
      </c>
      <c r="G335" s="26" t="s">
        <v>454</v>
      </c>
      <c r="H335" s="26" t="s">
        <v>2042</v>
      </c>
      <c r="I335" s="23">
        <v>9559.9500000000007</v>
      </c>
      <c r="J335" s="50">
        <v>0.18</v>
      </c>
      <c r="K335" s="62">
        <v>0</v>
      </c>
      <c r="L335" s="24">
        <f t="shared" si="152"/>
        <v>860.39550000000008</v>
      </c>
      <c r="M335" s="23">
        <f t="shared" si="153"/>
        <v>860.39550000000008</v>
      </c>
      <c r="N335" s="37">
        <f t="shared" si="154"/>
        <v>11280.741000000002</v>
      </c>
      <c r="O335" s="22"/>
    </row>
    <row r="336" spans="1:15" ht="17.100000000000001" customHeight="1" x14ac:dyDescent="0.25">
      <c r="A336" s="27">
        <f>IF(C336="","",COUNTA($C$4:C336))</f>
        <v>333</v>
      </c>
      <c r="B336" s="27" t="str">
        <f t="shared" si="150"/>
        <v>October</v>
      </c>
      <c r="C336" s="49">
        <v>45961</v>
      </c>
      <c r="D336" s="96" t="s">
        <v>2104</v>
      </c>
      <c r="E336" s="26" t="s">
        <v>1510</v>
      </c>
      <c r="F336" s="21">
        <v>1383</v>
      </c>
      <c r="G336" s="26" t="s">
        <v>1874</v>
      </c>
      <c r="H336" s="26" t="s">
        <v>704</v>
      </c>
      <c r="I336" s="23">
        <v>5151.3500000000004</v>
      </c>
      <c r="J336" s="50">
        <v>0.18</v>
      </c>
      <c r="K336" s="62">
        <v>0</v>
      </c>
      <c r="L336" s="24">
        <f t="shared" si="152"/>
        <v>463.62150000000003</v>
      </c>
      <c r="M336" s="23">
        <f t="shared" si="153"/>
        <v>463.62150000000003</v>
      </c>
      <c r="N336" s="37">
        <f t="shared" si="154"/>
        <v>6078.5930000000008</v>
      </c>
      <c r="O336" s="22"/>
    </row>
    <row r="337" spans="1:15" ht="17.100000000000001" customHeight="1" x14ac:dyDescent="0.25">
      <c r="A337" s="27">
        <f>IF(C337="","",COUNTA($C$4:C337))</f>
        <v>334</v>
      </c>
      <c r="B337" s="27" t="str">
        <f t="shared" si="150"/>
        <v>October</v>
      </c>
      <c r="C337" s="49">
        <v>45961</v>
      </c>
      <c r="D337" s="96" t="s">
        <v>2105</v>
      </c>
      <c r="E337" s="26" t="s">
        <v>1510</v>
      </c>
      <c r="F337" s="21">
        <v>1384</v>
      </c>
      <c r="G337" s="26" t="s">
        <v>116</v>
      </c>
      <c r="H337" s="26" t="s">
        <v>483</v>
      </c>
      <c r="I337" s="23">
        <v>188273.1</v>
      </c>
      <c r="J337" s="50">
        <v>0.18</v>
      </c>
      <c r="K337" s="62">
        <v>0</v>
      </c>
      <c r="L337" s="24">
        <f t="shared" si="152"/>
        <v>16944.579000000002</v>
      </c>
      <c r="M337" s="23">
        <f t="shared" si="153"/>
        <v>16944.579000000002</v>
      </c>
      <c r="N337" s="37">
        <f t="shared" si="154"/>
        <v>222162.258</v>
      </c>
      <c r="O337" s="22"/>
    </row>
    <row r="338" spans="1:15" ht="17.100000000000001" customHeight="1" x14ac:dyDescent="0.25">
      <c r="A338" s="27">
        <f>IF(C338="","",COUNTA($C$4:C338))</f>
        <v>335</v>
      </c>
      <c r="B338" s="27" t="str">
        <f t="shared" si="150"/>
        <v>October</v>
      </c>
      <c r="C338" s="49">
        <v>45961</v>
      </c>
      <c r="D338" s="96" t="s">
        <v>2106</v>
      </c>
      <c r="E338" s="26" t="s">
        <v>1510</v>
      </c>
      <c r="F338" s="21">
        <v>1385</v>
      </c>
      <c r="G338" s="26" t="s">
        <v>116</v>
      </c>
      <c r="H338" s="26" t="s">
        <v>2107</v>
      </c>
      <c r="I338" s="23">
        <v>5864.2</v>
      </c>
      <c r="J338" s="50">
        <v>0.18</v>
      </c>
      <c r="K338" s="62">
        <v>0</v>
      </c>
      <c r="L338" s="24">
        <f t="shared" si="152"/>
        <v>527.77799999999991</v>
      </c>
      <c r="M338" s="23">
        <f t="shared" si="153"/>
        <v>527.77799999999991</v>
      </c>
      <c r="N338" s="37">
        <f t="shared" si="154"/>
        <v>6919.7560000000003</v>
      </c>
      <c r="O338" s="22"/>
    </row>
    <row r="339" spans="1:15" ht="17.100000000000001" customHeight="1" x14ac:dyDescent="0.25">
      <c r="A339" s="27">
        <f>IF(C339="","",COUNTA($C$4:C339))</f>
        <v>336</v>
      </c>
      <c r="B339" s="27" t="str">
        <f t="shared" si="150"/>
        <v>October</v>
      </c>
      <c r="C339" s="49">
        <v>45961</v>
      </c>
      <c r="D339" s="96" t="s">
        <v>2108</v>
      </c>
      <c r="E339" s="26" t="s">
        <v>1510</v>
      </c>
      <c r="F339" s="21">
        <v>1386</v>
      </c>
      <c r="G339" s="26" t="s">
        <v>116</v>
      </c>
      <c r="H339" s="26" t="s">
        <v>483</v>
      </c>
      <c r="I339" s="23">
        <v>99516.55</v>
      </c>
      <c r="J339" s="50">
        <v>0.18</v>
      </c>
      <c r="K339" s="62">
        <v>0</v>
      </c>
      <c r="L339" s="24">
        <f t="shared" si="152"/>
        <v>8956.4895000000015</v>
      </c>
      <c r="M339" s="23">
        <f t="shared" si="153"/>
        <v>8956.4895000000015</v>
      </c>
      <c r="N339" s="37">
        <f t="shared" si="154"/>
        <v>117429.52899999999</v>
      </c>
      <c r="O339" s="22"/>
    </row>
    <row r="340" spans="1:15" ht="17.100000000000001" customHeight="1" x14ac:dyDescent="0.25">
      <c r="A340" s="27">
        <f>IF(C340="","",COUNTA($C$4:C340))</f>
        <v>337</v>
      </c>
      <c r="B340" s="27" t="str">
        <f t="shared" si="150"/>
        <v>October</v>
      </c>
      <c r="C340" s="49">
        <v>45961</v>
      </c>
      <c r="D340" s="96" t="s">
        <v>2109</v>
      </c>
      <c r="E340" s="26" t="s">
        <v>478</v>
      </c>
      <c r="F340" s="21">
        <v>1387</v>
      </c>
      <c r="G340" s="26" t="s">
        <v>1874</v>
      </c>
      <c r="H340" s="26" t="s">
        <v>947</v>
      </c>
      <c r="I340" s="23">
        <v>6714.24</v>
      </c>
      <c r="J340" s="50">
        <v>0.18</v>
      </c>
      <c r="K340" s="62">
        <v>0</v>
      </c>
      <c r="L340" s="24">
        <f t="shared" si="152"/>
        <v>604.28159999999991</v>
      </c>
      <c r="M340" s="23">
        <f t="shared" si="153"/>
        <v>604.28159999999991</v>
      </c>
      <c r="N340" s="37">
        <f t="shared" si="154"/>
        <v>7922.8032000000003</v>
      </c>
      <c r="O340" s="22"/>
    </row>
    <row r="341" spans="1:15" ht="17.100000000000001" customHeight="1" x14ac:dyDescent="0.25">
      <c r="A341" s="27">
        <f>IF(C341="","",COUNTA($C$4:C341))</f>
        <v>338</v>
      </c>
      <c r="B341" s="27" t="str">
        <f t="shared" si="150"/>
        <v>October</v>
      </c>
      <c r="C341" s="49">
        <v>45961</v>
      </c>
      <c r="D341" s="96" t="s">
        <v>2110</v>
      </c>
      <c r="E341" s="26" t="s">
        <v>1510</v>
      </c>
      <c r="F341" s="21">
        <v>1388</v>
      </c>
      <c r="G341" s="26" t="s">
        <v>116</v>
      </c>
      <c r="H341" s="26" t="s">
        <v>495</v>
      </c>
      <c r="I341" s="23">
        <v>2004.05</v>
      </c>
      <c r="J341" s="50">
        <v>0.18</v>
      </c>
      <c r="K341" s="62">
        <v>0</v>
      </c>
      <c r="L341" s="24">
        <f t="shared" si="152"/>
        <v>180.36450000000002</v>
      </c>
      <c r="M341" s="23">
        <f t="shared" si="153"/>
        <v>180.36450000000002</v>
      </c>
      <c r="N341" s="37">
        <f t="shared" si="154"/>
        <v>2364.779</v>
      </c>
      <c r="O341" s="22"/>
    </row>
    <row r="342" spans="1:15" ht="17.100000000000001" customHeight="1" x14ac:dyDescent="0.25">
      <c r="A342" s="27">
        <f>IF(C342="","",COUNTA($C$4:C342))</f>
        <v>339</v>
      </c>
      <c r="B342" s="27" t="str">
        <f t="shared" si="150"/>
        <v>October</v>
      </c>
      <c r="C342" s="49">
        <v>45961</v>
      </c>
      <c r="D342" s="96" t="s">
        <v>2111</v>
      </c>
      <c r="E342" s="26" t="s">
        <v>1510</v>
      </c>
      <c r="F342" s="21">
        <v>1389</v>
      </c>
      <c r="G342" s="26" t="s">
        <v>1874</v>
      </c>
      <c r="H342" s="26" t="s">
        <v>495</v>
      </c>
      <c r="I342" s="23">
        <v>23954.45</v>
      </c>
      <c r="J342" s="50">
        <v>0.18</v>
      </c>
      <c r="K342" s="62">
        <v>0</v>
      </c>
      <c r="L342" s="24">
        <f t="shared" si="152"/>
        <v>2155.9005000000002</v>
      </c>
      <c r="M342" s="23">
        <f t="shared" si="153"/>
        <v>2155.9005000000002</v>
      </c>
      <c r="N342" s="37">
        <f t="shared" si="154"/>
        <v>28266.251</v>
      </c>
      <c r="O342" s="22"/>
    </row>
    <row r="343" spans="1:15" ht="17.100000000000001" customHeight="1" x14ac:dyDescent="0.25">
      <c r="A343" s="27">
        <f>IF(C343="","",COUNTA($C$4:C343))</f>
        <v>340</v>
      </c>
      <c r="B343" s="27" t="str">
        <f t="shared" si="150"/>
        <v>October</v>
      </c>
      <c r="C343" s="49">
        <v>45961</v>
      </c>
      <c r="D343" s="96" t="s">
        <v>2112</v>
      </c>
      <c r="E343" s="26" t="s">
        <v>1510</v>
      </c>
      <c r="F343" s="21">
        <v>1390</v>
      </c>
      <c r="G343" s="26" t="s">
        <v>1874</v>
      </c>
      <c r="H343" s="26" t="s">
        <v>1320</v>
      </c>
      <c r="I343" s="23">
        <v>147728.88</v>
      </c>
      <c r="J343" s="50">
        <v>0.18</v>
      </c>
      <c r="K343" s="62">
        <v>0</v>
      </c>
      <c r="L343" s="24">
        <f t="shared" si="152"/>
        <v>13295.599199999999</v>
      </c>
      <c r="M343" s="23">
        <f t="shared" si="153"/>
        <v>13295.599199999999</v>
      </c>
      <c r="N343" s="37">
        <f t="shared" si="154"/>
        <v>174320.0784</v>
      </c>
      <c r="O343" s="22"/>
    </row>
    <row r="344" spans="1:15" ht="17.100000000000001" customHeight="1" x14ac:dyDescent="0.25">
      <c r="A344" s="27">
        <f>IF(C344="","",COUNTA($C$4:C344))</f>
        <v>341</v>
      </c>
      <c r="B344" s="27" t="str">
        <f t="shared" si="150"/>
        <v>October</v>
      </c>
      <c r="C344" s="49">
        <v>45961</v>
      </c>
      <c r="D344" s="96" t="s">
        <v>2113</v>
      </c>
      <c r="E344" s="26" t="s">
        <v>1510</v>
      </c>
      <c r="F344" s="21">
        <v>1391</v>
      </c>
      <c r="G344" s="26" t="s">
        <v>116</v>
      </c>
      <c r="H344" s="26" t="s">
        <v>947</v>
      </c>
      <c r="I344" s="23">
        <v>26501.34</v>
      </c>
      <c r="J344" s="50">
        <v>0.18</v>
      </c>
      <c r="K344" s="62">
        <v>0</v>
      </c>
      <c r="L344" s="24">
        <f t="shared" si="152"/>
        <v>2385.1206000000002</v>
      </c>
      <c r="M344" s="23">
        <f t="shared" si="153"/>
        <v>2385.1206000000002</v>
      </c>
      <c r="N344" s="37">
        <f t="shared" si="154"/>
        <v>31271.581200000001</v>
      </c>
      <c r="O344" s="22"/>
    </row>
    <row r="345" spans="1:15" ht="17.100000000000001" customHeight="1" x14ac:dyDescent="0.25">
      <c r="A345" s="27">
        <f>IF(C345="","",COUNTA($C$4:C345))</f>
        <v>342</v>
      </c>
      <c r="B345" s="27" t="str">
        <f t="shared" si="150"/>
        <v>October</v>
      </c>
      <c r="C345" s="49">
        <v>45961</v>
      </c>
      <c r="D345" s="96" t="s">
        <v>2114</v>
      </c>
      <c r="E345" s="26" t="s">
        <v>1510</v>
      </c>
      <c r="F345" s="21">
        <v>1392</v>
      </c>
      <c r="G345" s="26" t="s">
        <v>1874</v>
      </c>
      <c r="H345" s="26" t="s">
        <v>2115</v>
      </c>
      <c r="I345" s="23">
        <v>67781.009999999995</v>
      </c>
      <c r="J345" s="50">
        <v>0.18</v>
      </c>
      <c r="K345" s="62">
        <v>0</v>
      </c>
      <c r="L345" s="24">
        <f t="shared" si="152"/>
        <v>6100.2909</v>
      </c>
      <c r="M345" s="23">
        <f t="shared" si="153"/>
        <v>6100.2909</v>
      </c>
      <c r="N345" s="37">
        <f t="shared" si="154"/>
        <v>79981.591799999995</v>
      </c>
      <c r="O345" s="22"/>
    </row>
    <row r="346" spans="1:15" ht="17.100000000000001" customHeight="1" x14ac:dyDescent="0.25">
      <c r="A346" s="27">
        <f>IF(C346="","",COUNTA($C$4:C346))</f>
        <v>343</v>
      </c>
      <c r="B346" s="27" t="str">
        <f t="shared" si="150"/>
        <v>October</v>
      </c>
      <c r="C346" s="49">
        <v>45961</v>
      </c>
      <c r="D346" s="96" t="s">
        <v>2116</v>
      </c>
      <c r="E346" s="26" t="s">
        <v>1510</v>
      </c>
      <c r="F346" s="21">
        <v>1393</v>
      </c>
      <c r="G346" s="26" t="s">
        <v>116</v>
      </c>
      <c r="H346" s="26" t="s">
        <v>2117</v>
      </c>
      <c r="I346" s="23">
        <v>21854.639999999999</v>
      </c>
      <c r="J346" s="50">
        <v>0.18</v>
      </c>
      <c r="K346" s="62">
        <v>0</v>
      </c>
      <c r="L346" s="24">
        <f t="shared" si="152"/>
        <v>1966.9176</v>
      </c>
      <c r="M346" s="23">
        <f t="shared" si="153"/>
        <v>1966.9176</v>
      </c>
      <c r="N346" s="37">
        <f t="shared" si="154"/>
        <v>25788.475200000001</v>
      </c>
      <c r="O346" s="22"/>
    </row>
    <row r="347" spans="1:15" ht="17.100000000000001" customHeight="1" x14ac:dyDescent="0.25">
      <c r="A347" s="27">
        <f>IF(C347="","",COUNTA($C$4:C347))</f>
        <v>344</v>
      </c>
      <c r="B347" s="27" t="str">
        <f t="shared" si="150"/>
        <v>October</v>
      </c>
      <c r="C347" s="49">
        <v>45961</v>
      </c>
      <c r="D347" s="96" t="s">
        <v>2118</v>
      </c>
      <c r="E347" s="26" t="s">
        <v>1510</v>
      </c>
      <c r="F347" s="21">
        <v>1394</v>
      </c>
      <c r="G347" s="26" t="s">
        <v>116</v>
      </c>
      <c r="H347" s="26" t="s">
        <v>1320</v>
      </c>
      <c r="I347" s="23">
        <v>43544.11</v>
      </c>
      <c r="J347" s="50">
        <v>0.18</v>
      </c>
      <c r="K347" s="62">
        <v>0</v>
      </c>
      <c r="L347" s="24">
        <f t="shared" si="152"/>
        <v>3918.9699000000001</v>
      </c>
      <c r="M347" s="23">
        <f t="shared" si="153"/>
        <v>3918.9699000000001</v>
      </c>
      <c r="N347" s="37">
        <f t="shared" si="154"/>
        <v>51382.049799999993</v>
      </c>
      <c r="O347" s="22"/>
    </row>
    <row r="348" spans="1:15" ht="17.100000000000001" customHeight="1" x14ac:dyDescent="0.25">
      <c r="A348" s="27">
        <f>IF(C348="","",COUNTA($C$4:C348))</f>
        <v>345</v>
      </c>
      <c r="B348" s="27" t="str">
        <f t="shared" si="150"/>
        <v>October</v>
      </c>
      <c r="C348" s="49">
        <v>45961</v>
      </c>
      <c r="D348" s="96" t="s">
        <v>2119</v>
      </c>
      <c r="E348" s="26" t="s">
        <v>2120</v>
      </c>
      <c r="F348" s="21">
        <v>1395</v>
      </c>
      <c r="G348" s="26" t="s">
        <v>1874</v>
      </c>
      <c r="H348" s="26" t="s">
        <v>1320</v>
      </c>
      <c r="I348" s="23">
        <v>91249.1</v>
      </c>
      <c r="J348" s="50">
        <v>0.18</v>
      </c>
      <c r="K348" s="62">
        <v>0</v>
      </c>
      <c r="L348" s="24">
        <f t="shared" si="152"/>
        <v>8212.4189999999999</v>
      </c>
      <c r="M348" s="23">
        <f t="shared" si="153"/>
        <v>8212.4189999999999</v>
      </c>
      <c r="N348" s="37">
        <f t="shared" si="154"/>
        <v>107673.93799999999</v>
      </c>
      <c r="O348" s="22"/>
    </row>
    <row r="349" spans="1:15" ht="17.100000000000001" customHeight="1" x14ac:dyDescent="0.25">
      <c r="A349" s="27">
        <f>IF(C349="","",COUNTA($C$4:C349))</f>
        <v>346</v>
      </c>
      <c r="B349" s="27" t="str">
        <f t="shared" si="150"/>
        <v>October</v>
      </c>
      <c r="C349" s="49">
        <v>45961</v>
      </c>
      <c r="D349" s="96" t="s">
        <v>2121</v>
      </c>
      <c r="E349" s="26" t="s">
        <v>1510</v>
      </c>
      <c r="F349" s="21">
        <v>1396</v>
      </c>
      <c r="G349" s="26" t="s">
        <v>116</v>
      </c>
      <c r="H349" s="26" t="s">
        <v>2122</v>
      </c>
      <c r="I349" s="23">
        <v>9240.15</v>
      </c>
      <c r="J349" s="50">
        <v>0.18</v>
      </c>
      <c r="K349" s="62">
        <v>0</v>
      </c>
      <c r="L349" s="24">
        <f t="shared" si="152"/>
        <v>831.61349999999993</v>
      </c>
      <c r="M349" s="23">
        <f t="shared" si="153"/>
        <v>831.61349999999993</v>
      </c>
      <c r="N349" s="37">
        <f t="shared" si="154"/>
        <v>10903.376999999999</v>
      </c>
      <c r="O349" s="22"/>
    </row>
    <row r="350" spans="1:15" ht="17.100000000000001" customHeight="1" x14ac:dyDescent="0.25">
      <c r="A350" s="27">
        <f>IF(C350="","",COUNTA($C$4:C350))</f>
        <v>347</v>
      </c>
      <c r="B350" s="27" t="str">
        <f t="shared" ref="B350:B353" si="155">IF(C350="","",TEXT(C350,"mmmm"))</f>
        <v>October</v>
      </c>
      <c r="C350" s="49">
        <v>45961</v>
      </c>
      <c r="D350" s="96" t="s">
        <v>2123</v>
      </c>
      <c r="E350" s="26" t="s">
        <v>1510</v>
      </c>
      <c r="F350" s="21">
        <v>1397</v>
      </c>
      <c r="G350" s="26" t="s">
        <v>116</v>
      </c>
      <c r="H350" s="26" t="s">
        <v>2124</v>
      </c>
      <c r="I350" s="23">
        <v>3174.2</v>
      </c>
      <c r="J350" s="50">
        <v>0.18</v>
      </c>
      <c r="K350" s="62">
        <v>0</v>
      </c>
      <c r="L350" s="24">
        <f t="shared" si="152"/>
        <v>285.678</v>
      </c>
      <c r="M350" s="23">
        <f t="shared" si="153"/>
        <v>285.678</v>
      </c>
      <c r="N350" s="37">
        <f t="shared" si="154"/>
        <v>3745.5559999999996</v>
      </c>
      <c r="O350" s="22"/>
    </row>
    <row r="351" spans="1:15" ht="17.100000000000001" customHeight="1" x14ac:dyDescent="0.25">
      <c r="A351" s="27">
        <f>IF(C351="","",COUNTA($C$4:C351))</f>
        <v>348</v>
      </c>
      <c r="B351" s="27" t="str">
        <f t="shared" si="155"/>
        <v>October</v>
      </c>
      <c r="C351" s="49">
        <v>45961</v>
      </c>
      <c r="D351" s="96" t="s">
        <v>2125</v>
      </c>
      <c r="E351" s="26" t="s">
        <v>1510</v>
      </c>
      <c r="F351" s="21">
        <v>1398</v>
      </c>
      <c r="G351" s="26" t="s">
        <v>116</v>
      </c>
      <c r="H351" s="26" t="s">
        <v>479</v>
      </c>
      <c r="I351" s="23">
        <v>11816.09</v>
      </c>
      <c r="J351" s="50">
        <v>0.18</v>
      </c>
      <c r="K351" s="62">
        <v>0</v>
      </c>
      <c r="L351" s="24">
        <f t="shared" si="152"/>
        <v>1063.4481000000001</v>
      </c>
      <c r="M351" s="23">
        <f t="shared" si="153"/>
        <v>1063.4481000000001</v>
      </c>
      <c r="N351" s="37">
        <f t="shared" si="154"/>
        <v>13942.986199999999</v>
      </c>
      <c r="O351" s="22"/>
    </row>
    <row r="352" spans="1:15" ht="17.100000000000001" customHeight="1" x14ac:dyDescent="0.25">
      <c r="A352" s="27">
        <f>IF(C352="","",COUNTA($C$4:C352))</f>
        <v>349</v>
      </c>
      <c r="B352" s="27" t="str">
        <f t="shared" si="155"/>
        <v>October</v>
      </c>
      <c r="C352" s="49">
        <v>45961</v>
      </c>
      <c r="D352" s="96" t="s">
        <v>2126</v>
      </c>
      <c r="E352" s="26" t="s">
        <v>569</v>
      </c>
      <c r="F352" s="21">
        <v>93</v>
      </c>
      <c r="G352" s="26" t="s">
        <v>285</v>
      </c>
      <c r="H352" s="26" t="s">
        <v>2127</v>
      </c>
      <c r="I352" s="23">
        <v>40000</v>
      </c>
      <c r="J352" s="50">
        <v>0</v>
      </c>
      <c r="K352" s="62">
        <v>0</v>
      </c>
      <c r="L352" s="24">
        <v>0</v>
      </c>
      <c r="M352" s="23">
        <v>0</v>
      </c>
      <c r="N352" s="37">
        <f t="shared" si="154"/>
        <v>40000</v>
      </c>
      <c r="O352" s="22"/>
    </row>
    <row r="353" spans="1:15" ht="17.100000000000001" customHeight="1" x14ac:dyDescent="0.25">
      <c r="A353" s="27">
        <f>IF(C353="","",COUNTA($C$4:C353))</f>
        <v>350</v>
      </c>
      <c r="B353" s="27" t="str">
        <f t="shared" si="155"/>
        <v>October</v>
      </c>
      <c r="C353" s="49">
        <v>45960</v>
      </c>
      <c r="D353" s="96" t="s">
        <v>2250</v>
      </c>
      <c r="E353" s="26" t="s">
        <v>2251</v>
      </c>
      <c r="F353" s="21">
        <v>380634</v>
      </c>
      <c r="G353" s="26" t="s">
        <v>2252</v>
      </c>
      <c r="H353" s="26" t="s">
        <v>2253</v>
      </c>
      <c r="I353" s="23">
        <v>91098</v>
      </c>
      <c r="J353" s="50">
        <v>0</v>
      </c>
      <c r="K353" s="62">
        <v>0</v>
      </c>
      <c r="L353" s="24">
        <v>0</v>
      </c>
      <c r="M353" s="23">
        <v>0</v>
      </c>
      <c r="N353" s="37">
        <f t="shared" si="154"/>
        <v>91098</v>
      </c>
      <c r="O353" s="22"/>
    </row>
    <row r="354" spans="1:15" ht="17.100000000000001" customHeight="1" x14ac:dyDescent="0.25">
      <c r="A354" s="27">
        <f>IF(C354="","",COUNTA($C$4:C354))</f>
        <v>351</v>
      </c>
      <c r="B354" s="27" t="str">
        <f t="shared" ref="B354" si="156">IF(C354="","",TEXT(C354,"mmmm"))</f>
        <v>November</v>
      </c>
      <c r="C354" s="49">
        <v>45962</v>
      </c>
      <c r="D354" s="21" t="s">
        <v>2044</v>
      </c>
      <c r="E354" s="26" t="s">
        <v>1266</v>
      </c>
      <c r="F354" s="21">
        <v>639</v>
      </c>
      <c r="G354" s="26" t="s">
        <v>392</v>
      </c>
      <c r="H354" s="26" t="s">
        <v>2042</v>
      </c>
      <c r="I354" s="23">
        <v>148645</v>
      </c>
      <c r="J354" s="50">
        <v>0.18</v>
      </c>
      <c r="K354" s="62">
        <v>0</v>
      </c>
      <c r="L354" s="24">
        <f>I354*9/100</f>
        <v>13378.05</v>
      </c>
      <c r="M354" s="23">
        <f>I354*9/100</f>
        <v>13378.05</v>
      </c>
      <c r="N354" s="37">
        <f t="shared" si="151"/>
        <v>175401.09999999998</v>
      </c>
      <c r="O354" s="22"/>
    </row>
    <row r="355" spans="1:15" ht="17.100000000000001" customHeight="1" x14ac:dyDescent="0.25">
      <c r="A355" s="27">
        <f>IF(C355="","",COUNTA($C$4:C355))</f>
        <v>352</v>
      </c>
      <c r="B355" s="27" t="str">
        <f t="shared" si="150"/>
        <v>November</v>
      </c>
      <c r="C355" s="49">
        <v>45964</v>
      </c>
      <c r="D355" s="21" t="s">
        <v>2045</v>
      </c>
      <c r="E355" s="26" t="s">
        <v>151</v>
      </c>
      <c r="F355" s="21">
        <v>90292</v>
      </c>
      <c r="G355" s="26" t="s">
        <v>1874</v>
      </c>
      <c r="H355" s="26" t="s">
        <v>2046</v>
      </c>
      <c r="I355" s="23">
        <v>8740</v>
      </c>
      <c r="J355" s="50">
        <v>0.18</v>
      </c>
      <c r="K355" s="62">
        <v>0</v>
      </c>
      <c r="L355" s="24">
        <f>I355*9/100</f>
        <v>786.6</v>
      </c>
      <c r="M355" s="23">
        <f>I355*9/100</f>
        <v>786.6</v>
      </c>
      <c r="N355" s="37">
        <f t="shared" si="151"/>
        <v>10313.200000000001</v>
      </c>
      <c r="O355" s="22"/>
    </row>
    <row r="356" spans="1:15" ht="17.100000000000001" customHeight="1" x14ac:dyDescent="0.25">
      <c r="A356" s="27">
        <f>IF(C356="","",COUNTA($C$4:C356))</f>
        <v>353</v>
      </c>
      <c r="B356" s="27" t="str">
        <f t="shared" si="150"/>
        <v>November</v>
      </c>
      <c r="C356" s="49">
        <v>45964</v>
      </c>
      <c r="D356" s="21" t="s">
        <v>2047</v>
      </c>
      <c r="E356" s="26" t="s">
        <v>151</v>
      </c>
      <c r="F356" s="21">
        <v>90293</v>
      </c>
      <c r="G356" s="26" t="s">
        <v>1874</v>
      </c>
      <c r="H356" s="26" t="s">
        <v>2048</v>
      </c>
      <c r="I356" s="23">
        <v>8195</v>
      </c>
      <c r="J356" s="50">
        <v>0.18</v>
      </c>
      <c r="K356" s="62">
        <v>0</v>
      </c>
      <c r="L356" s="24">
        <f>I356*9/100</f>
        <v>737.55</v>
      </c>
      <c r="M356" s="23">
        <f>I356*9/100</f>
        <v>737.55</v>
      </c>
      <c r="N356" s="37">
        <f t="shared" si="151"/>
        <v>9670.0999999999985</v>
      </c>
      <c r="O356" s="22"/>
    </row>
    <row r="357" spans="1:15" ht="17.100000000000001" customHeight="1" x14ac:dyDescent="0.25">
      <c r="A357" s="27">
        <f>IF(C357="","",COUNTA($C$4:C357))</f>
        <v>354</v>
      </c>
      <c r="B357" s="27" t="str">
        <f t="shared" si="150"/>
        <v>November</v>
      </c>
      <c r="C357" s="49">
        <v>45964</v>
      </c>
      <c r="D357" s="21" t="s">
        <v>2049</v>
      </c>
      <c r="E357" s="26" t="s">
        <v>151</v>
      </c>
      <c r="F357" s="21">
        <v>90294</v>
      </c>
      <c r="G357" s="26" t="s">
        <v>1874</v>
      </c>
      <c r="H357" s="26" t="s">
        <v>2050</v>
      </c>
      <c r="I357" s="23">
        <v>8980</v>
      </c>
      <c r="J357" s="50">
        <v>0.18</v>
      </c>
      <c r="K357" s="62">
        <v>0</v>
      </c>
      <c r="L357" s="24">
        <f>I357*9/100</f>
        <v>808.2</v>
      </c>
      <c r="M357" s="23">
        <f>I357*9/100</f>
        <v>808.2</v>
      </c>
      <c r="N357" s="37">
        <f t="shared" si="151"/>
        <v>10596.400000000001</v>
      </c>
      <c r="O357" s="22"/>
    </row>
    <row r="358" spans="1:15" ht="17.100000000000001" customHeight="1" x14ac:dyDescent="0.25">
      <c r="A358" s="27">
        <f>IF(C358="","",COUNTA($C$4:C358))</f>
        <v>355</v>
      </c>
      <c r="B358" s="27" t="str">
        <f t="shared" ref="B358" si="157">IF(C358="","",TEXT(C358,"mmmm"))</f>
        <v>November</v>
      </c>
      <c r="C358" s="49">
        <v>45964</v>
      </c>
      <c r="D358" s="21" t="s">
        <v>2102</v>
      </c>
      <c r="E358" s="26" t="s">
        <v>111</v>
      </c>
      <c r="F358" s="53" t="s">
        <v>2103</v>
      </c>
      <c r="G358" s="26" t="s">
        <v>472</v>
      </c>
      <c r="H358" s="26" t="s">
        <v>2042</v>
      </c>
      <c r="I358" s="23">
        <v>137684</v>
      </c>
      <c r="J358" s="50">
        <v>0</v>
      </c>
      <c r="K358" s="62">
        <v>0</v>
      </c>
      <c r="L358" s="24">
        <v>0</v>
      </c>
      <c r="M358" s="23">
        <v>0</v>
      </c>
      <c r="N358" s="37">
        <f t="shared" si="151"/>
        <v>137684</v>
      </c>
      <c r="O358" s="22"/>
    </row>
    <row r="359" spans="1:15" ht="17.100000000000001" customHeight="1" x14ac:dyDescent="0.25">
      <c r="A359" s="27">
        <f>IF(C359="","",COUNTA($C$4:C359))</f>
        <v>356</v>
      </c>
      <c r="B359" s="27" t="str">
        <f t="shared" ref="B359:B450" si="158">IF(C359="","",TEXT(C359,"mmmm"))</f>
        <v>November</v>
      </c>
      <c r="C359" s="49">
        <v>45966</v>
      </c>
      <c r="D359" s="21" t="s">
        <v>2164</v>
      </c>
      <c r="E359" s="26" t="s">
        <v>783</v>
      </c>
      <c r="F359" s="53" t="s">
        <v>2165</v>
      </c>
      <c r="G359" s="26" t="s">
        <v>583</v>
      </c>
      <c r="H359" s="26" t="s">
        <v>2042</v>
      </c>
      <c r="I359" s="23">
        <v>626181</v>
      </c>
      <c r="J359" s="50">
        <v>0.18</v>
      </c>
      <c r="K359" s="62">
        <v>0</v>
      </c>
      <c r="L359" s="24">
        <f t="shared" ref="L359:L364" si="159">I359*9/100</f>
        <v>56356.29</v>
      </c>
      <c r="M359" s="23">
        <f t="shared" ref="M359:M364" si="160">I359*9/100</f>
        <v>56356.29</v>
      </c>
      <c r="N359" s="37">
        <f t="shared" ref="N359" si="161">+I359+L359+M359</f>
        <v>738893.58000000007</v>
      </c>
      <c r="O359" s="22"/>
    </row>
    <row r="360" spans="1:15" ht="17.100000000000001" customHeight="1" x14ac:dyDescent="0.25">
      <c r="A360" s="27">
        <f>IF(C360="","",COUNTA($C$4:C360))</f>
        <v>357</v>
      </c>
      <c r="B360" s="27" t="str">
        <f t="shared" si="158"/>
        <v>November</v>
      </c>
      <c r="C360" s="49">
        <v>45973</v>
      </c>
      <c r="D360" s="21" t="s">
        <v>2166</v>
      </c>
      <c r="E360" s="26" t="s">
        <v>291</v>
      </c>
      <c r="F360" s="21">
        <v>381</v>
      </c>
      <c r="G360" s="26" t="s">
        <v>292</v>
      </c>
      <c r="H360" s="26" t="s">
        <v>2167</v>
      </c>
      <c r="I360" s="23">
        <v>34000</v>
      </c>
      <c r="J360" s="50">
        <v>0.18</v>
      </c>
      <c r="K360" s="62">
        <v>0</v>
      </c>
      <c r="L360" s="24">
        <f t="shared" si="159"/>
        <v>3060</v>
      </c>
      <c r="M360" s="23">
        <f t="shared" si="160"/>
        <v>3060</v>
      </c>
      <c r="N360" s="37">
        <f>+I360+L360+M360+4500+7100</f>
        <v>51720</v>
      </c>
      <c r="O360" s="22"/>
    </row>
    <row r="361" spans="1:15" ht="17.100000000000001" customHeight="1" x14ac:dyDescent="0.25">
      <c r="A361" s="27">
        <f>IF(C361="","",COUNTA($C$4:C361))</f>
        <v>358</v>
      </c>
      <c r="B361" s="27" t="str">
        <f t="shared" si="158"/>
        <v>November</v>
      </c>
      <c r="C361" s="49">
        <v>45975</v>
      </c>
      <c r="D361" s="21" t="s">
        <v>2168</v>
      </c>
      <c r="E361" s="26" t="s">
        <v>548</v>
      </c>
      <c r="F361" s="21" t="s">
        <v>2169</v>
      </c>
      <c r="G361" s="26" t="s">
        <v>583</v>
      </c>
      <c r="H361" s="26" t="s">
        <v>2042</v>
      </c>
      <c r="I361" s="23">
        <v>633293.5</v>
      </c>
      <c r="J361" s="50">
        <v>0.18</v>
      </c>
      <c r="K361" s="62"/>
      <c r="L361" s="24">
        <f t="shared" si="159"/>
        <v>56996.415000000001</v>
      </c>
      <c r="M361" s="23">
        <f t="shared" si="160"/>
        <v>56996.415000000001</v>
      </c>
      <c r="N361" s="37">
        <f t="shared" ref="N361:N370" si="162">+I361+L361+M361</f>
        <v>747286.33000000007</v>
      </c>
      <c r="O361" s="22"/>
    </row>
    <row r="362" spans="1:15" ht="17.100000000000001" customHeight="1" x14ac:dyDescent="0.25">
      <c r="A362" s="27">
        <f>IF(C362="","",COUNTA($C$4:C362))</f>
        <v>359</v>
      </c>
      <c r="B362" s="27" t="str">
        <f t="shared" si="158"/>
        <v>November</v>
      </c>
      <c r="C362" s="49">
        <v>45975</v>
      </c>
      <c r="D362" s="21" t="s">
        <v>2170</v>
      </c>
      <c r="E362" s="26" t="s">
        <v>548</v>
      </c>
      <c r="F362" s="21" t="s">
        <v>2171</v>
      </c>
      <c r="G362" s="26" t="s">
        <v>553</v>
      </c>
      <c r="H362" s="26" t="s">
        <v>2042</v>
      </c>
      <c r="I362" s="23">
        <v>72234.62</v>
      </c>
      <c r="J362" s="50">
        <v>0.18</v>
      </c>
      <c r="K362" s="62"/>
      <c r="L362" s="24">
        <f t="shared" si="159"/>
        <v>6501.1157999999996</v>
      </c>
      <c r="M362" s="23">
        <f t="shared" si="160"/>
        <v>6501.1157999999996</v>
      </c>
      <c r="N362" s="37">
        <f t="shared" si="162"/>
        <v>85236.851599999995</v>
      </c>
      <c r="O362" s="22"/>
    </row>
    <row r="363" spans="1:15" ht="17.100000000000001" customHeight="1" x14ac:dyDescent="0.25">
      <c r="A363" s="27">
        <f>IF(C363="","",COUNTA($C$4:C363))</f>
        <v>360</v>
      </c>
      <c r="B363" s="27" t="str">
        <f t="shared" ref="B363" si="163">IF(C363="","",TEXT(C363,"mmmm"))</f>
        <v>November</v>
      </c>
      <c r="C363" s="49">
        <v>45975</v>
      </c>
      <c r="D363" s="21" t="s">
        <v>2172</v>
      </c>
      <c r="E363" s="26" t="s">
        <v>60</v>
      </c>
      <c r="F363" s="21">
        <v>453</v>
      </c>
      <c r="G363" s="26" t="s">
        <v>1829</v>
      </c>
      <c r="H363" s="26" t="s">
        <v>2173</v>
      </c>
      <c r="I363" s="23">
        <v>8060</v>
      </c>
      <c r="J363" s="50">
        <v>0.18</v>
      </c>
      <c r="K363" s="62"/>
      <c r="L363" s="24">
        <f t="shared" si="159"/>
        <v>725.4</v>
      </c>
      <c r="M363" s="23">
        <f t="shared" si="160"/>
        <v>725.4</v>
      </c>
      <c r="N363" s="37">
        <f t="shared" si="162"/>
        <v>9510.7999999999993</v>
      </c>
      <c r="O363" s="22"/>
    </row>
    <row r="364" spans="1:15" ht="17.100000000000001" customHeight="1" x14ac:dyDescent="0.25">
      <c r="A364" s="27">
        <f>IF(C364="","",COUNTA($C$4:C364))</f>
        <v>361</v>
      </c>
      <c r="B364" s="27" t="str">
        <f t="shared" si="158"/>
        <v>November</v>
      </c>
      <c r="C364" s="49">
        <v>45975</v>
      </c>
      <c r="D364" s="21" t="s">
        <v>2174</v>
      </c>
      <c r="E364" s="26" t="s">
        <v>965</v>
      </c>
      <c r="F364" s="53" t="s">
        <v>2175</v>
      </c>
      <c r="G364" s="26" t="s">
        <v>573</v>
      </c>
      <c r="H364" s="26" t="s">
        <v>2176</v>
      </c>
      <c r="I364" s="23">
        <v>12500</v>
      </c>
      <c r="J364" s="50">
        <v>0.18</v>
      </c>
      <c r="K364" s="62">
        <v>0</v>
      </c>
      <c r="L364" s="24">
        <f t="shared" si="159"/>
        <v>1125</v>
      </c>
      <c r="M364" s="23">
        <f t="shared" si="160"/>
        <v>1125</v>
      </c>
      <c r="N364" s="37">
        <f t="shared" si="162"/>
        <v>14750</v>
      </c>
      <c r="O364" s="22"/>
    </row>
    <row r="365" spans="1:15" ht="17.100000000000001" customHeight="1" x14ac:dyDescent="0.25">
      <c r="A365" s="27">
        <f>IF(C365="","",COUNTA($C$4:C365))</f>
        <v>362</v>
      </c>
      <c r="B365" s="27" t="str">
        <f t="shared" si="158"/>
        <v>November</v>
      </c>
      <c r="C365" s="49">
        <v>45976</v>
      </c>
      <c r="D365" s="21" t="s">
        <v>2177</v>
      </c>
      <c r="E365" s="26" t="s">
        <v>141</v>
      </c>
      <c r="F365" s="53">
        <v>645</v>
      </c>
      <c r="G365" s="26" t="s">
        <v>1815</v>
      </c>
      <c r="H365" s="26" t="s">
        <v>2178</v>
      </c>
      <c r="I365" s="23">
        <v>1716</v>
      </c>
      <c r="J365" s="50">
        <v>0</v>
      </c>
      <c r="K365" s="62">
        <v>0</v>
      </c>
      <c r="L365" s="24">
        <v>0</v>
      </c>
      <c r="M365" s="23">
        <v>0</v>
      </c>
      <c r="N365" s="37">
        <f t="shared" si="162"/>
        <v>1716</v>
      </c>
      <c r="O365" s="22"/>
    </row>
    <row r="366" spans="1:15" ht="17.100000000000001" customHeight="1" x14ac:dyDescent="0.25">
      <c r="A366" s="27">
        <f>IF(C366="","",COUNTA($C$4:C366))</f>
        <v>363</v>
      </c>
      <c r="B366" s="27" t="str">
        <f t="shared" si="158"/>
        <v>November</v>
      </c>
      <c r="C366" s="49">
        <v>45976</v>
      </c>
      <c r="D366" s="21" t="s">
        <v>2179</v>
      </c>
      <c r="E366" s="26" t="s">
        <v>1384</v>
      </c>
      <c r="F366" s="53" t="s">
        <v>2180</v>
      </c>
      <c r="G366" s="26" t="s">
        <v>1386</v>
      </c>
      <c r="H366" s="26" t="s">
        <v>1387</v>
      </c>
      <c r="I366" s="23">
        <v>4500</v>
      </c>
      <c r="J366" s="50">
        <v>0.18</v>
      </c>
      <c r="K366" s="62">
        <v>0</v>
      </c>
      <c r="L366" s="24">
        <f>I366*9/100</f>
        <v>405</v>
      </c>
      <c r="M366" s="23">
        <f>I366*9/100</f>
        <v>405</v>
      </c>
      <c r="N366" s="37">
        <f t="shared" si="162"/>
        <v>5310</v>
      </c>
      <c r="O366" s="22"/>
    </row>
    <row r="367" spans="1:15" ht="17.100000000000001" customHeight="1" x14ac:dyDescent="0.25">
      <c r="A367" s="27">
        <f>IF(C367="","",COUNTA($C$4:C367))</f>
        <v>364</v>
      </c>
      <c r="B367" s="27" t="str">
        <f t="shared" si="158"/>
        <v>November</v>
      </c>
      <c r="C367" s="49">
        <v>45985</v>
      </c>
      <c r="D367" s="21" t="s">
        <v>2181</v>
      </c>
      <c r="E367" s="26" t="s">
        <v>206</v>
      </c>
      <c r="F367" s="21" t="s">
        <v>2182</v>
      </c>
      <c r="G367" s="26" t="s">
        <v>573</v>
      </c>
      <c r="H367" s="26" t="s">
        <v>2183</v>
      </c>
      <c r="I367" s="23">
        <v>2500</v>
      </c>
      <c r="J367" s="50">
        <v>0.18</v>
      </c>
      <c r="K367" s="62">
        <v>0</v>
      </c>
      <c r="L367" s="24">
        <f>I367*9/100</f>
        <v>225</v>
      </c>
      <c r="M367" s="23">
        <f>I367*9/100</f>
        <v>225</v>
      </c>
      <c r="N367" s="37">
        <f t="shared" si="162"/>
        <v>2950</v>
      </c>
      <c r="O367" s="22"/>
    </row>
    <row r="368" spans="1:15" ht="17.100000000000001" customHeight="1" x14ac:dyDescent="0.25">
      <c r="A368" s="27">
        <f>IF(C368="","",COUNTA($C$4:C368))</f>
        <v>365</v>
      </c>
      <c r="B368" s="27" t="str">
        <f t="shared" si="158"/>
        <v>November</v>
      </c>
      <c r="C368" s="49">
        <v>45990</v>
      </c>
      <c r="D368" s="21" t="s">
        <v>2206</v>
      </c>
      <c r="E368" s="26" t="s">
        <v>877</v>
      </c>
      <c r="F368" s="21">
        <v>456</v>
      </c>
      <c r="G368" s="26" t="s">
        <v>379</v>
      </c>
      <c r="H368" s="26" t="s">
        <v>2207</v>
      </c>
      <c r="I368" s="23">
        <v>6600</v>
      </c>
      <c r="J368" s="50">
        <v>0.18</v>
      </c>
      <c r="K368" s="62">
        <v>0</v>
      </c>
      <c r="L368" s="24">
        <f>I368*9/100</f>
        <v>594</v>
      </c>
      <c r="M368" s="23">
        <f>I368*9/100</f>
        <v>594</v>
      </c>
      <c r="N368" s="37">
        <f t="shared" si="162"/>
        <v>7788</v>
      </c>
      <c r="O368" s="22"/>
    </row>
    <row r="369" spans="1:15" ht="17.100000000000001" customHeight="1" x14ac:dyDescent="0.25">
      <c r="A369" s="27">
        <f>IF(C369="","",COUNTA($C$4:C369))</f>
        <v>366</v>
      </c>
      <c r="B369" s="27" t="str">
        <f t="shared" si="158"/>
        <v>November</v>
      </c>
      <c r="C369" s="49">
        <v>45975</v>
      </c>
      <c r="D369" s="21" t="s">
        <v>2208</v>
      </c>
      <c r="E369" s="26" t="s">
        <v>569</v>
      </c>
      <c r="F369" s="21">
        <v>104</v>
      </c>
      <c r="G369" s="26" t="s">
        <v>285</v>
      </c>
      <c r="H369" s="26" t="s">
        <v>2209</v>
      </c>
      <c r="I369" s="23">
        <v>2100</v>
      </c>
      <c r="J369" s="50">
        <v>0</v>
      </c>
      <c r="K369" s="62">
        <v>0</v>
      </c>
      <c r="L369" s="24">
        <v>0</v>
      </c>
      <c r="M369" s="23">
        <v>0</v>
      </c>
      <c r="N369" s="37">
        <f t="shared" si="162"/>
        <v>2100</v>
      </c>
      <c r="O369" s="22"/>
    </row>
    <row r="370" spans="1:15" ht="17.100000000000001" customHeight="1" x14ac:dyDescent="0.25">
      <c r="A370" s="27">
        <f>IF(C370="","",COUNTA($C$4:C370))</f>
        <v>367</v>
      </c>
      <c r="B370" s="27" t="str">
        <f t="shared" si="158"/>
        <v>November</v>
      </c>
      <c r="C370" s="49">
        <v>45982</v>
      </c>
      <c r="D370" s="21" t="s">
        <v>2210</v>
      </c>
      <c r="E370" s="26" t="s">
        <v>354</v>
      </c>
      <c r="F370" s="21">
        <v>3081</v>
      </c>
      <c r="G370" s="26" t="s">
        <v>355</v>
      </c>
      <c r="H370" s="26" t="s">
        <v>2211</v>
      </c>
      <c r="I370" s="23">
        <v>3506</v>
      </c>
      <c r="J370" s="50">
        <v>0</v>
      </c>
      <c r="K370" s="62">
        <v>0</v>
      </c>
      <c r="L370" s="24">
        <v>0</v>
      </c>
      <c r="M370" s="23">
        <v>0</v>
      </c>
      <c r="N370" s="37">
        <f t="shared" si="162"/>
        <v>3506</v>
      </c>
      <c r="O370" s="22"/>
    </row>
    <row r="371" spans="1:15" ht="17.100000000000001" customHeight="1" x14ac:dyDescent="0.25">
      <c r="A371" s="27">
        <f>IF(C371="","",COUNTA($C$4:C371))</f>
        <v>368</v>
      </c>
      <c r="B371" s="27" t="str">
        <f t="shared" si="158"/>
        <v>November</v>
      </c>
      <c r="C371" s="49">
        <v>45991</v>
      </c>
      <c r="D371" s="21" t="s">
        <v>2254</v>
      </c>
      <c r="E371" s="26" t="s">
        <v>456</v>
      </c>
      <c r="F371" s="21" t="s">
        <v>2255</v>
      </c>
      <c r="G371" s="26" t="s">
        <v>292</v>
      </c>
      <c r="H371" s="26" t="s">
        <v>2256</v>
      </c>
      <c r="I371" s="23">
        <v>1500</v>
      </c>
      <c r="J371" s="50">
        <v>0.18</v>
      </c>
      <c r="K371" s="62">
        <v>0</v>
      </c>
      <c r="L371" s="24">
        <f>I371*9/100</f>
        <v>135</v>
      </c>
      <c r="M371" s="23">
        <f>I371*9/100</f>
        <v>135</v>
      </c>
      <c r="N371" s="37">
        <f t="shared" ref="N371:N374" si="164">+I371+L371+M371</f>
        <v>1770</v>
      </c>
      <c r="O371" s="22"/>
    </row>
    <row r="372" spans="1:15" ht="17.100000000000001" customHeight="1" x14ac:dyDescent="0.25">
      <c r="A372" s="27">
        <f>IF(C372="","",COUNTA($C$4:C372))</f>
        <v>369</v>
      </c>
      <c r="B372" s="27" t="str">
        <f t="shared" si="158"/>
        <v>November</v>
      </c>
      <c r="C372" s="49">
        <v>45991</v>
      </c>
      <c r="D372" s="21" t="s">
        <v>2257</v>
      </c>
      <c r="E372" s="26" t="s">
        <v>452</v>
      </c>
      <c r="F372" s="21" t="s">
        <v>2258</v>
      </c>
      <c r="G372" s="26" t="s">
        <v>454</v>
      </c>
      <c r="H372" s="26" t="s">
        <v>2259</v>
      </c>
      <c r="I372" s="23">
        <v>5464.8</v>
      </c>
      <c r="J372" s="50">
        <v>0.18</v>
      </c>
      <c r="K372" s="62">
        <v>0</v>
      </c>
      <c r="L372" s="24">
        <f>I372*9/100</f>
        <v>491.83200000000005</v>
      </c>
      <c r="M372" s="23">
        <f>I372*9/100</f>
        <v>491.83200000000005</v>
      </c>
      <c r="N372" s="37">
        <f t="shared" si="164"/>
        <v>6448.4640000000009</v>
      </c>
      <c r="O372" s="22"/>
    </row>
    <row r="373" spans="1:15" ht="17.100000000000001" customHeight="1" x14ac:dyDescent="0.25">
      <c r="A373" s="27">
        <f>IF(C373="","",COUNTA($C$4:C373))</f>
        <v>370</v>
      </c>
      <c r="B373" s="27" t="str">
        <f t="shared" si="158"/>
        <v>November</v>
      </c>
      <c r="C373" s="49">
        <v>45991</v>
      </c>
      <c r="D373" s="21" t="s">
        <v>2260</v>
      </c>
      <c r="E373" s="26" t="s">
        <v>460</v>
      </c>
      <c r="F373" s="21" t="s">
        <v>2261</v>
      </c>
      <c r="G373" s="26" t="s">
        <v>462</v>
      </c>
      <c r="H373" s="26" t="s">
        <v>2259</v>
      </c>
      <c r="I373" s="23">
        <v>4160</v>
      </c>
      <c r="J373" s="50">
        <v>0</v>
      </c>
      <c r="K373" s="62">
        <v>0</v>
      </c>
      <c r="L373" s="24">
        <v>0</v>
      </c>
      <c r="M373" s="23">
        <v>0</v>
      </c>
      <c r="N373" s="37">
        <f t="shared" si="164"/>
        <v>4160</v>
      </c>
      <c r="O373" s="22"/>
    </row>
    <row r="374" spans="1:15" ht="17.100000000000001" customHeight="1" x14ac:dyDescent="0.25">
      <c r="A374" s="27">
        <f>IF(C374="","",COUNTA($C$4:C374))</f>
        <v>371</v>
      </c>
      <c r="B374" s="27" t="str">
        <f t="shared" si="158"/>
        <v>November</v>
      </c>
      <c r="C374" s="49">
        <v>45991</v>
      </c>
      <c r="D374" s="21" t="s">
        <v>2262</v>
      </c>
      <c r="E374" s="26" t="s">
        <v>448</v>
      </c>
      <c r="F374" s="21">
        <v>268</v>
      </c>
      <c r="G374" s="26" t="s">
        <v>449</v>
      </c>
      <c r="H374" s="26" t="s">
        <v>2259</v>
      </c>
      <c r="I374" s="23">
        <v>116300</v>
      </c>
      <c r="J374" s="50">
        <v>0</v>
      </c>
      <c r="K374" s="62">
        <v>0</v>
      </c>
      <c r="L374" s="24">
        <v>0</v>
      </c>
      <c r="M374" s="23">
        <v>0</v>
      </c>
      <c r="N374" s="37">
        <f t="shared" si="164"/>
        <v>116300</v>
      </c>
      <c r="O374" s="22"/>
    </row>
    <row r="375" spans="1:15" ht="17.100000000000001" customHeight="1" x14ac:dyDescent="0.25">
      <c r="A375" s="27">
        <f>IF(C375="","",COUNTA($C$4:C375))</f>
        <v>372</v>
      </c>
      <c r="B375" s="27" t="str">
        <f t="shared" si="158"/>
        <v>November</v>
      </c>
      <c r="C375" s="49">
        <v>45990</v>
      </c>
      <c r="D375" s="21" t="s">
        <v>2306</v>
      </c>
      <c r="E375" s="26" t="s">
        <v>1510</v>
      </c>
      <c r="F375" s="21">
        <v>1405</v>
      </c>
      <c r="G375" s="26" t="s">
        <v>116</v>
      </c>
      <c r="H375" s="26" t="s">
        <v>479</v>
      </c>
      <c r="I375" s="23">
        <v>164050.19</v>
      </c>
      <c r="J375" s="50">
        <v>0.18</v>
      </c>
      <c r="K375" s="62">
        <v>0</v>
      </c>
      <c r="L375" s="24">
        <f t="shared" ref="L375:L396" si="165">I375*9/100</f>
        <v>14764.517099999999</v>
      </c>
      <c r="M375" s="23">
        <f t="shared" ref="M375:M396" si="166">I375*9/100</f>
        <v>14764.517099999999</v>
      </c>
      <c r="N375" s="37">
        <f t="shared" ref="N375:N392" si="167">+I375+L375+M375</f>
        <v>193579.2242</v>
      </c>
      <c r="O375" s="22"/>
    </row>
    <row r="376" spans="1:15" ht="17.100000000000001" customHeight="1" x14ac:dyDescent="0.25">
      <c r="A376" s="27">
        <f>IF(C376="","",COUNTA($C$4:C376))</f>
        <v>373</v>
      </c>
      <c r="B376" s="27" t="str">
        <f t="shared" si="158"/>
        <v>November</v>
      </c>
      <c r="C376" s="49">
        <v>45990</v>
      </c>
      <c r="D376" s="21" t="s">
        <v>2307</v>
      </c>
      <c r="E376" s="26" t="s">
        <v>1510</v>
      </c>
      <c r="F376" s="21">
        <v>1406</v>
      </c>
      <c r="G376" s="26" t="s">
        <v>116</v>
      </c>
      <c r="H376" s="26" t="s">
        <v>495</v>
      </c>
      <c r="I376" s="23">
        <v>76100.100000000006</v>
      </c>
      <c r="J376" s="50">
        <v>0.18</v>
      </c>
      <c r="K376" s="62">
        <v>0</v>
      </c>
      <c r="L376" s="24">
        <f t="shared" si="165"/>
        <v>6849.009</v>
      </c>
      <c r="M376" s="23">
        <f t="shared" si="166"/>
        <v>6849.009</v>
      </c>
      <c r="N376" s="37">
        <f t="shared" si="167"/>
        <v>89798.118000000017</v>
      </c>
      <c r="O376" s="22"/>
    </row>
    <row r="377" spans="1:15" ht="17.100000000000001" customHeight="1" x14ac:dyDescent="0.25">
      <c r="A377" s="27">
        <f>IF(C377="","",COUNTA($C$4:C377))</f>
        <v>374</v>
      </c>
      <c r="B377" s="27" t="str">
        <f t="shared" si="158"/>
        <v>November</v>
      </c>
      <c r="C377" s="49">
        <v>45990</v>
      </c>
      <c r="D377" s="21" t="s">
        <v>2308</v>
      </c>
      <c r="E377" s="26" t="s">
        <v>1510</v>
      </c>
      <c r="F377" s="21">
        <v>1407</v>
      </c>
      <c r="G377" s="26" t="s">
        <v>116</v>
      </c>
      <c r="H377" s="26" t="s">
        <v>1499</v>
      </c>
      <c r="I377" s="23">
        <v>39563.980000000003</v>
      </c>
      <c r="J377" s="50">
        <v>0.18</v>
      </c>
      <c r="K377" s="62">
        <v>0</v>
      </c>
      <c r="L377" s="24">
        <f t="shared" si="165"/>
        <v>3560.7582000000002</v>
      </c>
      <c r="M377" s="23">
        <f t="shared" si="166"/>
        <v>3560.7582000000002</v>
      </c>
      <c r="N377" s="37">
        <f t="shared" si="167"/>
        <v>46685.496400000004</v>
      </c>
      <c r="O377" s="22"/>
    </row>
    <row r="378" spans="1:15" ht="17.100000000000001" customHeight="1" x14ac:dyDescent="0.25">
      <c r="A378" s="27">
        <f>IF(C378="","",COUNTA($C$4:C378))</f>
        <v>375</v>
      </c>
      <c r="B378" s="27" t="str">
        <f t="shared" si="158"/>
        <v>November</v>
      </c>
      <c r="C378" s="49">
        <v>45990</v>
      </c>
      <c r="D378" s="21" t="s">
        <v>2309</v>
      </c>
      <c r="E378" s="26" t="s">
        <v>1510</v>
      </c>
      <c r="F378" s="21">
        <v>1408</v>
      </c>
      <c r="G378" s="26" t="s">
        <v>116</v>
      </c>
      <c r="H378" s="26" t="s">
        <v>495</v>
      </c>
      <c r="I378" s="23">
        <v>16072.75</v>
      </c>
      <c r="J378" s="50">
        <v>0.18</v>
      </c>
      <c r="K378" s="62">
        <v>0</v>
      </c>
      <c r="L378" s="24">
        <f t="shared" si="165"/>
        <v>1446.5474999999999</v>
      </c>
      <c r="M378" s="23">
        <f t="shared" si="166"/>
        <v>1446.5474999999999</v>
      </c>
      <c r="N378" s="37">
        <f t="shared" si="167"/>
        <v>18965.845000000001</v>
      </c>
      <c r="O378" s="22"/>
    </row>
    <row r="379" spans="1:15" ht="17.100000000000001" customHeight="1" x14ac:dyDescent="0.25">
      <c r="A379" s="27">
        <f>IF(C379="","",COUNTA($C$4:C379))</f>
        <v>376</v>
      </c>
      <c r="B379" s="27" t="str">
        <f t="shared" si="158"/>
        <v>November</v>
      </c>
      <c r="C379" s="49">
        <v>45990</v>
      </c>
      <c r="D379" s="21" t="s">
        <v>2310</v>
      </c>
      <c r="E379" s="26" t="s">
        <v>1510</v>
      </c>
      <c r="F379" s="21">
        <v>1409</v>
      </c>
      <c r="G379" s="26" t="s">
        <v>116</v>
      </c>
      <c r="H379" s="26" t="s">
        <v>479</v>
      </c>
      <c r="I379" s="23">
        <v>8389.0300000000007</v>
      </c>
      <c r="J379" s="50">
        <v>0.18</v>
      </c>
      <c r="K379" s="62">
        <v>0</v>
      </c>
      <c r="L379" s="24">
        <f t="shared" si="165"/>
        <v>755.0127</v>
      </c>
      <c r="M379" s="23">
        <f t="shared" si="166"/>
        <v>755.0127</v>
      </c>
      <c r="N379" s="37">
        <f t="shared" si="167"/>
        <v>9899.0553999999993</v>
      </c>
      <c r="O379" s="22"/>
    </row>
    <row r="380" spans="1:15" ht="17.100000000000001" customHeight="1" x14ac:dyDescent="0.25">
      <c r="A380" s="27">
        <f>IF(C380="","",COUNTA($C$4:C380))</f>
        <v>377</v>
      </c>
      <c r="B380" s="27" t="str">
        <f t="shared" si="158"/>
        <v>November</v>
      </c>
      <c r="C380" s="49">
        <v>45990</v>
      </c>
      <c r="D380" s="21" t="s">
        <v>2311</v>
      </c>
      <c r="E380" s="26" t="s">
        <v>1510</v>
      </c>
      <c r="F380" s="21">
        <v>1410</v>
      </c>
      <c r="G380" s="26" t="s">
        <v>116</v>
      </c>
      <c r="H380" s="26" t="s">
        <v>495</v>
      </c>
      <c r="I380" s="23">
        <v>242651.45</v>
      </c>
      <c r="J380" s="50">
        <v>0.18</v>
      </c>
      <c r="K380" s="62">
        <v>0</v>
      </c>
      <c r="L380" s="24">
        <f t="shared" si="165"/>
        <v>21838.630500000003</v>
      </c>
      <c r="M380" s="23">
        <f t="shared" si="166"/>
        <v>21838.630500000003</v>
      </c>
      <c r="N380" s="37">
        <f t="shared" si="167"/>
        <v>286328.71100000007</v>
      </c>
      <c r="O380" s="22"/>
    </row>
    <row r="381" spans="1:15" ht="17.100000000000001" customHeight="1" x14ac:dyDescent="0.25">
      <c r="A381" s="27">
        <f>IF(C381="","",COUNTA($C$4:C381))</f>
        <v>378</v>
      </c>
      <c r="B381" s="27" t="str">
        <f t="shared" si="158"/>
        <v>November</v>
      </c>
      <c r="C381" s="49">
        <v>45990</v>
      </c>
      <c r="D381" s="21" t="s">
        <v>2312</v>
      </c>
      <c r="E381" s="26" t="s">
        <v>1510</v>
      </c>
      <c r="F381" s="21">
        <v>1411</v>
      </c>
      <c r="G381" s="26" t="s">
        <v>116</v>
      </c>
      <c r="H381" s="26" t="s">
        <v>495</v>
      </c>
      <c r="I381" s="23">
        <v>2837.95</v>
      </c>
      <c r="J381" s="50">
        <v>0.18</v>
      </c>
      <c r="K381" s="62">
        <v>0</v>
      </c>
      <c r="L381" s="24">
        <f t="shared" si="165"/>
        <v>255.41549999999998</v>
      </c>
      <c r="M381" s="23">
        <f t="shared" si="166"/>
        <v>255.41549999999998</v>
      </c>
      <c r="N381" s="37">
        <f t="shared" si="167"/>
        <v>3348.7809999999999</v>
      </c>
      <c r="O381" s="22"/>
    </row>
    <row r="382" spans="1:15" ht="17.100000000000001" customHeight="1" x14ac:dyDescent="0.25">
      <c r="A382" s="27">
        <f>IF(C382="","",COUNTA($C$4:C382))</f>
        <v>379</v>
      </c>
      <c r="B382" s="27" t="str">
        <f t="shared" si="158"/>
        <v>November</v>
      </c>
      <c r="C382" s="49">
        <v>45990</v>
      </c>
      <c r="D382" s="21" t="s">
        <v>2313</v>
      </c>
      <c r="E382" s="26" t="s">
        <v>1510</v>
      </c>
      <c r="F382" s="21">
        <v>1412</v>
      </c>
      <c r="G382" s="26" t="s">
        <v>116</v>
      </c>
      <c r="H382" s="26" t="s">
        <v>2115</v>
      </c>
      <c r="I382" s="23">
        <v>55452.2</v>
      </c>
      <c r="J382" s="50">
        <v>0.18</v>
      </c>
      <c r="K382" s="62">
        <v>0</v>
      </c>
      <c r="L382" s="24">
        <f t="shared" si="165"/>
        <v>4990.6980000000003</v>
      </c>
      <c r="M382" s="23">
        <f t="shared" si="166"/>
        <v>4990.6980000000003</v>
      </c>
      <c r="N382" s="37">
        <f t="shared" si="167"/>
        <v>65433.596000000005</v>
      </c>
      <c r="O382" s="22"/>
    </row>
    <row r="383" spans="1:15" ht="17.100000000000001" customHeight="1" x14ac:dyDescent="0.25">
      <c r="A383" s="27">
        <f>IF(C383="","",COUNTA($C$4:C383))</f>
        <v>380</v>
      </c>
      <c r="B383" s="27" t="str">
        <f t="shared" si="158"/>
        <v>November</v>
      </c>
      <c r="C383" s="49">
        <v>45990</v>
      </c>
      <c r="D383" s="21" t="s">
        <v>2314</v>
      </c>
      <c r="E383" s="26" t="s">
        <v>1510</v>
      </c>
      <c r="F383" s="21">
        <v>1413</v>
      </c>
      <c r="G383" s="26" t="s">
        <v>116</v>
      </c>
      <c r="H383" s="26" t="s">
        <v>495</v>
      </c>
      <c r="I383" s="23">
        <v>632.15</v>
      </c>
      <c r="J383" s="50">
        <v>0.18</v>
      </c>
      <c r="K383" s="62">
        <v>0</v>
      </c>
      <c r="L383" s="24">
        <f t="shared" si="165"/>
        <v>56.893499999999996</v>
      </c>
      <c r="M383" s="23">
        <f t="shared" si="166"/>
        <v>56.893499999999996</v>
      </c>
      <c r="N383" s="37">
        <f t="shared" si="167"/>
        <v>745.93700000000001</v>
      </c>
      <c r="O383" s="22"/>
    </row>
    <row r="384" spans="1:15" ht="17.100000000000001" customHeight="1" x14ac:dyDescent="0.25">
      <c r="A384" s="27">
        <f>IF(C384="","",COUNTA($C$4:C384))</f>
        <v>381</v>
      </c>
      <c r="B384" s="27" t="str">
        <f t="shared" si="158"/>
        <v>November</v>
      </c>
      <c r="C384" s="49">
        <v>45990</v>
      </c>
      <c r="D384" s="21" t="s">
        <v>2315</v>
      </c>
      <c r="E384" s="26" t="s">
        <v>1510</v>
      </c>
      <c r="F384" s="21">
        <v>1414</v>
      </c>
      <c r="G384" s="26" t="s">
        <v>116</v>
      </c>
      <c r="H384" s="26" t="s">
        <v>953</v>
      </c>
      <c r="I384" s="23">
        <v>2126.1799999999998</v>
      </c>
      <c r="J384" s="50">
        <v>0.18</v>
      </c>
      <c r="K384" s="62">
        <v>0</v>
      </c>
      <c r="L384" s="24">
        <f t="shared" si="165"/>
        <v>191.3562</v>
      </c>
      <c r="M384" s="23">
        <f t="shared" si="166"/>
        <v>191.3562</v>
      </c>
      <c r="N384" s="37">
        <f t="shared" si="167"/>
        <v>2508.8924000000002</v>
      </c>
      <c r="O384" s="22"/>
    </row>
    <row r="385" spans="1:15" ht="17.100000000000001" customHeight="1" x14ac:dyDescent="0.25">
      <c r="A385" s="27">
        <f>IF(C385="","",COUNTA($C$4:C385))</f>
        <v>382</v>
      </c>
      <c r="B385" s="27" t="str">
        <f t="shared" si="158"/>
        <v>November</v>
      </c>
      <c r="C385" s="49">
        <v>45990</v>
      </c>
      <c r="D385" s="21" t="s">
        <v>2316</v>
      </c>
      <c r="E385" s="26" t="s">
        <v>1510</v>
      </c>
      <c r="F385" s="21">
        <v>1415</v>
      </c>
      <c r="G385" s="26" t="s">
        <v>116</v>
      </c>
      <c r="H385" s="26" t="s">
        <v>483</v>
      </c>
      <c r="I385" s="23">
        <v>12279.85</v>
      </c>
      <c r="J385" s="50">
        <v>0.18</v>
      </c>
      <c r="K385" s="62">
        <v>0</v>
      </c>
      <c r="L385" s="24">
        <f t="shared" si="165"/>
        <v>1105.1865</v>
      </c>
      <c r="M385" s="23">
        <f t="shared" si="166"/>
        <v>1105.1865</v>
      </c>
      <c r="N385" s="37">
        <f t="shared" si="167"/>
        <v>14490.223</v>
      </c>
      <c r="O385" s="22"/>
    </row>
    <row r="386" spans="1:15" ht="17.100000000000001" customHeight="1" x14ac:dyDescent="0.25">
      <c r="A386" s="27">
        <f>IF(C386="","",COUNTA($C$4:C386))</f>
        <v>383</v>
      </c>
      <c r="B386" s="27" t="str">
        <f t="shared" si="158"/>
        <v>November</v>
      </c>
      <c r="C386" s="49">
        <v>45990</v>
      </c>
      <c r="D386" s="21" t="s">
        <v>2317</v>
      </c>
      <c r="E386" s="26" t="s">
        <v>1510</v>
      </c>
      <c r="F386" s="21">
        <v>1416</v>
      </c>
      <c r="G386" s="26" t="s">
        <v>116</v>
      </c>
      <c r="H386" s="26" t="s">
        <v>953</v>
      </c>
      <c r="I386" s="23">
        <v>1678.56</v>
      </c>
      <c r="J386" s="50">
        <v>0.18</v>
      </c>
      <c r="K386" s="62">
        <v>0</v>
      </c>
      <c r="L386" s="24">
        <f t="shared" si="165"/>
        <v>151.07039999999998</v>
      </c>
      <c r="M386" s="23">
        <f t="shared" si="166"/>
        <v>151.07039999999998</v>
      </c>
      <c r="N386" s="37">
        <f t="shared" si="167"/>
        <v>1980.7008000000001</v>
      </c>
      <c r="O386" s="22"/>
    </row>
    <row r="387" spans="1:15" ht="17.100000000000001" customHeight="1" x14ac:dyDescent="0.25">
      <c r="A387" s="27">
        <f>IF(C387="","",COUNTA($C$4:C387))</f>
        <v>384</v>
      </c>
      <c r="B387" s="27" t="str">
        <f t="shared" si="158"/>
        <v>November</v>
      </c>
      <c r="C387" s="49">
        <v>45990</v>
      </c>
      <c r="D387" s="21" t="s">
        <v>2318</v>
      </c>
      <c r="E387" s="26" t="s">
        <v>1510</v>
      </c>
      <c r="F387" s="21">
        <v>1417</v>
      </c>
      <c r="G387" s="26" t="s">
        <v>116</v>
      </c>
      <c r="H387" s="26" t="s">
        <v>495</v>
      </c>
      <c r="I387" s="23">
        <v>21789</v>
      </c>
      <c r="J387" s="50">
        <v>0.18</v>
      </c>
      <c r="K387" s="62">
        <v>0</v>
      </c>
      <c r="L387" s="24">
        <f t="shared" si="165"/>
        <v>1961.01</v>
      </c>
      <c r="M387" s="23">
        <f t="shared" si="166"/>
        <v>1961.01</v>
      </c>
      <c r="N387" s="37">
        <f t="shared" si="167"/>
        <v>25711.019999999997</v>
      </c>
      <c r="O387" s="22"/>
    </row>
    <row r="388" spans="1:15" ht="17.100000000000001" customHeight="1" x14ac:dyDescent="0.25">
      <c r="A388" s="27">
        <f>IF(C388="","",COUNTA($C$4:C388))</f>
        <v>385</v>
      </c>
      <c r="B388" s="27" t="str">
        <f t="shared" si="158"/>
        <v>November</v>
      </c>
      <c r="C388" s="49">
        <v>45990</v>
      </c>
      <c r="D388" s="21" t="s">
        <v>2319</v>
      </c>
      <c r="E388" s="26" t="s">
        <v>1510</v>
      </c>
      <c r="F388" s="21">
        <v>1418</v>
      </c>
      <c r="G388" s="26" t="s">
        <v>116</v>
      </c>
      <c r="H388" s="26" t="s">
        <v>495</v>
      </c>
      <c r="I388" s="23">
        <v>2232.6999999999998</v>
      </c>
      <c r="J388" s="50">
        <v>0.18</v>
      </c>
      <c r="K388" s="62">
        <v>0</v>
      </c>
      <c r="L388" s="24">
        <f t="shared" si="165"/>
        <v>200.94299999999998</v>
      </c>
      <c r="M388" s="23">
        <f t="shared" si="166"/>
        <v>200.94299999999998</v>
      </c>
      <c r="N388" s="37">
        <f t="shared" si="167"/>
        <v>2634.5860000000002</v>
      </c>
      <c r="O388" s="22"/>
    </row>
    <row r="389" spans="1:15" ht="17.100000000000001" customHeight="1" x14ac:dyDescent="0.25">
      <c r="A389" s="27">
        <f>IF(C389="","",COUNTA($C$4:C389))</f>
        <v>386</v>
      </c>
      <c r="B389" s="27" t="str">
        <f t="shared" si="158"/>
        <v>November</v>
      </c>
      <c r="C389" s="49">
        <v>45990</v>
      </c>
      <c r="D389" s="21" t="s">
        <v>2320</v>
      </c>
      <c r="E389" s="26" t="s">
        <v>1510</v>
      </c>
      <c r="F389" s="21">
        <v>1419</v>
      </c>
      <c r="G389" s="26" t="s">
        <v>116</v>
      </c>
      <c r="H389" s="26" t="s">
        <v>479</v>
      </c>
      <c r="I389" s="23">
        <v>3106.95</v>
      </c>
      <c r="J389" s="50">
        <v>0.18</v>
      </c>
      <c r="K389" s="62">
        <v>0</v>
      </c>
      <c r="L389" s="24">
        <f t="shared" si="165"/>
        <v>279.62549999999999</v>
      </c>
      <c r="M389" s="23">
        <f t="shared" si="166"/>
        <v>279.62549999999999</v>
      </c>
      <c r="N389" s="37">
        <f t="shared" si="167"/>
        <v>3666.201</v>
      </c>
      <c r="O389" s="22"/>
    </row>
    <row r="390" spans="1:15" ht="17.100000000000001" customHeight="1" x14ac:dyDescent="0.25">
      <c r="A390" s="27">
        <f>IF(C390="","",COUNTA($C$4:C390))</f>
        <v>387</v>
      </c>
      <c r="B390" s="27" t="str">
        <f t="shared" si="158"/>
        <v>November</v>
      </c>
      <c r="C390" s="49">
        <v>45990</v>
      </c>
      <c r="D390" s="21" t="s">
        <v>2321</v>
      </c>
      <c r="E390" s="26" t="s">
        <v>1510</v>
      </c>
      <c r="F390" s="21">
        <v>1420</v>
      </c>
      <c r="G390" s="26" t="s">
        <v>116</v>
      </c>
      <c r="H390" s="26" t="s">
        <v>2322</v>
      </c>
      <c r="I390" s="23">
        <v>25038.52</v>
      </c>
      <c r="J390" s="50">
        <v>0.18</v>
      </c>
      <c r="K390" s="62">
        <v>0</v>
      </c>
      <c r="L390" s="24">
        <f t="shared" si="165"/>
        <v>2253.4668000000001</v>
      </c>
      <c r="M390" s="23">
        <f t="shared" si="166"/>
        <v>2253.4668000000001</v>
      </c>
      <c r="N390" s="37">
        <f t="shared" si="167"/>
        <v>29545.453600000001</v>
      </c>
      <c r="O390" s="22"/>
    </row>
    <row r="391" spans="1:15" ht="17.100000000000001" customHeight="1" x14ac:dyDescent="0.25">
      <c r="A391" s="27">
        <f>IF(C391="","",COUNTA($C$4:C391))</f>
        <v>388</v>
      </c>
      <c r="B391" s="27" t="str">
        <f t="shared" si="158"/>
        <v>November</v>
      </c>
      <c r="C391" s="49">
        <v>45990</v>
      </c>
      <c r="D391" s="21" t="s">
        <v>2323</v>
      </c>
      <c r="E391" s="26" t="s">
        <v>1510</v>
      </c>
      <c r="F391" s="21">
        <v>1421</v>
      </c>
      <c r="G391" s="26" t="s">
        <v>116</v>
      </c>
      <c r="H391" s="26" t="s">
        <v>495</v>
      </c>
      <c r="I391" s="23">
        <v>6133.2</v>
      </c>
      <c r="J391" s="50">
        <v>0.18</v>
      </c>
      <c r="K391" s="62">
        <v>0</v>
      </c>
      <c r="L391" s="24">
        <f t="shared" si="165"/>
        <v>551.98799999999994</v>
      </c>
      <c r="M391" s="23">
        <f t="shared" si="166"/>
        <v>551.98799999999994</v>
      </c>
      <c r="N391" s="37">
        <f t="shared" si="167"/>
        <v>7237.1760000000004</v>
      </c>
      <c r="O391" s="22"/>
    </row>
    <row r="392" spans="1:15" ht="17.100000000000001" customHeight="1" x14ac:dyDescent="0.25">
      <c r="A392" s="27">
        <f>IF(C392="","",COUNTA($C$4:C392))</f>
        <v>389</v>
      </c>
      <c r="B392" s="27" t="str">
        <f t="shared" si="158"/>
        <v>November</v>
      </c>
      <c r="C392" s="49">
        <v>45985</v>
      </c>
      <c r="D392" s="21" t="s">
        <v>2497</v>
      </c>
      <c r="E392" s="26" t="s">
        <v>1114</v>
      </c>
      <c r="F392" s="21" t="s">
        <v>2498</v>
      </c>
      <c r="G392" s="48" t="s">
        <v>1116</v>
      </c>
      <c r="H392" s="26" t="s">
        <v>1117</v>
      </c>
      <c r="I392" s="23">
        <v>17365</v>
      </c>
      <c r="J392" s="50">
        <v>0</v>
      </c>
      <c r="K392" s="62">
        <v>0</v>
      </c>
      <c r="L392" s="24">
        <v>0</v>
      </c>
      <c r="M392" s="23">
        <v>0</v>
      </c>
      <c r="N392" s="37">
        <f t="shared" si="167"/>
        <v>17365</v>
      </c>
      <c r="O392" s="22"/>
    </row>
    <row r="393" spans="1:15" ht="17.100000000000001" customHeight="1" x14ac:dyDescent="0.25">
      <c r="A393" s="27">
        <f>IF(C393="","",COUNTA($C$4:C393))</f>
        <v>390</v>
      </c>
      <c r="B393" s="27" t="str">
        <f t="shared" si="158"/>
        <v>December</v>
      </c>
      <c r="C393" s="49">
        <v>45993</v>
      </c>
      <c r="D393" s="21" t="s">
        <v>2212</v>
      </c>
      <c r="E393" s="26" t="s">
        <v>1266</v>
      </c>
      <c r="F393" s="21">
        <v>711</v>
      </c>
      <c r="G393" s="26" t="s">
        <v>392</v>
      </c>
      <c r="H393" s="26" t="s">
        <v>2213</v>
      </c>
      <c r="I393" s="23">
        <v>149584</v>
      </c>
      <c r="J393" s="50">
        <v>0.18</v>
      </c>
      <c r="K393" s="62">
        <v>0</v>
      </c>
      <c r="L393" s="24">
        <f t="shared" si="165"/>
        <v>13462.56</v>
      </c>
      <c r="M393" s="23">
        <f t="shared" si="166"/>
        <v>13462.56</v>
      </c>
      <c r="N393" s="37">
        <f t="shared" ref="N393:N397" si="168">+I393+L393+M393</f>
        <v>176509.12</v>
      </c>
      <c r="O393" s="22"/>
    </row>
    <row r="394" spans="1:15" ht="17.100000000000001" customHeight="1" x14ac:dyDescent="0.25">
      <c r="A394" s="27">
        <f>IF(C394="","",COUNTA($C$4:C394))</f>
        <v>391</v>
      </c>
      <c r="B394" s="27" t="str">
        <f t="shared" si="158"/>
        <v>December</v>
      </c>
      <c r="C394" s="49">
        <v>45993</v>
      </c>
      <c r="D394" s="21" t="s">
        <v>2263</v>
      </c>
      <c r="E394" s="26" t="s">
        <v>2264</v>
      </c>
      <c r="F394" s="21" t="s">
        <v>2265</v>
      </c>
      <c r="G394" s="26" t="s">
        <v>146</v>
      </c>
      <c r="H394" s="26" t="s">
        <v>2266</v>
      </c>
      <c r="I394" s="23">
        <v>8000</v>
      </c>
      <c r="J394" s="50">
        <v>0.18</v>
      </c>
      <c r="K394" s="62">
        <v>0</v>
      </c>
      <c r="L394" s="24">
        <f t="shared" si="165"/>
        <v>720</v>
      </c>
      <c r="M394" s="23">
        <f t="shared" si="166"/>
        <v>720</v>
      </c>
      <c r="N394" s="37">
        <f t="shared" si="168"/>
        <v>9440</v>
      </c>
      <c r="O394" s="22"/>
    </row>
    <row r="395" spans="1:15" ht="17.100000000000001" customHeight="1" x14ac:dyDescent="0.25">
      <c r="A395" s="27">
        <f>IF(C395="","",COUNTA($C$4:C395))</f>
        <v>392</v>
      </c>
      <c r="B395" s="27" t="str">
        <f t="shared" si="158"/>
        <v>December</v>
      </c>
      <c r="C395" s="49">
        <v>45995</v>
      </c>
      <c r="D395" s="21" t="s">
        <v>2267</v>
      </c>
      <c r="E395" s="26" t="s">
        <v>783</v>
      </c>
      <c r="F395" s="21" t="s">
        <v>2268</v>
      </c>
      <c r="G395" s="26" t="s">
        <v>583</v>
      </c>
      <c r="H395" s="26" t="s">
        <v>2213</v>
      </c>
      <c r="I395" s="23">
        <v>491647</v>
      </c>
      <c r="J395" s="50">
        <v>0.18</v>
      </c>
      <c r="K395" s="62">
        <v>0</v>
      </c>
      <c r="L395" s="24">
        <f t="shared" si="165"/>
        <v>44248.23</v>
      </c>
      <c r="M395" s="23">
        <f t="shared" si="166"/>
        <v>44248.23</v>
      </c>
      <c r="N395" s="37">
        <f t="shared" si="168"/>
        <v>580143.46</v>
      </c>
      <c r="O395" s="22"/>
    </row>
    <row r="396" spans="1:15" ht="17.100000000000001" customHeight="1" x14ac:dyDescent="0.25">
      <c r="A396" s="27">
        <f>IF(C396="","",COUNTA($C$4:C396))</f>
        <v>393</v>
      </c>
      <c r="B396" s="27" t="str">
        <f t="shared" si="158"/>
        <v>December</v>
      </c>
      <c r="C396" s="49">
        <v>45993</v>
      </c>
      <c r="D396" s="21" t="s">
        <v>2278</v>
      </c>
      <c r="E396" s="26" t="s">
        <v>853</v>
      </c>
      <c r="F396" s="21" t="s">
        <v>2637</v>
      </c>
      <c r="G396" s="26" t="s">
        <v>292</v>
      </c>
      <c r="H396" s="26" t="s">
        <v>2638</v>
      </c>
      <c r="I396" s="23">
        <v>3600</v>
      </c>
      <c r="J396" s="50">
        <v>0.18</v>
      </c>
      <c r="K396" s="62" t="s">
        <v>2639</v>
      </c>
      <c r="L396" s="24">
        <f t="shared" si="165"/>
        <v>324</v>
      </c>
      <c r="M396" s="23">
        <f t="shared" si="166"/>
        <v>324</v>
      </c>
      <c r="N396" s="37">
        <f>+I396+L396+M396+311</f>
        <v>4559</v>
      </c>
      <c r="O396" s="22"/>
    </row>
    <row r="397" spans="1:15" ht="17.100000000000001" customHeight="1" x14ac:dyDescent="0.25">
      <c r="A397" s="27">
        <f>IF(C397="","",COUNTA($C$4:C397))</f>
        <v>394</v>
      </c>
      <c r="B397" s="27" t="str">
        <f t="shared" si="158"/>
        <v>December</v>
      </c>
      <c r="C397" s="49">
        <v>45993</v>
      </c>
      <c r="D397" s="21" t="s">
        <v>2269</v>
      </c>
      <c r="E397" s="26" t="s">
        <v>111</v>
      </c>
      <c r="F397" s="53" t="s">
        <v>2270</v>
      </c>
      <c r="G397" s="26" t="s">
        <v>472</v>
      </c>
      <c r="H397" s="26" t="s">
        <v>2213</v>
      </c>
      <c r="I397" s="23">
        <v>132982</v>
      </c>
      <c r="J397" s="50">
        <v>0</v>
      </c>
      <c r="K397" s="62">
        <v>0</v>
      </c>
      <c r="L397" s="24">
        <v>0</v>
      </c>
      <c r="M397" s="23">
        <v>0</v>
      </c>
      <c r="N397" s="37">
        <f t="shared" si="168"/>
        <v>132982</v>
      </c>
      <c r="O397" s="22"/>
    </row>
    <row r="398" spans="1:15" ht="17.100000000000001" customHeight="1" x14ac:dyDescent="0.25">
      <c r="A398" s="27">
        <f>IF(C398="","",COUNTA($C$4:C398))</f>
        <v>395</v>
      </c>
      <c r="B398" s="27" t="str">
        <f t="shared" si="158"/>
        <v>December</v>
      </c>
      <c r="C398" s="49">
        <v>45996</v>
      </c>
      <c r="D398" s="21" t="s">
        <v>2271</v>
      </c>
      <c r="E398" s="26" t="s">
        <v>364</v>
      </c>
      <c r="F398" s="21" t="s">
        <v>2272</v>
      </c>
      <c r="G398" s="26" t="s">
        <v>366</v>
      </c>
      <c r="H398" s="26" t="s">
        <v>1833</v>
      </c>
      <c r="I398" s="23">
        <v>2280</v>
      </c>
      <c r="J398" s="50">
        <v>0.18</v>
      </c>
      <c r="K398" s="62">
        <v>0</v>
      </c>
      <c r="L398" s="24">
        <f>I398*9/100</f>
        <v>205.2</v>
      </c>
      <c r="M398" s="23">
        <f>I398*9/100</f>
        <v>205.2</v>
      </c>
      <c r="N398" s="37">
        <f t="shared" ref="N398" si="169">+I398+L398+M398</f>
        <v>2690.3999999999996</v>
      </c>
      <c r="O398" s="22"/>
    </row>
    <row r="399" spans="1:15" ht="17.100000000000001" customHeight="1" x14ac:dyDescent="0.25">
      <c r="A399" s="27">
        <f>IF(C399="","",COUNTA($C$4:C399))</f>
        <v>396</v>
      </c>
      <c r="B399" s="27" t="str">
        <f t="shared" si="158"/>
        <v>December</v>
      </c>
      <c r="C399" s="49">
        <v>45997</v>
      </c>
      <c r="D399" s="21" t="s">
        <v>2273</v>
      </c>
      <c r="E399" s="26" t="s">
        <v>2274</v>
      </c>
      <c r="F399" s="21" t="s">
        <v>2275</v>
      </c>
      <c r="G399" s="26" t="s">
        <v>2276</v>
      </c>
      <c r="H399" s="26" t="s">
        <v>2277</v>
      </c>
      <c r="I399" s="23">
        <v>8750</v>
      </c>
      <c r="J399" s="50">
        <v>0.18</v>
      </c>
      <c r="K399" s="62">
        <v>0</v>
      </c>
      <c r="L399" s="24">
        <f>I399*9/100</f>
        <v>787.5</v>
      </c>
      <c r="M399" s="23">
        <f>I399*9/100</f>
        <v>787.5</v>
      </c>
      <c r="N399" s="37">
        <f>+I399+L399+M399+2000</f>
        <v>12325</v>
      </c>
      <c r="O399" s="22"/>
    </row>
    <row r="400" spans="1:15" ht="17.100000000000001" customHeight="1" x14ac:dyDescent="0.25">
      <c r="A400" s="27">
        <f>IF(C400="","",COUNTA($C$4:C400))</f>
        <v>397</v>
      </c>
      <c r="B400" s="27" t="str">
        <f t="shared" si="158"/>
        <v>December</v>
      </c>
      <c r="C400" s="49">
        <v>46002</v>
      </c>
      <c r="D400" s="21" t="s">
        <v>2324</v>
      </c>
      <c r="E400" s="26" t="s">
        <v>284</v>
      </c>
      <c r="F400" s="53">
        <v>4318</v>
      </c>
      <c r="G400" s="26" t="s">
        <v>285</v>
      </c>
      <c r="H400" s="26" t="s">
        <v>2325</v>
      </c>
      <c r="I400" s="23">
        <v>3600</v>
      </c>
      <c r="J400" s="50">
        <v>0.18</v>
      </c>
      <c r="K400" s="62">
        <v>0</v>
      </c>
      <c r="L400" s="24">
        <f>I400*9/100</f>
        <v>324</v>
      </c>
      <c r="M400" s="23">
        <f>I400*9/100</f>
        <v>324</v>
      </c>
      <c r="N400" s="37">
        <f>+I400+L400+M400</f>
        <v>4248</v>
      </c>
      <c r="O400" s="22"/>
    </row>
    <row r="401" spans="1:15" ht="17.100000000000001" customHeight="1" x14ac:dyDescent="0.25">
      <c r="A401" s="27">
        <f>IF(C401="","",COUNTA($C$4:C401))</f>
        <v>398</v>
      </c>
      <c r="B401" s="27" t="str">
        <f t="shared" si="158"/>
        <v>December</v>
      </c>
      <c r="C401" s="49">
        <v>46003</v>
      </c>
      <c r="D401" s="21" t="s">
        <v>2326</v>
      </c>
      <c r="E401" s="26" t="s">
        <v>2327</v>
      </c>
      <c r="F401" s="21" t="s">
        <v>2328</v>
      </c>
      <c r="G401" s="26" t="s">
        <v>1116</v>
      </c>
      <c r="H401" s="26" t="s">
        <v>2329</v>
      </c>
      <c r="I401" s="23">
        <v>15800</v>
      </c>
      <c r="J401" s="50">
        <v>0.18</v>
      </c>
      <c r="K401" s="62">
        <f>I401*18/100</f>
        <v>2844</v>
      </c>
      <c r="L401" s="24">
        <v>0</v>
      </c>
      <c r="M401" s="23">
        <v>0</v>
      </c>
      <c r="N401" s="37">
        <f>I401+K401</f>
        <v>18644</v>
      </c>
      <c r="O401" s="22"/>
    </row>
    <row r="402" spans="1:15" ht="17.100000000000001" customHeight="1" x14ac:dyDescent="0.25">
      <c r="A402" s="27">
        <f>IF(C402="","",COUNTA($C$4:C402))</f>
        <v>399</v>
      </c>
      <c r="B402" s="27" t="str">
        <f t="shared" si="158"/>
        <v>December</v>
      </c>
      <c r="C402" s="49">
        <v>46006</v>
      </c>
      <c r="D402" s="86" t="s">
        <v>2381</v>
      </c>
      <c r="E402" s="26" t="s">
        <v>548</v>
      </c>
      <c r="F402" s="21" t="s">
        <v>2544</v>
      </c>
      <c r="G402" s="26" t="s">
        <v>583</v>
      </c>
      <c r="H402" s="26" t="s">
        <v>2213</v>
      </c>
      <c r="I402" s="23">
        <v>580038.81000000006</v>
      </c>
      <c r="J402" s="50">
        <v>0.18</v>
      </c>
      <c r="K402" s="62">
        <v>0</v>
      </c>
      <c r="L402" s="24">
        <f>I402*9/100</f>
        <v>52203.492900000012</v>
      </c>
      <c r="M402" s="23">
        <f>I402*9/100</f>
        <v>52203.492900000012</v>
      </c>
      <c r="N402" s="37">
        <f t="shared" ref="N402:N411" si="170">+I402+L402+M402</f>
        <v>684445.79579999996</v>
      </c>
      <c r="O402" s="22"/>
    </row>
    <row r="403" spans="1:15" ht="17.100000000000001" customHeight="1" x14ac:dyDescent="0.25">
      <c r="A403" s="27">
        <f>IF(C403="","",COUNTA($C$4:C403))</f>
        <v>400</v>
      </c>
      <c r="B403" s="27" t="str">
        <f t="shared" si="158"/>
        <v>December</v>
      </c>
      <c r="C403" s="49">
        <v>46006</v>
      </c>
      <c r="D403" s="86" t="s">
        <v>2382</v>
      </c>
      <c r="E403" s="26" t="s">
        <v>548</v>
      </c>
      <c r="F403" s="21" t="s">
        <v>2499</v>
      </c>
      <c r="G403" s="26" t="s">
        <v>553</v>
      </c>
      <c r="H403" s="26" t="s">
        <v>2213</v>
      </c>
      <c r="I403" s="23">
        <v>40061.599999999999</v>
      </c>
      <c r="J403" s="50">
        <v>0.18</v>
      </c>
      <c r="K403" s="62">
        <v>0</v>
      </c>
      <c r="L403" s="24">
        <f>I403*9/100</f>
        <v>3605.5439999999999</v>
      </c>
      <c r="M403" s="23">
        <f>I403*9/100</f>
        <v>3605.5439999999999</v>
      </c>
      <c r="N403" s="37">
        <f t="shared" si="170"/>
        <v>47272.688000000002</v>
      </c>
      <c r="O403" s="22"/>
    </row>
    <row r="404" spans="1:15" ht="17.100000000000001" customHeight="1" x14ac:dyDescent="0.25">
      <c r="A404" s="27">
        <f>IF(C404="","",COUNTA($C$4:C404))</f>
        <v>401</v>
      </c>
      <c r="B404" s="27" t="str">
        <f t="shared" si="158"/>
        <v>December</v>
      </c>
      <c r="C404" s="49">
        <v>46007</v>
      </c>
      <c r="D404" s="21" t="s">
        <v>2383</v>
      </c>
      <c r="E404" s="26" t="s">
        <v>2384</v>
      </c>
      <c r="F404" s="21">
        <v>171</v>
      </c>
      <c r="G404" s="26" t="s">
        <v>1116</v>
      </c>
      <c r="H404" s="26" t="s">
        <v>2385</v>
      </c>
      <c r="I404" s="23">
        <v>35850</v>
      </c>
      <c r="J404" s="50">
        <v>0.18</v>
      </c>
      <c r="K404" s="62">
        <v>0</v>
      </c>
      <c r="L404" s="24">
        <f>I404*9/100</f>
        <v>3226.5</v>
      </c>
      <c r="M404" s="23">
        <f>I404*9/100</f>
        <v>3226.5</v>
      </c>
      <c r="N404" s="37">
        <f t="shared" si="170"/>
        <v>42303</v>
      </c>
      <c r="O404" s="22"/>
    </row>
    <row r="405" spans="1:15" ht="17.100000000000001" customHeight="1" x14ac:dyDescent="0.25">
      <c r="A405" s="27">
        <f>IF(C405="","",COUNTA($C$4:C405))</f>
        <v>402</v>
      </c>
      <c r="B405" s="27" t="str">
        <f t="shared" si="158"/>
        <v>December</v>
      </c>
      <c r="C405" s="49">
        <v>46006</v>
      </c>
      <c r="D405" s="21" t="s">
        <v>2386</v>
      </c>
      <c r="E405" s="26" t="s">
        <v>141</v>
      </c>
      <c r="F405" s="21">
        <v>723</v>
      </c>
      <c r="G405" s="26" t="s">
        <v>1815</v>
      </c>
      <c r="H405" s="26" t="s">
        <v>2387</v>
      </c>
      <c r="I405" s="23">
        <v>1026</v>
      </c>
      <c r="J405" s="50">
        <v>0</v>
      </c>
      <c r="K405" s="62">
        <v>0</v>
      </c>
      <c r="L405" s="24">
        <v>0</v>
      </c>
      <c r="M405" s="23">
        <v>0</v>
      </c>
      <c r="N405" s="37">
        <f t="shared" si="170"/>
        <v>1026</v>
      </c>
      <c r="O405" s="22"/>
    </row>
    <row r="406" spans="1:15" ht="17.100000000000001" customHeight="1" x14ac:dyDescent="0.25">
      <c r="A406" s="27">
        <f>IF(C406="","",COUNTA($C$4:C406))</f>
        <v>403</v>
      </c>
      <c r="B406" s="27" t="str">
        <f t="shared" si="158"/>
        <v>December</v>
      </c>
      <c r="C406" s="49">
        <v>46015</v>
      </c>
      <c r="D406" s="86" t="s">
        <v>2500</v>
      </c>
      <c r="E406" s="26" t="s">
        <v>965</v>
      </c>
      <c r="F406" s="21" t="s">
        <v>2545</v>
      </c>
      <c r="G406" s="26" t="s">
        <v>573</v>
      </c>
      <c r="H406" s="26" t="s">
        <v>2546</v>
      </c>
      <c r="I406" s="23">
        <v>13880</v>
      </c>
      <c r="J406" s="50">
        <v>0.18</v>
      </c>
      <c r="K406" s="62">
        <v>0</v>
      </c>
      <c r="L406" s="24">
        <f>I406*9/100</f>
        <v>1249.2</v>
      </c>
      <c r="M406" s="23">
        <f>I406*9/100</f>
        <v>1249.2</v>
      </c>
      <c r="N406" s="37">
        <f t="shared" si="170"/>
        <v>16378.400000000001</v>
      </c>
      <c r="O406" s="22"/>
    </row>
    <row r="407" spans="1:15" ht="17.100000000000001" customHeight="1" x14ac:dyDescent="0.25">
      <c r="A407" s="27">
        <f>IF(C407="","",COUNTA($C$4:C407))</f>
        <v>404</v>
      </c>
      <c r="B407" s="27" t="str">
        <f t="shared" si="158"/>
        <v>December</v>
      </c>
      <c r="C407" s="49">
        <v>46017</v>
      </c>
      <c r="D407" s="21" t="s">
        <v>2501</v>
      </c>
      <c r="E407" s="26" t="s">
        <v>1848</v>
      </c>
      <c r="F407" s="21">
        <v>44517748</v>
      </c>
      <c r="G407" s="48" t="s">
        <v>1849</v>
      </c>
      <c r="H407" s="26" t="s">
        <v>2502</v>
      </c>
      <c r="I407" s="23">
        <v>14825.2</v>
      </c>
      <c r="J407" s="50">
        <v>0.18</v>
      </c>
      <c r="K407" s="62">
        <v>0</v>
      </c>
      <c r="L407" s="24">
        <f>I407*9/100</f>
        <v>1334.2680000000003</v>
      </c>
      <c r="M407" s="23">
        <f>I407*9/100</f>
        <v>1334.2680000000003</v>
      </c>
      <c r="N407" s="37">
        <f t="shared" si="170"/>
        <v>17493.736000000001</v>
      </c>
      <c r="O407" s="22"/>
    </row>
    <row r="408" spans="1:15" ht="17.100000000000001" customHeight="1" x14ac:dyDescent="0.25">
      <c r="A408" s="27">
        <f>IF(C408="","",COUNTA($C$4:C408))</f>
        <v>405</v>
      </c>
      <c r="B408" s="27" t="str">
        <f t="shared" si="158"/>
        <v>December</v>
      </c>
      <c r="C408" s="49">
        <v>46017</v>
      </c>
      <c r="D408" s="21" t="s">
        <v>2503</v>
      </c>
      <c r="E408" s="26" t="s">
        <v>1848</v>
      </c>
      <c r="F408" s="21" t="s">
        <v>2504</v>
      </c>
      <c r="G408" s="48" t="s">
        <v>1849</v>
      </c>
      <c r="H408" s="26" t="s">
        <v>2502</v>
      </c>
      <c r="I408" s="23">
        <v>84123.83</v>
      </c>
      <c r="J408" s="50">
        <v>0.18</v>
      </c>
      <c r="K408" s="62">
        <v>0</v>
      </c>
      <c r="L408" s="24">
        <f>I408*9/100</f>
        <v>7571.1446999999998</v>
      </c>
      <c r="M408" s="23">
        <f>I408*9/100</f>
        <v>7571.1446999999998</v>
      </c>
      <c r="N408" s="37">
        <f t="shared" si="170"/>
        <v>99266.119400000011</v>
      </c>
      <c r="O408" s="22"/>
    </row>
    <row r="409" spans="1:15" ht="17.100000000000001" customHeight="1" x14ac:dyDescent="0.25">
      <c r="A409" s="27">
        <f>IF(C409="","",COUNTA($C$4:C409))</f>
        <v>406</v>
      </c>
      <c r="B409" s="27" t="str">
        <f t="shared" si="158"/>
        <v>December</v>
      </c>
      <c r="C409" s="49">
        <v>46022</v>
      </c>
      <c r="D409" s="21" t="s">
        <v>2505</v>
      </c>
      <c r="E409" s="26" t="s">
        <v>364</v>
      </c>
      <c r="F409" s="21" t="s">
        <v>2506</v>
      </c>
      <c r="G409" s="48" t="s">
        <v>366</v>
      </c>
      <c r="H409" s="26" t="s">
        <v>1390</v>
      </c>
      <c r="I409" s="23">
        <v>2700</v>
      </c>
      <c r="J409" s="50">
        <v>0.18</v>
      </c>
      <c r="K409" s="62">
        <v>0</v>
      </c>
      <c r="L409" s="24">
        <f>I409*9/100</f>
        <v>243</v>
      </c>
      <c r="M409" s="23">
        <f>I409*9/100</f>
        <v>243</v>
      </c>
      <c r="N409" s="37">
        <f t="shared" si="170"/>
        <v>3186</v>
      </c>
      <c r="O409" s="22"/>
    </row>
    <row r="410" spans="1:15" ht="17.100000000000001" customHeight="1" x14ac:dyDescent="0.25">
      <c r="A410" s="27">
        <f>IF(C410="","",COUNTA($C$4:C410))</f>
        <v>407</v>
      </c>
      <c r="B410" s="27" t="str">
        <f t="shared" si="158"/>
        <v>December</v>
      </c>
      <c r="C410" s="49">
        <v>46022</v>
      </c>
      <c r="D410" s="21" t="s">
        <v>2507</v>
      </c>
      <c r="E410" s="26" t="s">
        <v>456</v>
      </c>
      <c r="F410" s="21" t="s">
        <v>2508</v>
      </c>
      <c r="G410" s="48" t="s">
        <v>292</v>
      </c>
      <c r="H410" s="26" t="s">
        <v>2256</v>
      </c>
      <c r="I410" s="23">
        <v>1500</v>
      </c>
      <c r="J410" s="50">
        <v>0.18</v>
      </c>
      <c r="K410" s="62">
        <v>0</v>
      </c>
      <c r="L410" s="24">
        <f>I410*9/100</f>
        <v>135</v>
      </c>
      <c r="M410" s="23">
        <f>I410*9/100</f>
        <v>135</v>
      </c>
      <c r="N410" s="37">
        <f t="shared" si="170"/>
        <v>1770</v>
      </c>
      <c r="O410" s="22"/>
    </row>
    <row r="411" spans="1:15" ht="17.100000000000001" customHeight="1" x14ac:dyDescent="0.25">
      <c r="A411" s="27">
        <f>IF(C411="","",COUNTA($C$4:C411))</f>
        <v>408</v>
      </c>
      <c r="B411" s="27" t="str">
        <f t="shared" si="158"/>
        <v>December</v>
      </c>
      <c r="C411" s="49">
        <v>46022</v>
      </c>
      <c r="D411" s="21" t="s">
        <v>2509</v>
      </c>
      <c r="E411" s="26" t="s">
        <v>460</v>
      </c>
      <c r="F411" s="21" t="s">
        <v>2510</v>
      </c>
      <c r="G411" s="48" t="s">
        <v>462</v>
      </c>
      <c r="H411" s="26" t="s">
        <v>2511</v>
      </c>
      <c r="I411" s="23">
        <v>4631</v>
      </c>
      <c r="J411" s="50">
        <v>0</v>
      </c>
      <c r="K411" s="62">
        <v>0</v>
      </c>
      <c r="L411" s="24">
        <v>0</v>
      </c>
      <c r="M411" s="23">
        <v>0</v>
      </c>
      <c r="N411" s="37">
        <f t="shared" si="170"/>
        <v>4631</v>
      </c>
      <c r="O411" s="22"/>
    </row>
    <row r="412" spans="1:15" ht="17.100000000000001" customHeight="1" x14ac:dyDescent="0.25">
      <c r="A412" s="27">
        <f>IF(C412="","",COUNTA($C$4:C412))</f>
        <v>409</v>
      </c>
      <c r="B412" s="27" t="str">
        <f t="shared" si="158"/>
        <v>December</v>
      </c>
      <c r="C412" s="49">
        <v>46022</v>
      </c>
      <c r="D412" s="21" t="s">
        <v>2512</v>
      </c>
      <c r="E412" s="26" t="s">
        <v>1810</v>
      </c>
      <c r="F412" s="21" t="s">
        <v>2513</v>
      </c>
      <c r="G412" s="48" t="s">
        <v>1812</v>
      </c>
      <c r="H412" s="26" t="s">
        <v>1813</v>
      </c>
      <c r="I412" s="23">
        <v>15254.24</v>
      </c>
      <c r="J412" s="50">
        <v>0.18</v>
      </c>
      <c r="K412" s="62">
        <f>I412*18/100</f>
        <v>2745.7631999999999</v>
      </c>
      <c r="L412" s="24">
        <v>0</v>
      </c>
      <c r="M412" s="23">
        <v>0</v>
      </c>
      <c r="N412" s="37">
        <f>I412+K412</f>
        <v>18000.003199999999</v>
      </c>
      <c r="O412" s="22"/>
    </row>
    <row r="413" spans="1:15" ht="17.100000000000001" customHeight="1" x14ac:dyDescent="0.25">
      <c r="A413" s="27">
        <f>IF(C413="","",COUNTA($C$4:C413))</f>
        <v>410</v>
      </c>
      <c r="B413" s="27" t="str">
        <f t="shared" si="158"/>
        <v>December</v>
      </c>
      <c r="C413" s="49">
        <v>46022</v>
      </c>
      <c r="D413" s="21" t="s">
        <v>2514</v>
      </c>
      <c r="E413" s="26" t="s">
        <v>141</v>
      </c>
      <c r="F413" s="21">
        <v>774</v>
      </c>
      <c r="G413" s="48" t="s">
        <v>142</v>
      </c>
      <c r="H413" s="26" t="s">
        <v>2515</v>
      </c>
      <c r="I413" s="23">
        <v>14512</v>
      </c>
      <c r="J413" s="50">
        <v>0</v>
      </c>
      <c r="K413" s="62">
        <v>0</v>
      </c>
      <c r="L413" s="24">
        <v>0</v>
      </c>
      <c r="M413" s="23">
        <v>0</v>
      </c>
      <c r="N413" s="37">
        <f>I413+K413</f>
        <v>14512</v>
      </c>
      <c r="O413" s="22"/>
    </row>
    <row r="414" spans="1:15" ht="17.100000000000001" customHeight="1" x14ac:dyDescent="0.25">
      <c r="A414" s="27">
        <f>IF(C414="","",COUNTA($C$4:C414))</f>
        <v>411</v>
      </c>
      <c r="B414" s="27" t="str">
        <f t="shared" si="158"/>
        <v>December</v>
      </c>
      <c r="C414" s="49">
        <v>46022</v>
      </c>
      <c r="D414" s="21" t="s">
        <v>2516</v>
      </c>
      <c r="E414" s="26" t="s">
        <v>448</v>
      </c>
      <c r="F414" s="21">
        <v>287</v>
      </c>
      <c r="G414" s="26" t="s">
        <v>449</v>
      </c>
      <c r="H414" s="26" t="s">
        <v>2511</v>
      </c>
      <c r="I414" s="23">
        <v>95450</v>
      </c>
      <c r="J414" s="50">
        <v>0</v>
      </c>
      <c r="K414" s="62">
        <v>0</v>
      </c>
      <c r="L414" s="24">
        <v>0</v>
      </c>
      <c r="M414" s="23">
        <v>0</v>
      </c>
      <c r="N414" s="37">
        <f>I414+K414</f>
        <v>95450</v>
      </c>
      <c r="O414" s="22"/>
    </row>
    <row r="415" spans="1:15" ht="17.100000000000001" customHeight="1" x14ac:dyDescent="0.25">
      <c r="A415" s="27">
        <f>IF(C415="","",COUNTA($C$4:C415))</f>
        <v>412</v>
      </c>
      <c r="B415" s="27" t="str">
        <f t="shared" si="158"/>
        <v>December</v>
      </c>
      <c r="C415" s="49">
        <v>46022</v>
      </c>
      <c r="D415" s="21" t="s">
        <v>2517</v>
      </c>
      <c r="E415" s="26" t="s">
        <v>448</v>
      </c>
      <c r="F415" s="21">
        <v>288</v>
      </c>
      <c r="G415" s="26" t="s">
        <v>449</v>
      </c>
      <c r="H415" s="26" t="s">
        <v>2511</v>
      </c>
      <c r="I415" s="23">
        <v>41150</v>
      </c>
      <c r="J415" s="50">
        <v>0</v>
      </c>
      <c r="K415" s="62">
        <v>0</v>
      </c>
      <c r="L415" s="24">
        <v>0</v>
      </c>
      <c r="M415" s="23">
        <v>0</v>
      </c>
      <c r="N415" s="37">
        <f>I415+K415</f>
        <v>41150</v>
      </c>
      <c r="O415" s="22"/>
    </row>
    <row r="416" spans="1:15" ht="17.100000000000001" customHeight="1" x14ac:dyDescent="0.25">
      <c r="A416" s="27">
        <f>IF(C416="","",COUNTA($C$4:C416))</f>
        <v>413</v>
      </c>
      <c r="B416" s="27" t="str">
        <f t="shared" ref="B416" si="171">IF(C416="","",TEXT(C416,"mmmm"))</f>
        <v>December</v>
      </c>
      <c r="C416" s="49">
        <v>46017</v>
      </c>
      <c r="D416" s="21" t="s">
        <v>2518</v>
      </c>
      <c r="E416" s="26" t="s">
        <v>2519</v>
      </c>
      <c r="F416" s="21">
        <v>104</v>
      </c>
      <c r="G416" s="26" t="s">
        <v>292</v>
      </c>
      <c r="H416" s="26" t="s">
        <v>2520</v>
      </c>
      <c r="I416" s="23">
        <v>15400</v>
      </c>
      <c r="J416" s="50">
        <v>0</v>
      </c>
      <c r="K416" s="62">
        <v>0</v>
      </c>
      <c r="L416" s="24">
        <v>0</v>
      </c>
      <c r="M416" s="23">
        <v>0</v>
      </c>
      <c r="N416" s="37">
        <f>I416+K416</f>
        <v>15400</v>
      </c>
      <c r="O416" s="22"/>
    </row>
    <row r="417" spans="1:15" ht="17.100000000000001" customHeight="1" x14ac:dyDescent="0.25">
      <c r="A417" s="27">
        <f>IF(C417="","",COUNTA($C$4:C417))</f>
        <v>414</v>
      </c>
      <c r="B417" s="27" t="str">
        <f t="shared" si="158"/>
        <v>December</v>
      </c>
      <c r="C417" s="49">
        <v>46022</v>
      </c>
      <c r="D417" s="21" t="s">
        <v>2521</v>
      </c>
      <c r="E417" s="26" t="s">
        <v>452</v>
      </c>
      <c r="F417" s="21" t="s">
        <v>2522</v>
      </c>
      <c r="G417" s="26" t="s">
        <v>454</v>
      </c>
      <c r="H417" s="26" t="s">
        <v>2511</v>
      </c>
      <c r="I417" s="23">
        <v>1076.4000000000001</v>
      </c>
      <c r="J417" s="50">
        <v>0.18</v>
      </c>
      <c r="K417" s="62">
        <v>0</v>
      </c>
      <c r="L417" s="24">
        <f t="shared" ref="L417:L438" si="172">I417*9/100</f>
        <v>96.876000000000005</v>
      </c>
      <c r="M417" s="23">
        <f t="shared" ref="M417:M438" si="173">I417*9/100</f>
        <v>96.876000000000005</v>
      </c>
      <c r="N417" s="37">
        <f t="shared" ref="N417:N440" si="174">+I417+L417+M417</f>
        <v>1270.152</v>
      </c>
      <c r="O417" s="22"/>
    </row>
    <row r="418" spans="1:15" ht="17.100000000000001" customHeight="1" x14ac:dyDescent="0.25">
      <c r="A418" s="27">
        <f>IF(C418="","",COUNTA($C$4:C418))</f>
        <v>415</v>
      </c>
      <c r="B418" s="27" t="str">
        <f t="shared" si="158"/>
        <v>December</v>
      </c>
      <c r="C418" s="49">
        <v>46022</v>
      </c>
      <c r="D418" s="21" t="s">
        <v>2523</v>
      </c>
      <c r="E418" s="26" t="s">
        <v>1510</v>
      </c>
      <c r="F418" s="21">
        <v>1424</v>
      </c>
      <c r="G418" s="26" t="s">
        <v>116</v>
      </c>
      <c r="H418" s="26" t="s">
        <v>495</v>
      </c>
      <c r="I418" s="23">
        <v>10827.25</v>
      </c>
      <c r="J418" s="50">
        <v>0.18</v>
      </c>
      <c r="K418" s="62">
        <v>0</v>
      </c>
      <c r="L418" s="24">
        <f t="shared" si="172"/>
        <v>974.45249999999999</v>
      </c>
      <c r="M418" s="23">
        <f t="shared" si="173"/>
        <v>974.45249999999999</v>
      </c>
      <c r="N418" s="37">
        <f t="shared" si="174"/>
        <v>12776.154999999999</v>
      </c>
      <c r="O418" s="22"/>
    </row>
    <row r="419" spans="1:15" ht="17.100000000000001" customHeight="1" x14ac:dyDescent="0.25">
      <c r="A419" s="27">
        <f>IF(C419="","",COUNTA($C$4:C419))</f>
        <v>416</v>
      </c>
      <c r="B419" s="27" t="str">
        <f t="shared" si="158"/>
        <v>December</v>
      </c>
      <c r="C419" s="49">
        <v>46022</v>
      </c>
      <c r="D419" s="21" t="s">
        <v>2524</v>
      </c>
      <c r="E419" s="26" t="s">
        <v>1510</v>
      </c>
      <c r="F419" s="21">
        <v>1425</v>
      </c>
      <c r="G419" s="26" t="s">
        <v>116</v>
      </c>
      <c r="H419" s="26" t="s">
        <v>479</v>
      </c>
      <c r="I419" s="23">
        <v>23972.2</v>
      </c>
      <c r="J419" s="50">
        <v>0.18</v>
      </c>
      <c r="K419" s="62">
        <v>0</v>
      </c>
      <c r="L419" s="24">
        <f t="shared" si="172"/>
        <v>2157.498</v>
      </c>
      <c r="M419" s="23">
        <f t="shared" si="173"/>
        <v>2157.498</v>
      </c>
      <c r="N419" s="37">
        <f t="shared" si="174"/>
        <v>28287.196</v>
      </c>
      <c r="O419" s="22"/>
    </row>
    <row r="420" spans="1:15" ht="17.100000000000001" customHeight="1" x14ac:dyDescent="0.25">
      <c r="A420" s="27">
        <f>IF(C420="","",COUNTA($C$4:C420))</f>
        <v>417</v>
      </c>
      <c r="B420" s="27" t="str">
        <f t="shared" si="158"/>
        <v>December</v>
      </c>
      <c r="C420" s="49">
        <v>46022</v>
      </c>
      <c r="D420" s="21" t="s">
        <v>2525</v>
      </c>
      <c r="E420" s="26" t="s">
        <v>1510</v>
      </c>
      <c r="F420" s="21">
        <v>1426</v>
      </c>
      <c r="G420" s="26" t="s">
        <v>116</v>
      </c>
      <c r="H420" s="26" t="s">
        <v>495</v>
      </c>
      <c r="I420" s="23">
        <v>11109.7</v>
      </c>
      <c r="J420" s="50">
        <v>0.18</v>
      </c>
      <c r="K420" s="62">
        <v>0</v>
      </c>
      <c r="L420" s="24">
        <f t="shared" si="172"/>
        <v>999.87300000000005</v>
      </c>
      <c r="M420" s="23">
        <f t="shared" si="173"/>
        <v>999.87300000000005</v>
      </c>
      <c r="N420" s="37">
        <f t="shared" si="174"/>
        <v>13109.446</v>
      </c>
      <c r="O420" s="22"/>
    </row>
    <row r="421" spans="1:15" ht="17.100000000000001" customHeight="1" x14ac:dyDescent="0.25">
      <c r="A421" s="27">
        <f>IF(C421="","",COUNTA($C$4:C421))</f>
        <v>418</v>
      </c>
      <c r="B421" s="27" t="str">
        <f t="shared" si="158"/>
        <v>December</v>
      </c>
      <c r="C421" s="49">
        <v>46022</v>
      </c>
      <c r="D421" s="21" t="s">
        <v>2526</v>
      </c>
      <c r="E421" s="26" t="s">
        <v>1510</v>
      </c>
      <c r="F421" s="21">
        <v>1427</v>
      </c>
      <c r="G421" s="26" t="s">
        <v>116</v>
      </c>
      <c r="H421" s="26" t="s">
        <v>495</v>
      </c>
      <c r="I421" s="23">
        <v>9589.85</v>
      </c>
      <c r="J421" s="50">
        <v>0.18</v>
      </c>
      <c r="K421" s="62">
        <v>0</v>
      </c>
      <c r="L421" s="24">
        <f t="shared" si="172"/>
        <v>863.08650000000011</v>
      </c>
      <c r="M421" s="23">
        <f t="shared" si="173"/>
        <v>863.08650000000011</v>
      </c>
      <c r="N421" s="37">
        <f t="shared" si="174"/>
        <v>11316.022999999999</v>
      </c>
      <c r="O421" s="22"/>
    </row>
    <row r="422" spans="1:15" ht="17.100000000000001" customHeight="1" x14ac:dyDescent="0.25">
      <c r="A422" s="27">
        <f>IF(C422="","",COUNTA($C$4:C422))</f>
        <v>419</v>
      </c>
      <c r="B422" s="27" t="str">
        <f t="shared" si="158"/>
        <v>December</v>
      </c>
      <c r="C422" s="49">
        <v>46022</v>
      </c>
      <c r="D422" s="21" t="s">
        <v>2527</v>
      </c>
      <c r="E422" s="26" t="s">
        <v>1510</v>
      </c>
      <c r="F422" s="21">
        <v>1428</v>
      </c>
      <c r="G422" s="26" t="s">
        <v>116</v>
      </c>
      <c r="H422" s="26" t="s">
        <v>495</v>
      </c>
      <c r="I422" s="23">
        <v>29536.2</v>
      </c>
      <c r="J422" s="50">
        <v>0.18</v>
      </c>
      <c r="K422" s="62">
        <v>0</v>
      </c>
      <c r="L422" s="24">
        <f t="shared" si="172"/>
        <v>2658.2579999999998</v>
      </c>
      <c r="M422" s="23">
        <f t="shared" si="173"/>
        <v>2658.2579999999998</v>
      </c>
      <c r="N422" s="37">
        <f t="shared" si="174"/>
        <v>34852.716</v>
      </c>
      <c r="O422" s="22"/>
    </row>
    <row r="423" spans="1:15" ht="17.100000000000001" customHeight="1" x14ac:dyDescent="0.25">
      <c r="A423" s="27">
        <f>IF(C423="","",COUNTA($C$4:C423))</f>
        <v>420</v>
      </c>
      <c r="B423" s="27" t="str">
        <f t="shared" si="158"/>
        <v>December</v>
      </c>
      <c r="C423" s="49">
        <v>46022</v>
      </c>
      <c r="D423" s="21" t="s">
        <v>2528</v>
      </c>
      <c r="E423" s="26" t="s">
        <v>1510</v>
      </c>
      <c r="F423" s="21">
        <v>1429</v>
      </c>
      <c r="G423" s="26" t="s">
        <v>116</v>
      </c>
      <c r="H423" s="26" t="s">
        <v>495</v>
      </c>
      <c r="I423" s="23">
        <v>2797.6</v>
      </c>
      <c r="J423" s="50">
        <v>0.18</v>
      </c>
      <c r="K423" s="62">
        <v>0</v>
      </c>
      <c r="L423" s="24">
        <f t="shared" si="172"/>
        <v>251.78399999999999</v>
      </c>
      <c r="M423" s="23">
        <f t="shared" si="173"/>
        <v>251.78399999999999</v>
      </c>
      <c r="N423" s="37">
        <f t="shared" si="174"/>
        <v>3301.1680000000001</v>
      </c>
      <c r="O423" s="22"/>
    </row>
    <row r="424" spans="1:15" ht="17.100000000000001" customHeight="1" x14ac:dyDescent="0.25">
      <c r="A424" s="27">
        <f>IF(C424="","",COUNTA($C$4:C424))</f>
        <v>421</v>
      </c>
      <c r="B424" s="27" t="str">
        <f t="shared" si="158"/>
        <v>December</v>
      </c>
      <c r="C424" s="49">
        <v>46022</v>
      </c>
      <c r="D424" s="21" t="s">
        <v>2529</v>
      </c>
      <c r="E424" s="26" t="s">
        <v>1510</v>
      </c>
      <c r="F424" s="21">
        <v>1430</v>
      </c>
      <c r="G424" s="26" t="s">
        <v>116</v>
      </c>
      <c r="H424" s="26" t="s">
        <v>1320</v>
      </c>
      <c r="I424" s="23">
        <v>9861</v>
      </c>
      <c r="J424" s="50">
        <v>0.18</v>
      </c>
      <c r="K424" s="62">
        <v>0</v>
      </c>
      <c r="L424" s="24">
        <f t="shared" si="172"/>
        <v>887.49</v>
      </c>
      <c r="M424" s="23">
        <f t="shared" si="173"/>
        <v>887.49</v>
      </c>
      <c r="N424" s="37">
        <f t="shared" si="174"/>
        <v>11635.98</v>
      </c>
      <c r="O424" s="22"/>
    </row>
    <row r="425" spans="1:15" ht="17.100000000000001" customHeight="1" x14ac:dyDescent="0.25">
      <c r="A425" s="27">
        <f>IF(C425="","",COUNTA($C$4:C425))</f>
        <v>422</v>
      </c>
      <c r="B425" s="27" t="str">
        <f t="shared" si="158"/>
        <v>December</v>
      </c>
      <c r="C425" s="49">
        <v>46022</v>
      </c>
      <c r="D425" s="21" t="s">
        <v>2530</v>
      </c>
      <c r="E425" s="26" t="s">
        <v>1510</v>
      </c>
      <c r="F425" s="21">
        <v>1431</v>
      </c>
      <c r="G425" s="26" t="s">
        <v>116</v>
      </c>
      <c r="H425" s="26" t="s">
        <v>495</v>
      </c>
      <c r="I425" s="23">
        <v>51500.05</v>
      </c>
      <c r="J425" s="50">
        <v>0.18</v>
      </c>
      <c r="K425" s="62">
        <v>0</v>
      </c>
      <c r="L425" s="24">
        <f t="shared" si="172"/>
        <v>4635.0045</v>
      </c>
      <c r="M425" s="23">
        <f t="shared" si="173"/>
        <v>4635.0045</v>
      </c>
      <c r="N425" s="37">
        <f t="shared" si="174"/>
        <v>60770.059000000008</v>
      </c>
      <c r="O425" s="22"/>
    </row>
    <row r="426" spans="1:15" ht="17.100000000000001" customHeight="1" x14ac:dyDescent="0.25">
      <c r="A426" s="27">
        <f>IF(C426="","",COUNTA($C$4:C426))</f>
        <v>423</v>
      </c>
      <c r="B426" s="27" t="str">
        <f t="shared" si="158"/>
        <v>December</v>
      </c>
      <c r="C426" s="49">
        <v>46022</v>
      </c>
      <c r="D426" s="21" t="s">
        <v>2531</v>
      </c>
      <c r="E426" s="26" t="s">
        <v>1510</v>
      </c>
      <c r="F426" s="21">
        <v>1432</v>
      </c>
      <c r="G426" s="26" t="s">
        <v>116</v>
      </c>
      <c r="H426" s="26" t="s">
        <v>479</v>
      </c>
      <c r="I426" s="23">
        <v>6345.17</v>
      </c>
      <c r="J426" s="50">
        <v>0.18</v>
      </c>
      <c r="K426" s="62">
        <v>0</v>
      </c>
      <c r="L426" s="24">
        <f t="shared" si="172"/>
        <v>571.06529999999998</v>
      </c>
      <c r="M426" s="23">
        <f t="shared" si="173"/>
        <v>571.06529999999998</v>
      </c>
      <c r="N426" s="37">
        <f t="shared" si="174"/>
        <v>7487.3006000000005</v>
      </c>
      <c r="O426" s="22"/>
    </row>
    <row r="427" spans="1:15" ht="17.100000000000001" customHeight="1" x14ac:dyDescent="0.25">
      <c r="A427" s="27">
        <f>IF(C427="","",COUNTA($C$4:C427))</f>
        <v>424</v>
      </c>
      <c r="B427" s="27" t="str">
        <f t="shared" ref="B427" si="175">IF(C427="","",TEXT(C427,"mmmm"))</f>
        <v>December</v>
      </c>
      <c r="C427" s="49">
        <v>46022</v>
      </c>
      <c r="D427" s="21" t="s">
        <v>2532</v>
      </c>
      <c r="E427" s="26" t="s">
        <v>1510</v>
      </c>
      <c r="F427" s="21">
        <v>1433</v>
      </c>
      <c r="G427" s="26" t="s">
        <v>116</v>
      </c>
      <c r="H427" s="26" t="s">
        <v>479</v>
      </c>
      <c r="I427" s="23">
        <v>1716.22</v>
      </c>
      <c r="J427" s="50">
        <v>0.18</v>
      </c>
      <c r="K427" s="62">
        <v>0</v>
      </c>
      <c r="L427" s="24">
        <f t="shared" si="172"/>
        <v>154.4598</v>
      </c>
      <c r="M427" s="23">
        <f t="shared" si="173"/>
        <v>154.4598</v>
      </c>
      <c r="N427" s="37">
        <f t="shared" si="174"/>
        <v>2025.1396000000002</v>
      </c>
      <c r="O427" s="22"/>
    </row>
    <row r="428" spans="1:15" ht="17.100000000000001" customHeight="1" x14ac:dyDescent="0.25">
      <c r="A428" s="27">
        <f>IF(C428="","",COUNTA($C$4:C428))</f>
        <v>425</v>
      </c>
      <c r="B428" s="27" t="str">
        <f t="shared" si="158"/>
        <v>December</v>
      </c>
      <c r="C428" s="49">
        <v>46022</v>
      </c>
      <c r="D428" s="21" t="s">
        <v>2533</v>
      </c>
      <c r="E428" s="26" t="s">
        <v>1510</v>
      </c>
      <c r="F428" s="21">
        <v>1434</v>
      </c>
      <c r="G428" s="26" t="s">
        <v>116</v>
      </c>
      <c r="H428" s="26" t="s">
        <v>479</v>
      </c>
      <c r="I428" s="23">
        <v>90783.73</v>
      </c>
      <c r="J428" s="50">
        <v>0.18</v>
      </c>
      <c r="K428" s="62">
        <v>0</v>
      </c>
      <c r="L428" s="24">
        <f t="shared" si="172"/>
        <v>8170.5356999999995</v>
      </c>
      <c r="M428" s="23">
        <f t="shared" si="173"/>
        <v>8170.5356999999995</v>
      </c>
      <c r="N428" s="37">
        <f t="shared" si="174"/>
        <v>107124.80139999998</v>
      </c>
      <c r="O428" s="22"/>
    </row>
    <row r="429" spans="1:15" ht="17.100000000000001" customHeight="1" x14ac:dyDescent="0.25">
      <c r="A429" s="27">
        <f>IF(C429="","",COUNTA($C$4:C429))</f>
        <v>426</v>
      </c>
      <c r="B429" s="27" t="str">
        <f t="shared" si="158"/>
        <v>December</v>
      </c>
      <c r="C429" s="49">
        <v>46022</v>
      </c>
      <c r="D429" s="21" t="s">
        <v>2534</v>
      </c>
      <c r="E429" s="26" t="s">
        <v>1510</v>
      </c>
      <c r="F429" s="21">
        <v>1435</v>
      </c>
      <c r="G429" s="26" t="s">
        <v>116</v>
      </c>
      <c r="H429" s="26" t="s">
        <v>495</v>
      </c>
      <c r="I429" s="23">
        <v>17754</v>
      </c>
      <c r="J429" s="50">
        <v>0.18</v>
      </c>
      <c r="K429" s="62">
        <v>0</v>
      </c>
      <c r="L429" s="24">
        <f t="shared" si="172"/>
        <v>1597.86</v>
      </c>
      <c r="M429" s="23">
        <f t="shared" si="173"/>
        <v>1597.86</v>
      </c>
      <c r="N429" s="37">
        <f t="shared" si="174"/>
        <v>20949.72</v>
      </c>
      <c r="O429" s="22"/>
    </row>
    <row r="430" spans="1:15" ht="17.100000000000001" customHeight="1" x14ac:dyDescent="0.25">
      <c r="A430" s="27">
        <f>IF(C430="","",COUNTA($C$4:C430))</f>
        <v>427</v>
      </c>
      <c r="B430" s="27" t="str">
        <f t="shared" si="158"/>
        <v>December</v>
      </c>
      <c r="C430" s="49">
        <v>46022</v>
      </c>
      <c r="D430" s="21" t="s">
        <v>2535</v>
      </c>
      <c r="E430" s="26" t="s">
        <v>1510</v>
      </c>
      <c r="F430" s="21">
        <v>1436</v>
      </c>
      <c r="G430" s="26" t="s">
        <v>116</v>
      </c>
      <c r="H430" s="26" t="s">
        <v>495</v>
      </c>
      <c r="I430" s="23">
        <v>1869.55</v>
      </c>
      <c r="J430" s="50">
        <v>0.18</v>
      </c>
      <c r="K430" s="62">
        <v>0</v>
      </c>
      <c r="L430" s="24">
        <f t="shared" si="172"/>
        <v>168.2595</v>
      </c>
      <c r="M430" s="23">
        <f t="shared" si="173"/>
        <v>168.2595</v>
      </c>
      <c r="N430" s="37">
        <f t="shared" si="174"/>
        <v>2206.069</v>
      </c>
      <c r="O430" s="22"/>
    </row>
    <row r="431" spans="1:15" ht="17.100000000000001" customHeight="1" x14ac:dyDescent="0.25">
      <c r="A431" s="27">
        <f>IF(C431="","",COUNTA($C$4:C431))</f>
        <v>428</v>
      </c>
      <c r="B431" s="27" t="str">
        <f t="shared" si="158"/>
        <v>December</v>
      </c>
      <c r="C431" s="49">
        <v>46022</v>
      </c>
      <c r="D431" s="21" t="s">
        <v>2536</v>
      </c>
      <c r="E431" s="26" t="s">
        <v>1510</v>
      </c>
      <c r="F431" s="21">
        <v>1437</v>
      </c>
      <c r="G431" s="26" t="s">
        <v>116</v>
      </c>
      <c r="H431" s="26" t="s">
        <v>953</v>
      </c>
      <c r="I431" s="23">
        <v>9288.0300000000007</v>
      </c>
      <c r="J431" s="50">
        <v>0.18</v>
      </c>
      <c r="K431" s="62">
        <v>0</v>
      </c>
      <c r="L431" s="24">
        <f t="shared" si="172"/>
        <v>835.92270000000008</v>
      </c>
      <c r="M431" s="23">
        <f t="shared" si="173"/>
        <v>835.92270000000008</v>
      </c>
      <c r="N431" s="37">
        <f t="shared" si="174"/>
        <v>10959.875400000001</v>
      </c>
      <c r="O431" s="22"/>
    </row>
    <row r="432" spans="1:15" ht="17.100000000000001" customHeight="1" x14ac:dyDescent="0.25">
      <c r="A432" s="27">
        <f>IF(C432="","",COUNTA($C$4:C432))</f>
        <v>429</v>
      </c>
      <c r="B432" s="27" t="str">
        <f t="shared" si="158"/>
        <v>December</v>
      </c>
      <c r="C432" s="49">
        <v>46022</v>
      </c>
      <c r="D432" s="21" t="s">
        <v>2537</v>
      </c>
      <c r="E432" s="26" t="s">
        <v>1510</v>
      </c>
      <c r="F432" s="21">
        <v>1438</v>
      </c>
      <c r="G432" s="26" t="s">
        <v>116</v>
      </c>
      <c r="H432" s="26" t="s">
        <v>707</v>
      </c>
      <c r="I432" s="23">
        <v>8984.6</v>
      </c>
      <c r="J432" s="50">
        <v>0.18</v>
      </c>
      <c r="K432" s="62">
        <v>0</v>
      </c>
      <c r="L432" s="24">
        <f t="shared" si="172"/>
        <v>808.61400000000003</v>
      </c>
      <c r="M432" s="23">
        <f t="shared" si="173"/>
        <v>808.61400000000003</v>
      </c>
      <c r="N432" s="37">
        <f t="shared" si="174"/>
        <v>10601.828</v>
      </c>
      <c r="O432" s="22"/>
    </row>
    <row r="433" spans="1:15" ht="17.100000000000001" customHeight="1" x14ac:dyDescent="0.25">
      <c r="A433" s="27">
        <f>IF(C433="","",COUNTA($C$4:C433))</f>
        <v>430</v>
      </c>
      <c r="B433" s="27" t="str">
        <f t="shared" si="158"/>
        <v>December</v>
      </c>
      <c r="C433" s="49">
        <v>46022</v>
      </c>
      <c r="D433" s="21" t="s">
        <v>2538</v>
      </c>
      <c r="E433" s="26" t="s">
        <v>1510</v>
      </c>
      <c r="F433" s="21">
        <v>1439</v>
      </c>
      <c r="G433" s="26" t="s">
        <v>116</v>
      </c>
      <c r="H433" s="26" t="s">
        <v>479</v>
      </c>
      <c r="I433" s="23">
        <v>46674.19</v>
      </c>
      <c r="J433" s="50">
        <v>0.18</v>
      </c>
      <c r="K433" s="62">
        <v>0</v>
      </c>
      <c r="L433" s="24">
        <f t="shared" si="172"/>
        <v>4200.6770999999999</v>
      </c>
      <c r="M433" s="23">
        <f t="shared" si="173"/>
        <v>4200.6770999999999</v>
      </c>
      <c r="N433" s="37">
        <f t="shared" si="174"/>
        <v>55075.544200000004</v>
      </c>
      <c r="O433" s="22"/>
    </row>
    <row r="434" spans="1:15" ht="17.100000000000001" customHeight="1" x14ac:dyDescent="0.25">
      <c r="A434" s="27">
        <f>IF(C434="","",COUNTA($C$4:C434))</f>
        <v>431</v>
      </c>
      <c r="B434" s="27" t="str">
        <f t="shared" si="158"/>
        <v>December</v>
      </c>
      <c r="C434" s="49">
        <v>46022</v>
      </c>
      <c r="D434" s="21" t="s">
        <v>2539</v>
      </c>
      <c r="E434" s="26" t="s">
        <v>1510</v>
      </c>
      <c r="F434" s="21">
        <v>1440</v>
      </c>
      <c r="G434" s="26" t="s">
        <v>116</v>
      </c>
      <c r="H434" s="26" t="s">
        <v>479</v>
      </c>
      <c r="I434" s="23">
        <v>25375.31</v>
      </c>
      <c r="J434" s="50">
        <v>0.18</v>
      </c>
      <c r="K434" s="62">
        <v>0</v>
      </c>
      <c r="L434" s="24">
        <f t="shared" si="172"/>
        <v>2283.7779</v>
      </c>
      <c r="M434" s="23">
        <f t="shared" si="173"/>
        <v>2283.7779</v>
      </c>
      <c r="N434" s="37">
        <f t="shared" si="174"/>
        <v>29942.865800000003</v>
      </c>
      <c r="O434" s="22"/>
    </row>
    <row r="435" spans="1:15" ht="17.100000000000001" customHeight="1" x14ac:dyDescent="0.25">
      <c r="A435" s="27">
        <f>IF(C435="","",COUNTA($C$4:C435))</f>
        <v>432</v>
      </c>
      <c r="B435" s="27" t="str">
        <f t="shared" si="158"/>
        <v>December</v>
      </c>
      <c r="C435" s="49">
        <v>46022</v>
      </c>
      <c r="D435" s="21" t="s">
        <v>2540</v>
      </c>
      <c r="E435" s="26" t="s">
        <v>1510</v>
      </c>
      <c r="F435" s="21">
        <v>1441</v>
      </c>
      <c r="G435" s="26" t="s">
        <v>116</v>
      </c>
      <c r="H435" s="26" t="s">
        <v>483</v>
      </c>
      <c r="I435" s="23">
        <v>2663.1</v>
      </c>
      <c r="J435" s="50">
        <v>0.18</v>
      </c>
      <c r="K435" s="62">
        <v>0</v>
      </c>
      <c r="L435" s="24">
        <f t="shared" si="172"/>
        <v>239.67899999999997</v>
      </c>
      <c r="M435" s="23">
        <f t="shared" si="173"/>
        <v>239.67899999999997</v>
      </c>
      <c r="N435" s="37">
        <f t="shared" si="174"/>
        <v>3142.4580000000001</v>
      </c>
      <c r="O435" s="22"/>
    </row>
    <row r="436" spans="1:15" ht="17.100000000000001" customHeight="1" x14ac:dyDescent="0.25">
      <c r="A436" s="27" t="str">
        <f>IF(C436="","",COUNTA($C$4:C436))</f>
        <v/>
      </c>
      <c r="B436" s="27" t="str">
        <f t="shared" si="158"/>
        <v/>
      </c>
      <c r="C436" s="49"/>
      <c r="D436" s="144" t="s">
        <v>2780</v>
      </c>
      <c r="E436" s="26" t="s">
        <v>2785</v>
      </c>
      <c r="F436" s="21"/>
      <c r="G436" s="26"/>
      <c r="H436" s="26"/>
      <c r="I436" s="23"/>
      <c r="J436" s="50"/>
      <c r="K436" s="62"/>
      <c r="L436" s="24"/>
      <c r="M436" s="23"/>
      <c r="N436" s="37"/>
      <c r="O436" s="22"/>
    </row>
    <row r="437" spans="1:15" ht="17.100000000000001" customHeight="1" x14ac:dyDescent="0.25">
      <c r="A437" s="27">
        <f>IF(C437="","",COUNTA($C$4:C437))</f>
        <v>433</v>
      </c>
      <c r="B437" s="27" t="str">
        <f t="shared" si="158"/>
        <v>November</v>
      </c>
      <c r="C437" s="49">
        <v>45990</v>
      </c>
      <c r="D437" s="21" t="s">
        <v>2781</v>
      </c>
      <c r="E437" s="26" t="s">
        <v>559</v>
      </c>
      <c r="F437" s="21" t="s">
        <v>2782</v>
      </c>
      <c r="G437" s="26" t="s">
        <v>2783</v>
      </c>
      <c r="H437" s="26" t="s">
        <v>2784</v>
      </c>
      <c r="I437" s="23">
        <v>7500</v>
      </c>
      <c r="J437" s="50">
        <v>0.18</v>
      </c>
      <c r="K437" s="62">
        <f>I437*18/100</f>
        <v>1350</v>
      </c>
      <c r="L437" s="24">
        <v>0</v>
      </c>
      <c r="M437" s="23">
        <v>0</v>
      </c>
      <c r="N437" s="37">
        <f>I437+K437</f>
        <v>8850</v>
      </c>
      <c r="O437" s="22"/>
    </row>
    <row r="438" spans="1:15" ht="17.100000000000001" customHeight="1" x14ac:dyDescent="0.25">
      <c r="A438" s="27">
        <f>IF(C438="","",COUNTA($C$4:C438))</f>
        <v>434</v>
      </c>
      <c r="B438" s="27" t="str">
        <f t="shared" si="158"/>
        <v>January</v>
      </c>
      <c r="C438" s="49">
        <v>46024</v>
      </c>
      <c r="D438" s="96" t="s">
        <v>2541</v>
      </c>
      <c r="E438" s="26" t="s">
        <v>1266</v>
      </c>
      <c r="F438" s="21">
        <v>776</v>
      </c>
      <c r="G438" s="26" t="s">
        <v>392</v>
      </c>
      <c r="H438" s="26" t="s">
        <v>2511</v>
      </c>
      <c r="I438" s="23">
        <v>149584</v>
      </c>
      <c r="J438" s="50">
        <v>0.18</v>
      </c>
      <c r="K438" s="62">
        <v>0</v>
      </c>
      <c r="L438" s="24">
        <f t="shared" si="172"/>
        <v>13462.56</v>
      </c>
      <c r="M438" s="23">
        <f t="shared" si="173"/>
        <v>13462.56</v>
      </c>
      <c r="N438" s="37">
        <f t="shared" si="174"/>
        <v>176509.12</v>
      </c>
      <c r="O438" s="22"/>
    </row>
    <row r="439" spans="1:15" ht="17.100000000000001" customHeight="1" x14ac:dyDescent="0.25">
      <c r="A439" s="27">
        <f>IF(C439="","",COUNTA($C$4:C439))</f>
        <v>435</v>
      </c>
      <c r="B439" s="27" t="str">
        <f t="shared" si="158"/>
        <v>January</v>
      </c>
      <c r="C439" s="49">
        <v>46027</v>
      </c>
      <c r="D439" s="96" t="s">
        <v>2542</v>
      </c>
      <c r="E439" s="26" t="s">
        <v>111</v>
      </c>
      <c r="F439" s="53" t="s">
        <v>2543</v>
      </c>
      <c r="G439" s="26" t="s">
        <v>472</v>
      </c>
      <c r="H439" s="26" t="s">
        <v>2511</v>
      </c>
      <c r="I439" s="23">
        <v>137075</v>
      </c>
      <c r="J439" s="50">
        <v>0</v>
      </c>
      <c r="K439" s="62">
        <v>0</v>
      </c>
      <c r="L439" s="24">
        <v>0</v>
      </c>
      <c r="M439" s="23">
        <v>0</v>
      </c>
      <c r="N439" s="37">
        <f t="shared" si="174"/>
        <v>137075</v>
      </c>
      <c r="O439" s="22"/>
    </row>
    <row r="440" spans="1:15" ht="17.100000000000001" customHeight="1" x14ac:dyDescent="0.25">
      <c r="A440" s="27">
        <f>IF(C440="","",COUNTA($C$4:C440))</f>
        <v>436</v>
      </c>
      <c r="B440" s="27" t="str">
        <f t="shared" si="158"/>
        <v>January</v>
      </c>
      <c r="C440" s="49">
        <v>46034</v>
      </c>
      <c r="D440" s="21" t="s">
        <v>2635</v>
      </c>
      <c r="E440" s="26" t="s">
        <v>372</v>
      </c>
      <c r="F440" s="21">
        <v>167</v>
      </c>
      <c r="G440" s="26" t="s">
        <v>373</v>
      </c>
      <c r="H440" s="39" t="s">
        <v>2636</v>
      </c>
      <c r="I440" s="23">
        <v>24770</v>
      </c>
      <c r="J440" s="50">
        <v>0</v>
      </c>
      <c r="K440" s="62">
        <v>0</v>
      </c>
      <c r="L440" s="24">
        <v>0</v>
      </c>
      <c r="M440" s="23">
        <v>0</v>
      </c>
      <c r="N440" s="37">
        <f t="shared" si="174"/>
        <v>24770</v>
      </c>
      <c r="O440" s="22"/>
    </row>
    <row r="441" spans="1:15" ht="17.100000000000001" customHeight="1" x14ac:dyDescent="0.25">
      <c r="A441" s="27">
        <f>IF(C441="","",COUNTA($C$4:C441))</f>
        <v>437</v>
      </c>
      <c r="B441" s="27" t="str">
        <f t="shared" si="158"/>
        <v>January</v>
      </c>
      <c r="C441" s="49">
        <v>46035</v>
      </c>
      <c r="D441" s="96" t="s">
        <v>2667</v>
      </c>
      <c r="E441" s="26" t="s">
        <v>548</v>
      </c>
      <c r="F441" s="21" t="s">
        <v>2668</v>
      </c>
      <c r="G441" s="26" t="s">
        <v>583</v>
      </c>
      <c r="H441" s="26" t="s">
        <v>2511</v>
      </c>
      <c r="I441" s="23">
        <v>604311.11</v>
      </c>
      <c r="J441" s="50">
        <v>0.18</v>
      </c>
      <c r="K441" s="62">
        <v>0</v>
      </c>
      <c r="L441" s="24">
        <f t="shared" ref="L441:L447" si="176">I441*9/100</f>
        <v>54387.999900000003</v>
      </c>
      <c r="M441" s="23">
        <f t="shared" ref="M441:M447" si="177">I441*9/100</f>
        <v>54387.999900000003</v>
      </c>
      <c r="N441" s="37">
        <f t="shared" ref="N441:N448" si="178">+I441+L441+M441</f>
        <v>713087.10980000009</v>
      </c>
      <c r="O441" s="22"/>
    </row>
    <row r="442" spans="1:15" ht="17.100000000000001" customHeight="1" x14ac:dyDescent="0.25">
      <c r="A442" s="27">
        <f>IF(C442="","",COUNTA($C$4:C442))</f>
        <v>438</v>
      </c>
      <c r="B442" s="27" t="str">
        <f t="shared" si="158"/>
        <v>January</v>
      </c>
      <c r="C442" s="49">
        <v>46035</v>
      </c>
      <c r="D442" s="96" t="s">
        <v>2669</v>
      </c>
      <c r="E442" s="26" t="s">
        <v>548</v>
      </c>
      <c r="F442" s="21" t="s">
        <v>2670</v>
      </c>
      <c r="G442" s="26" t="s">
        <v>553</v>
      </c>
      <c r="H442" s="26" t="s">
        <v>2511</v>
      </c>
      <c r="I442" s="23">
        <v>40834.99</v>
      </c>
      <c r="J442" s="50">
        <v>0.18</v>
      </c>
      <c r="K442" s="62">
        <v>0</v>
      </c>
      <c r="L442" s="24">
        <f t="shared" si="176"/>
        <v>3675.1490999999996</v>
      </c>
      <c r="M442" s="23">
        <f t="shared" si="177"/>
        <v>3675.1490999999996</v>
      </c>
      <c r="N442" s="37">
        <f t="shared" si="178"/>
        <v>48185.288200000003</v>
      </c>
      <c r="O442" s="22"/>
    </row>
    <row r="443" spans="1:15" ht="17.100000000000001" customHeight="1" x14ac:dyDescent="0.25">
      <c r="A443" s="27">
        <f>IF(C443="","",COUNTA($C$4:C443))</f>
        <v>439</v>
      </c>
      <c r="B443" s="27" t="str">
        <f t="shared" si="158"/>
        <v>January</v>
      </c>
      <c r="C443" s="49">
        <v>46035</v>
      </c>
      <c r="D443" s="96" t="s">
        <v>2671</v>
      </c>
      <c r="E443" s="26" t="s">
        <v>2135</v>
      </c>
      <c r="F443" s="21" t="s">
        <v>2672</v>
      </c>
      <c r="G443" s="26" t="s">
        <v>2673</v>
      </c>
      <c r="H443" s="26" t="s">
        <v>2674</v>
      </c>
      <c r="I443" s="23">
        <v>3600</v>
      </c>
      <c r="J443" s="50">
        <v>0.18</v>
      </c>
      <c r="K443" s="62">
        <v>0</v>
      </c>
      <c r="L443" s="24">
        <f t="shared" si="176"/>
        <v>324</v>
      </c>
      <c r="M443" s="23">
        <f t="shared" si="177"/>
        <v>324</v>
      </c>
      <c r="N443" s="37">
        <f t="shared" si="178"/>
        <v>4248</v>
      </c>
      <c r="O443" s="22"/>
    </row>
    <row r="444" spans="1:15" ht="17.100000000000001" customHeight="1" x14ac:dyDescent="0.25">
      <c r="A444" s="27">
        <f>IF(C444="","",COUNTA($C$4:C444))</f>
        <v>440</v>
      </c>
      <c r="B444" s="27" t="str">
        <f t="shared" si="158"/>
        <v>January</v>
      </c>
      <c r="C444" s="49">
        <v>46039</v>
      </c>
      <c r="D444" s="96" t="s">
        <v>2675</v>
      </c>
      <c r="E444" s="26" t="s">
        <v>783</v>
      </c>
      <c r="F444" s="21" t="s">
        <v>2676</v>
      </c>
      <c r="G444" s="26" t="s">
        <v>583</v>
      </c>
      <c r="H444" s="26" t="s">
        <v>2511</v>
      </c>
      <c r="I444" s="23">
        <v>355235</v>
      </c>
      <c r="J444" s="50">
        <v>0.18</v>
      </c>
      <c r="K444" s="62">
        <v>0</v>
      </c>
      <c r="L444" s="24">
        <f t="shared" si="176"/>
        <v>31971.15</v>
      </c>
      <c r="M444" s="23">
        <f t="shared" si="177"/>
        <v>31971.15</v>
      </c>
      <c r="N444" s="37">
        <f t="shared" si="178"/>
        <v>419177.30000000005</v>
      </c>
      <c r="O444" s="22"/>
    </row>
    <row r="445" spans="1:15" ht="17.100000000000001" customHeight="1" x14ac:dyDescent="0.25">
      <c r="A445" s="27">
        <f>IF(C445="","",COUNTA($C$4:C445))</f>
        <v>441</v>
      </c>
      <c r="B445" s="27" t="str">
        <f t="shared" si="158"/>
        <v>January</v>
      </c>
      <c r="C445" s="49">
        <v>46044</v>
      </c>
      <c r="D445" s="96" t="s">
        <v>2677</v>
      </c>
      <c r="E445" s="26" t="s">
        <v>877</v>
      </c>
      <c r="F445" s="21">
        <v>468</v>
      </c>
      <c r="G445" s="26" t="s">
        <v>2678</v>
      </c>
      <c r="H445" s="26" t="s">
        <v>2679</v>
      </c>
      <c r="I445" s="23">
        <v>7480</v>
      </c>
      <c r="J445" s="50">
        <v>0.18</v>
      </c>
      <c r="K445" s="62">
        <v>0</v>
      </c>
      <c r="L445" s="24">
        <f t="shared" si="176"/>
        <v>673.2</v>
      </c>
      <c r="M445" s="23">
        <f t="shared" si="177"/>
        <v>673.2</v>
      </c>
      <c r="N445" s="37">
        <f t="shared" si="178"/>
        <v>8826.4</v>
      </c>
      <c r="O445" s="22"/>
    </row>
    <row r="446" spans="1:15" ht="17.100000000000001" customHeight="1" x14ac:dyDescent="0.25">
      <c r="A446" s="27">
        <f>IF(C446="","",COUNTA($C$4:C446))</f>
        <v>442</v>
      </c>
      <c r="B446" s="27" t="str">
        <f t="shared" si="158"/>
        <v>January</v>
      </c>
      <c r="C446" s="49">
        <v>46044</v>
      </c>
      <c r="D446" s="96" t="s">
        <v>2680</v>
      </c>
      <c r="E446" s="26" t="s">
        <v>2681</v>
      </c>
      <c r="F446" s="21" t="s">
        <v>2428</v>
      </c>
      <c r="G446" s="26" t="s">
        <v>2682</v>
      </c>
      <c r="H446" s="26" t="s">
        <v>2683</v>
      </c>
      <c r="I446" s="23">
        <v>25000</v>
      </c>
      <c r="J446" s="50">
        <v>0.18</v>
      </c>
      <c r="K446" s="62">
        <v>0</v>
      </c>
      <c r="L446" s="24">
        <f t="shared" si="176"/>
        <v>2250</v>
      </c>
      <c r="M446" s="23">
        <f t="shared" si="177"/>
        <v>2250</v>
      </c>
      <c r="N446" s="37">
        <f t="shared" si="178"/>
        <v>29500</v>
      </c>
      <c r="O446" s="22"/>
    </row>
    <row r="447" spans="1:15" ht="17.100000000000001" customHeight="1" x14ac:dyDescent="0.25">
      <c r="A447" s="27">
        <f>IF(C447="","",COUNTA($C$4:C447))</f>
        <v>443</v>
      </c>
      <c r="B447" s="27" t="str">
        <f t="shared" si="158"/>
        <v>January</v>
      </c>
      <c r="C447" s="49">
        <v>46044</v>
      </c>
      <c r="D447" s="21" t="s">
        <v>2684</v>
      </c>
      <c r="E447" s="26" t="s">
        <v>1824</v>
      </c>
      <c r="F447" s="21">
        <v>13</v>
      </c>
      <c r="G447" s="48" t="s">
        <v>1825</v>
      </c>
      <c r="H447" s="26" t="s">
        <v>2685</v>
      </c>
      <c r="I447" s="23">
        <v>41250</v>
      </c>
      <c r="J447" s="50">
        <v>0.18</v>
      </c>
      <c r="K447" s="62">
        <v>0</v>
      </c>
      <c r="L447" s="24">
        <f t="shared" si="176"/>
        <v>3712.5</v>
      </c>
      <c r="M447" s="23">
        <f t="shared" si="177"/>
        <v>3712.5</v>
      </c>
      <c r="N447" s="37">
        <f t="shared" si="178"/>
        <v>48675</v>
      </c>
      <c r="O447" s="22"/>
    </row>
    <row r="448" spans="1:15" ht="17.100000000000001" customHeight="1" x14ac:dyDescent="0.25">
      <c r="A448" s="27">
        <f>IF(C448="","",COUNTA($C$4:C448))</f>
        <v>444</v>
      </c>
      <c r="B448" s="27" t="str">
        <f t="shared" si="158"/>
        <v>January</v>
      </c>
      <c r="C448" s="49">
        <v>46053</v>
      </c>
      <c r="D448" s="21" t="s">
        <v>2728</v>
      </c>
      <c r="E448" s="26" t="s">
        <v>460</v>
      </c>
      <c r="F448" s="21" t="s">
        <v>2729</v>
      </c>
      <c r="G448" s="26" t="s">
        <v>462</v>
      </c>
      <c r="H448" s="26" t="s">
        <v>2730</v>
      </c>
      <c r="I448" s="23">
        <v>2020</v>
      </c>
      <c r="J448" s="50">
        <v>0</v>
      </c>
      <c r="K448" s="62">
        <v>0</v>
      </c>
      <c r="L448" s="24">
        <v>0</v>
      </c>
      <c r="M448" s="23">
        <v>0</v>
      </c>
      <c r="N448" s="37">
        <f t="shared" si="178"/>
        <v>2020</v>
      </c>
      <c r="O448" s="22"/>
    </row>
    <row r="449" spans="1:15" ht="17.100000000000001" customHeight="1" x14ac:dyDescent="0.25">
      <c r="A449" s="27">
        <f>IF(C449="","",COUNTA($C$4:C449))</f>
        <v>445</v>
      </c>
      <c r="B449" s="27" t="str">
        <f t="shared" si="158"/>
        <v>January</v>
      </c>
      <c r="C449" s="49">
        <v>46053</v>
      </c>
      <c r="D449" s="21" t="s">
        <v>2731</v>
      </c>
      <c r="E449" s="26" t="s">
        <v>456</v>
      </c>
      <c r="F449" s="21" t="s">
        <v>2149</v>
      </c>
      <c r="G449" s="26" t="s">
        <v>457</v>
      </c>
      <c r="H449" s="26" t="s">
        <v>2732</v>
      </c>
      <c r="I449" s="23">
        <v>1500</v>
      </c>
      <c r="J449" s="50">
        <v>0.18</v>
      </c>
      <c r="K449" s="62">
        <v>0</v>
      </c>
      <c r="L449" s="24">
        <f t="shared" ref="L449:L451" si="179">I449*9/100</f>
        <v>135</v>
      </c>
      <c r="M449" s="23">
        <f t="shared" ref="M449:M451" si="180">I449*9/100</f>
        <v>135</v>
      </c>
      <c r="N449" s="37">
        <f t="shared" ref="N449:N454" si="181">+I449+L449+M449</f>
        <v>1770</v>
      </c>
      <c r="O449" s="22"/>
    </row>
    <row r="450" spans="1:15" ht="17.100000000000001" customHeight="1" x14ac:dyDescent="0.25">
      <c r="A450" s="27">
        <f>IF(C450="","",COUNTA($C$4:C450))</f>
        <v>446</v>
      </c>
      <c r="B450" s="27" t="str">
        <f t="shared" si="158"/>
        <v>January</v>
      </c>
      <c r="C450" s="49">
        <v>46051</v>
      </c>
      <c r="D450" s="21" t="s">
        <v>2733</v>
      </c>
      <c r="E450" s="26" t="s">
        <v>1384</v>
      </c>
      <c r="F450" s="21" t="s">
        <v>2734</v>
      </c>
      <c r="G450" s="48" t="s">
        <v>1386</v>
      </c>
      <c r="H450" s="26" t="s">
        <v>1387</v>
      </c>
      <c r="I450" s="23">
        <v>6000</v>
      </c>
      <c r="J450" s="50">
        <v>0.18</v>
      </c>
      <c r="K450" s="62">
        <v>0</v>
      </c>
      <c r="L450" s="24">
        <f t="shared" si="179"/>
        <v>540</v>
      </c>
      <c r="M450" s="23">
        <f t="shared" si="180"/>
        <v>540</v>
      </c>
      <c r="N450" s="37">
        <f t="shared" si="181"/>
        <v>7080</v>
      </c>
      <c r="O450" s="22"/>
    </row>
    <row r="451" spans="1:15" ht="17.100000000000001" customHeight="1" x14ac:dyDescent="0.25">
      <c r="A451" s="27">
        <f>IF(C451="","",COUNTA($C$4:C451))</f>
        <v>447</v>
      </c>
      <c r="B451" s="27" t="str">
        <f t="shared" ref="B451:B519" si="182">IF(C451="","",TEXT(C451,"mmmm"))</f>
        <v>January</v>
      </c>
      <c r="C451" s="49">
        <v>46053</v>
      </c>
      <c r="D451" s="21" t="s">
        <v>2735</v>
      </c>
      <c r="E451" s="26" t="s">
        <v>452</v>
      </c>
      <c r="F451" s="53" t="s">
        <v>2736</v>
      </c>
      <c r="G451" s="26" t="s">
        <v>454</v>
      </c>
      <c r="H451" s="26" t="s">
        <v>2730</v>
      </c>
      <c r="I451" s="23">
        <f>1196+179.4</f>
        <v>1375.4</v>
      </c>
      <c r="J451" s="50">
        <v>0.18</v>
      </c>
      <c r="K451" s="62">
        <v>0</v>
      </c>
      <c r="L451" s="24">
        <f t="shared" si="179"/>
        <v>123.786</v>
      </c>
      <c r="M451" s="23">
        <f t="shared" si="180"/>
        <v>123.786</v>
      </c>
      <c r="N451" s="37">
        <f t="shared" si="181"/>
        <v>1622.9720000000002</v>
      </c>
      <c r="O451" s="22"/>
    </row>
    <row r="452" spans="1:15" ht="17.100000000000001" customHeight="1" x14ac:dyDescent="0.25">
      <c r="A452" s="27">
        <f>IF(C452="","",COUNTA($C$4:C452))</f>
        <v>448</v>
      </c>
      <c r="B452" s="27" t="str">
        <f t="shared" si="182"/>
        <v>January</v>
      </c>
      <c r="C452" s="49">
        <v>46053</v>
      </c>
      <c r="D452" s="21" t="s">
        <v>2737</v>
      </c>
      <c r="E452" s="26" t="s">
        <v>141</v>
      </c>
      <c r="F452" s="21">
        <v>879</v>
      </c>
      <c r="G452" s="26" t="s">
        <v>1815</v>
      </c>
      <c r="H452" s="26" t="s">
        <v>2387</v>
      </c>
      <c r="I452" s="23">
        <v>1026</v>
      </c>
      <c r="J452" s="50">
        <v>0</v>
      </c>
      <c r="K452" s="62">
        <v>0</v>
      </c>
      <c r="L452" s="24">
        <v>0</v>
      </c>
      <c r="M452" s="23">
        <v>0</v>
      </c>
      <c r="N452" s="37">
        <f t="shared" si="181"/>
        <v>1026</v>
      </c>
      <c r="O452" s="22"/>
    </row>
    <row r="453" spans="1:15" ht="17.100000000000001" customHeight="1" x14ac:dyDescent="0.25">
      <c r="A453" s="27">
        <f>IF(C453="","",COUNTA($C$4:C453))</f>
        <v>449</v>
      </c>
      <c r="B453" s="27" t="str">
        <f t="shared" si="182"/>
        <v>January</v>
      </c>
      <c r="C453" s="49">
        <v>46053</v>
      </c>
      <c r="D453" s="21" t="s">
        <v>2738</v>
      </c>
      <c r="E453" s="26" t="s">
        <v>448</v>
      </c>
      <c r="F453" s="21">
        <v>303</v>
      </c>
      <c r="G453" s="26" t="s">
        <v>449</v>
      </c>
      <c r="H453" s="26" t="s">
        <v>2730</v>
      </c>
      <c r="I453" s="23">
        <v>92650</v>
      </c>
      <c r="J453" s="50">
        <v>0</v>
      </c>
      <c r="K453" s="62">
        <v>0</v>
      </c>
      <c r="L453" s="24">
        <v>0</v>
      </c>
      <c r="M453" s="23">
        <v>0</v>
      </c>
      <c r="N453" s="37">
        <f t="shared" si="181"/>
        <v>92650</v>
      </c>
      <c r="O453" s="22"/>
    </row>
    <row r="454" spans="1:15" ht="17.100000000000001" customHeight="1" x14ac:dyDescent="0.25">
      <c r="A454" s="27">
        <f>IF(C454="","",COUNTA($C$4:C454))</f>
        <v>450</v>
      </c>
      <c r="B454" s="27" t="str">
        <f t="shared" si="182"/>
        <v>January</v>
      </c>
      <c r="C454" s="49">
        <v>46053</v>
      </c>
      <c r="D454" s="21" t="s">
        <v>2739</v>
      </c>
      <c r="E454" s="26" t="s">
        <v>448</v>
      </c>
      <c r="F454" s="21">
        <v>304</v>
      </c>
      <c r="G454" s="26" t="s">
        <v>449</v>
      </c>
      <c r="H454" s="26" t="s">
        <v>2730</v>
      </c>
      <c r="I454" s="23">
        <v>13550</v>
      </c>
      <c r="J454" s="50">
        <v>0</v>
      </c>
      <c r="K454" s="62">
        <v>0</v>
      </c>
      <c r="L454" s="24">
        <v>0</v>
      </c>
      <c r="M454" s="23">
        <v>0</v>
      </c>
      <c r="N454" s="37">
        <f t="shared" si="181"/>
        <v>13550</v>
      </c>
      <c r="O454" s="22"/>
    </row>
    <row r="455" spans="1:15" ht="17.100000000000001" customHeight="1" x14ac:dyDescent="0.25">
      <c r="A455" s="27">
        <f>IF(C455="","",COUNTA($C$4:C455))</f>
        <v>451</v>
      </c>
      <c r="B455" s="27" t="str">
        <f t="shared" si="182"/>
        <v>January</v>
      </c>
      <c r="C455" s="49">
        <v>46038</v>
      </c>
      <c r="D455" s="21" t="s">
        <v>2740</v>
      </c>
      <c r="E455" s="26" t="s">
        <v>354</v>
      </c>
      <c r="F455" s="21">
        <v>3696</v>
      </c>
      <c r="G455" s="26" t="s">
        <v>355</v>
      </c>
      <c r="H455" s="26" t="s">
        <v>2741</v>
      </c>
      <c r="I455" s="23">
        <v>2857.14</v>
      </c>
      <c r="J455" s="50">
        <v>0.05</v>
      </c>
      <c r="K455" s="62">
        <v>0</v>
      </c>
      <c r="L455" s="24">
        <f>I455*2.5/100</f>
        <v>71.4285</v>
      </c>
      <c r="M455" s="23">
        <f>I455*2.5/100</f>
        <v>71.4285</v>
      </c>
      <c r="N455" s="37">
        <f t="shared" ref="N455:N475" si="183">+I455+L455+M455</f>
        <v>2999.9969999999998</v>
      </c>
      <c r="O455" s="22"/>
    </row>
    <row r="456" spans="1:15" ht="17.100000000000001" customHeight="1" x14ac:dyDescent="0.25">
      <c r="A456" s="27">
        <f>IF(C456="","",COUNTA($C$4:C456))</f>
        <v>452</v>
      </c>
      <c r="B456" s="27" t="str">
        <f t="shared" si="182"/>
        <v>January</v>
      </c>
      <c r="C456" s="49">
        <v>46053</v>
      </c>
      <c r="D456" s="21" t="s">
        <v>2742</v>
      </c>
      <c r="E456" s="26" t="s">
        <v>1510</v>
      </c>
      <c r="F456" s="21">
        <v>1448</v>
      </c>
      <c r="G456" s="48" t="s">
        <v>116</v>
      </c>
      <c r="H456" s="26" t="s">
        <v>2743</v>
      </c>
      <c r="I456" s="23">
        <v>11029</v>
      </c>
      <c r="J456" s="50">
        <v>0.18</v>
      </c>
      <c r="K456" s="24">
        <v>0</v>
      </c>
      <c r="L456" s="24">
        <f t="shared" ref="L456:L475" si="184">I456*9/100</f>
        <v>992.61</v>
      </c>
      <c r="M456" s="23">
        <f t="shared" ref="M456:M475" si="185">I456*9/100</f>
        <v>992.61</v>
      </c>
      <c r="N456" s="37">
        <f t="shared" si="183"/>
        <v>13014.220000000001</v>
      </c>
      <c r="O456" s="22"/>
    </row>
    <row r="457" spans="1:15" ht="17.100000000000001" customHeight="1" x14ac:dyDescent="0.25">
      <c r="A457" s="27">
        <f>IF(C457="","",COUNTA($C$4:C457))</f>
        <v>453</v>
      </c>
      <c r="B457" s="27" t="str">
        <f t="shared" si="182"/>
        <v>January</v>
      </c>
      <c r="C457" s="49">
        <v>46053</v>
      </c>
      <c r="D457" s="21" t="s">
        <v>2744</v>
      </c>
      <c r="E457" s="26" t="s">
        <v>1510</v>
      </c>
      <c r="F457" s="21">
        <v>1449</v>
      </c>
      <c r="G457" s="48" t="s">
        <v>116</v>
      </c>
      <c r="H457" s="26" t="s">
        <v>1320</v>
      </c>
      <c r="I457" s="23">
        <v>136557.85</v>
      </c>
      <c r="J457" s="50">
        <v>0.18</v>
      </c>
      <c r="K457" s="24">
        <v>0</v>
      </c>
      <c r="L457" s="24">
        <f t="shared" si="184"/>
        <v>12290.206500000002</v>
      </c>
      <c r="M457" s="23">
        <f t="shared" si="185"/>
        <v>12290.206500000002</v>
      </c>
      <c r="N457" s="37">
        <f t="shared" si="183"/>
        <v>161138.26300000001</v>
      </c>
      <c r="O457" s="22"/>
    </row>
    <row r="458" spans="1:15" ht="17.100000000000001" customHeight="1" x14ac:dyDescent="0.25">
      <c r="A458" s="27">
        <f>IF(C458="","",COUNTA($C$4:C458))</f>
        <v>454</v>
      </c>
      <c r="B458" s="27" t="str">
        <f t="shared" ref="B458:B460" si="186">IF(C458="","",TEXT(C458,"mmmm"))</f>
        <v>January</v>
      </c>
      <c r="C458" s="49">
        <v>46053</v>
      </c>
      <c r="D458" s="21" t="s">
        <v>2745</v>
      </c>
      <c r="E458" s="26" t="s">
        <v>1510</v>
      </c>
      <c r="F458" s="21">
        <v>1450</v>
      </c>
      <c r="G458" s="48" t="s">
        <v>116</v>
      </c>
      <c r="H458" s="26" t="s">
        <v>495</v>
      </c>
      <c r="I458" s="23">
        <v>14243.55</v>
      </c>
      <c r="J458" s="50">
        <v>0.18</v>
      </c>
      <c r="K458" s="24">
        <v>0</v>
      </c>
      <c r="L458" s="24">
        <f t="shared" si="184"/>
        <v>1281.9195</v>
      </c>
      <c r="M458" s="23">
        <f t="shared" si="185"/>
        <v>1281.9195</v>
      </c>
      <c r="N458" s="37">
        <f t="shared" si="183"/>
        <v>16807.388999999999</v>
      </c>
      <c r="O458" s="22"/>
    </row>
    <row r="459" spans="1:15" ht="17.100000000000001" customHeight="1" x14ac:dyDescent="0.25">
      <c r="A459" s="27">
        <f>IF(C459="","",COUNTA($C$4:C459))</f>
        <v>455</v>
      </c>
      <c r="B459" s="27" t="str">
        <f t="shared" si="186"/>
        <v>January</v>
      </c>
      <c r="C459" s="49">
        <v>46053</v>
      </c>
      <c r="D459" s="21" t="s">
        <v>2746</v>
      </c>
      <c r="E459" s="26" t="s">
        <v>1510</v>
      </c>
      <c r="F459" s="21">
        <v>1451</v>
      </c>
      <c r="G459" s="48" t="s">
        <v>116</v>
      </c>
      <c r="H459" s="26" t="s">
        <v>1320</v>
      </c>
      <c r="I459" s="23">
        <v>61426.69</v>
      </c>
      <c r="J459" s="50">
        <v>0.18</v>
      </c>
      <c r="K459" s="24">
        <v>0</v>
      </c>
      <c r="L459" s="24">
        <f t="shared" si="184"/>
        <v>5528.4020999999993</v>
      </c>
      <c r="M459" s="23">
        <f t="shared" si="185"/>
        <v>5528.4020999999993</v>
      </c>
      <c r="N459" s="37">
        <f t="shared" si="183"/>
        <v>72483.494200000016</v>
      </c>
      <c r="O459" s="22"/>
    </row>
    <row r="460" spans="1:15" ht="17.100000000000001" customHeight="1" x14ac:dyDescent="0.25">
      <c r="A460" s="27">
        <f>IF(C460="","",COUNTA($C$4:C460))</f>
        <v>456</v>
      </c>
      <c r="B460" s="27" t="str">
        <f t="shared" si="186"/>
        <v>January</v>
      </c>
      <c r="C460" s="49">
        <v>46053</v>
      </c>
      <c r="D460" s="21" t="s">
        <v>2747</v>
      </c>
      <c r="E460" s="26" t="s">
        <v>1510</v>
      </c>
      <c r="F460" s="21">
        <v>1452</v>
      </c>
      <c r="G460" s="48" t="s">
        <v>116</v>
      </c>
      <c r="H460" s="26" t="s">
        <v>495</v>
      </c>
      <c r="I460" s="23">
        <v>11553.55</v>
      </c>
      <c r="J460" s="50">
        <v>0.18</v>
      </c>
      <c r="K460" s="24">
        <v>0</v>
      </c>
      <c r="L460" s="24">
        <f t="shared" si="184"/>
        <v>1039.8195000000001</v>
      </c>
      <c r="M460" s="23">
        <f t="shared" si="185"/>
        <v>1039.8195000000001</v>
      </c>
      <c r="N460" s="37">
        <f t="shared" si="183"/>
        <v>13633.188999999998</v>
      </c>
      <c r="O460" s="22"/>
    </row>
    <row r="461" spans="1:15" ht="17.100000000000001" customHeight="1" x14ac:dyDescent="0.25">
      <c r="A461" s="27">
        <f>IF(C461="","",COUNTA($C$4:C461))</f>
        <v>457</v>
      </c>
      <c r="B461" s="27" t="str">
        <f t="shared" ref="B461" si="187">IF(C461="","",TEXT(C461,"mmmm"))</f>
        <v>January</v>
      </c>
      <c r="C461" s="49">
        <v>46053</v>
      </c>
      <c r="D461" s="21" t="s">
        <v>2748</v>
      </c>
      <c r="E461" s="26" t="s">
        <v>1510</v>
      </c>
      <c r="F461" s="21">
        <v>1453</v>
      </c>
      <c r="G461" s="48" t="s">
        <v>116</v>
      </c>
      <c r="H461" s="26" t="s">
        <v>495</v>
      </c>
      <c r="I461" s="23">
        <v>223794.55</v>
      </c>
      <c r="J461" s="50">
        <v>0.18</v>
      </c>
      <c r="K461" s="24">
        <v>0</v>
      </c>
      <c r="L461" s="24">
        <f t="shared" si="184"/>
        <v>20141.5095</v>
      </c>
      <c r="M461" s="23">
        <f t="shared" si="185"/>
        <v>20141.5095</v>
      </c>
      <c r="N461" s="37">
        <f t="shared" si="183"/>
        <v>264077.56899999996</v>
      </c>
      <c r="O461" s="22"/>
    </row>
    <row r="462" spans="1:15" ht="17.100000000000001" customHeight="1" x14ac:dyDescent="0.25">
      <c r="A462" s="27">
        <f>IF(C462="","",COUNTA($C$4:C462))</f>
        <v>458</v>
      </c>
      <c r="B462" s="27" t="str">
        <f t="shared" si="182"/>
        <v>January</v>
      </c>
      <c r="C462" s="49">
        <v>46053</v>
      </c>
      <c r="D462" s="21" t="s">
        <v>2749</v>
      </c>
      <c r="E462" s="26" t="s">
        <v>1510</v>
      </c>
      <c r="F462" s="21">
        <v>1454</v>
      </c>
      <c r="G462" s="48" t="s">
        <v>116</v>
      </c>
      <c r="H462" s="26" t="s">
        <v>495</v>
      </c>
      <c r="I462" s="23">
        <v>15050.55</v>
      </c>
      <c r="J462" s="50">
        <v>0.18</v>
      </c>
      <c r="K462" s="24">
        <v>0</v>
      </c>
      <c r="L462" s="24">
        <f t="shared" si="184"/>
        <v>1354.5494999999999</v>
      </c>
      <c r="M462" s="23">
        <f t="shared" si="185"/>
        <v>1354.5494999999999</v>
      </c>
      <c r="N462" s="37">
        <f t="shared" si="183"/>
        <v>17759.649000000001</v>
      </c>
      <c r="O462" s="22"/>
    </row>
    <row r="463" spans="1:15" ht="17.100000000000001" customHeight="1" x14ac:dyDescent="0.25">
      <c r="A463" s="27">
        <f>IF(C463="","",COUNTA($C$4:C463))</f>
        <v>459</v>
      </c>
      <c r="B463" s="27" t="str">
        <f t="shared" si="182"/>
        <v>January</v>
      </c>
      <c r="C463" s="49">
        <v>46053</v>
      </c>
      <c r="D463" s="21" t="s">
        <v>2750</v>
      </c>
      <c r="E463" s="26" t="s">
        <v>1510</v>
      </c>
      <c r="F463" s="21">
        <v>1455</v>
      </c>
      <c r="G463" s="48" t="s">
        <v>116</v>
      </c>
      <c r="H463" s="26" t="s">
        <v>1320</v>
      </c>
      <c r="I463" s="23">
        <v>15846.71</v>
      </c>
      <c r="J463" s="50">
        <v>0.18</v>
      </c>
      <c r="K463" s="24">
        <v>0</v>
      </c>
      <c r="L463" s="24">
        <f t="shared" si="184"/>
        <v>1426.2038999999997</v>
      </c>
      <c r="M463" s="23">
        <f t="shared" si="185"/>
        <v>1426.2038999999997</v>
      </c>
      <c r="N463" s="37">
        <f t="shared" si="183"/>
        <v>18699.1178</v>
      </c>
      <c r="O463" s="22"/>
    </row>
    <row r="464" spans="1:15" ht="17.100000000000001" customHeight="1" x14ac:dyDescent="0.25">
      <c r="A464" s="27">
        <f>IF(C464="","",COUNTA($C$4:C464))</f>
        <v>460</v>
      </c>
      <c r="B464" s="27" t="str">
        <f t="shared" si="182"/>
        <v>January</v>
      </c>
      <c r="C464" s="49">
        <v>46053</v>
      </c>
      <c r="D464" s="21" t="s">
        <v>2751</v>
      </c>
      <c r="E464" s="26" t="s">
        <v>1510</v>
      </c>
      <c r="F464" s="21">
        <v>1456</v>
      </c>
      <c r="G464" s="48" t="s">
        <v>116</v>
      </c>
      <c r="H464" s="26" t="s">
        <v>2752</v>
      </c>
      <c r="I464" s="23">
        <v>1923.35</v>
      </c>
      <c r="J464" s="50">
        <v>0.18</v>
      </c>
      <c r="K464" s="24">
        <v>0</v>
      </c>
      <c r="L464" s="24">
        <f t="shared" si="184"/>
        <v>173.10149999999999</v>
      </c>
      <c r="M464" s="23">
        <f t="shared" si="185"/>
        <v>173.10149999999999</v>
      </c>
      <c r="N464" s="37">
        <f t="shared" si="183"/>
        <v>2269.5529999999999</v>
      </c>
      <c r="O464" s="22"/>
    </row>
    <row r="465" spans="1:15" ht="17.100000000000001" customHeight="1" x14ac:dyDescent="0.25">
      <c r="A465" s="27">
        <f>IF(C465="","",COUNTA($C$4:C465))</f>
        <v>461</v>
      </c>
      <c r="B465" s="27" t="str">
        <f t="shared" si="182"/>
        <v>January</v>
      </c>
      <c r="C465" s="49">
        <v>46053</v>
      </c>
      <c r="D465" s="21" t="s">
        <v>2753</v>
      </c>
      <c r="E465" s="26" t="s">
        <v>1510</v>
      </c>
      <c r="F465" s="21">
        <v>1457</v>
      </c>
      <c r="G465" s="48" t="s">
        <v>116</v>
      </c>
      <c r="H465" s="26" t="s">
        <v>953</v>
      </c>
      <c r="I465" s="23">
        <v>3804.74</v>
      </c>
      <c r="J465" s="50">
        <v>0.18</v>
      </c>
      <c r="K465" s="24">
        <v>0</v>
      </c>
      <c r="L465" s="24">
        <f t="shared" si="184"/>
        <v>342.42659999999995</v>
      </c>
      <c r="M465" s="23">
        <f t="shared" si="185"/>
        <v>342.42659999999995</v>
      </c>
      <c r="N465" s="37">
        <f t="shared" si="183"/>
        <v>4489.5931999999993</v>
      </c>
      <c r="O465" s="22"/>
    </row>
    <row r="466" spans="1:15" ht="17.100000000000001" customHeight="1" x14ac:dyDescent="0.25">
      <c r="A466" s="27">
        <f>IF(C466="","",COUNTA($C$4:C466))</f>
        <v>462</v>
      </c>
      <c r="B466" s="27" t="str">
        <f t="shared" si="182"/>
        <v>January</v>
      </c>
      <c r="C466" s="49">
        <v>46053</v>
      </c>
      <c r="D466" s="21" t="s">
        <v>2754</v>
      </c>
      <c r="E466" s="26" t="s">
        <v>1510</v>
      </c>
      <c r="F466" s="21">
        <v>1458</v>
      </c>
      <c r="G466" s="48" t="s">
        <v>116</v>
      </c>
      <c r="H466" s="26" t="s">
        <v>495</v>
      </c>
      <c r="I466" s="23">
        <v>39731.300000000003</v>
      </c>
      <c r="J466" s="50">
        <v>0.18</v>
      </c>
      <c r="K466" s="24">
        <v>0</v>
      </c>
      <c r="L466" s="24">
        <f t="shared" si="184"/>
        <v>3575.817</v>
      </c>
      <c r="M466" s="23">
        <f t="shared" si="185"/>
        <v>3575.817</v>
      </c>
      <c r="N466" s="37">
        <f t="shared" si="183"/>
        <v>46882.934000000008</v>
      </c>
      <c r="O466" s="22"/>
    </row>
    <row r="467" spans="1:15" ht="17.100000000000001" customHeight="1" x14ac:dyDescent="0.25">
      <c r="A467" s="27">
        <f>IF(C467="","",COUNTA($C$4:C467))</f>
        <v>463</v>
      </c>
      <c r="B467" s="27" t="str">
        <f t="shared" si="182"/>
        <v>January</v>
      </c>
      <c r="C467" s="49">
        <v>46053</v>
      </c>
      <c r="D467" s="21" t="s">
        <v>2755</v>
      </c>
      <c r="E467" s="26" t="s">
        <v>1510</v>
      </c>
      <c r="F467" s="21">
        <v>1459</v>
      </c>
      <c r="G467" s="48" t="s">
        <v>116</v>
      </c>
      <c r="H467" s="26" t="s">
        <v>495</v>
      </c>
      <c r="I467" s="23">
        <v>23389.55</v>
      </c>
      <c r="J467" s="50">
        <v>0.18</v>
      </c>
      <c r="K467" s="24">
        <v>0</v>
      </c>
      <c r="L467" s="24">
        <f t="shared" si="184"/>
        <v>2105.0594999999998</v>
      </c>
      <c r="M467" s="23">
        <f t="shared" si="185"/>
        <v>2105.0594999999998</v>
      </c>
      <c r="N467" s="37">
        <f t="shared" si="183"/>
        <v>27599.668999999998</v>
      </c>
      <c r="O467" s="22"/>
    </row>
    <row r="468" spans="1:15" ht="17.100000000000001" customHeight="1" x14ac:dyDescent="0.25">
      <c r="A468" s="27">
        <f>IF(C468="","",COUNTA($C$4:C468))</f>
        <v>464</v>
      </c>
      <c r="B468" s="27" t="str">
        <f t="shared" si="182"/>
        <v>January</v>
      </c>
      <c r="C468" s="49">
        <v>46053</v>
      </c>
      <c r="D468" s="21" t="s">
        <v>2756</v>
      </c>
      <c r="E468" s="26" t="s">
        <v>1510</v>
      </c>
      <c r="F468" s="53">
        <v>1460</v>
      </c>
      <c r="G468" s="48" t="s">
        <v>116</v>
      </c>
      <c r="H468" s="26" t="s">
        <v>495</v>
      </c>
      <c r="I468" s="23">
        <v>254810.25</v>
      </c>
      <c r="J468" s="50">
        <v>0.18</v>
      </c>
      <c r="K468" s="24">
        <v>0</v>
      </c>
      <c r="L468" s="24">
        <f t="shared" si="184"/>
        <v>22932.922500000001</v>
      </c>
      <c r="M468" s="23">
        <f t="shared" si="185"/>
        <v>22932.922500000001</v>
      </c>
      <c r="N468" s="37">
        <f t="shared" si="183"/>
        <v>300676.09499999997</v>
      </c>
      <c r="O468" s="22"/>
    </row>
    <row r="469" spans="1:15" ht="17.100000000000001" customHeight="1" x14ac:dyDescent="0.25">
      <c r="A469" s="27">
        <f>IF(C469="","",COUNTA($C$4:C469))</f>
        <v>465</v>
      </c>
      <c r="B469" s="27" t="str">
        <f t="shared" si="182"/>
        <v>January</v>
      </c>
      <c r="C469" s="49">
        <v>46053</v>
      </c>
      <c r="D469" s="21" t="s">
        <v>2757</v>
      </c>
      <c r="E469" s="26" t="s">
        <v>1510</v>
      </c>
      <c r="F469" s="21">
        <v>1461</v>
      </c>
      <c r="G469" s="48" t="s">
        <v>116</v>
      </c>
      <c r="H469" s="26" t="s">
        <v>495</v>
      </c>
      <c r="I469" s="23">
        <v>10477.549999999999</v>
      </c>
      <c r="J469" s="50">
        <v>0.18</v>
      </c>
      <c r="K469" s="24">
        <v>0</v>
      </c>
      <c r="L469" s="24">
        <f t="shared" si="184"/>
        <v>942.97949999999992</v>
      </c>
      <c r="M469" s="23">
        <f t="shared" si="185"/>
        <v>942.97949999999992</v>
      </c>
      <c r="N469" s="37">
        <f t="shared" si="183"/>
        <v>12363.508999999998</v>
      </c>
      <c r="O469" s="22"/>
    </row>
    <row r="470" spans="1:15" ht="17.100000000000001" customHeight="1" x14ac:dyDescent="0.25">
      <c r="A470" s="27">
        <f>IF(C470="","",COUNTA($C$4:C470))</f>
        <v>466</v>
      </c>
      <c r="B470" s="27" t="str">
        <f t="shared" si="182"/>
        <v>January</v>
      </c>
      <c r="C470" s="49">
        <v>46053</v>
      </c>
      <c r="D470" s="21" t="s">
        <v>2758</v>
      </c>
      <c r="E470" s="26" t="s">
        <v>1510</v>
      </c>
      <c r="F470" s="21">
        <v>1462</v>
      </c>
      <c r="G470" s="48" t="s">
        <v>116</v>
      </c>
      <c r="H470" s="26" t="s">
        <v>707</v>
      </c>
      <c r="I470" s="23">
        <v>21762.1</v>
      </c>
      <c r="J470" s="50">
        <v>0.18</v>
      </c>
      <c r="K470" s="24">
        <v>0</v>
      </c>
      <c r="L470" s="24">
        <f t="shared" si="184"/>
        <v>1958.5889999999999</v>
      </c>
      <c r="M470" s="23">
        <f t="shared" si="185"/>
        <v>1958.5889999999999</v>
      </c>
      <c r="N470" s="37">
        <f t="shared" si="183"/>
        <v>25679.277999999998</v>
      </c>
      <c r="O470" s="22"/>
    </row>
    <row r="471" spans="1:15" ht="17.100000000000001" customHeight="1" x14ac:dyDescent="0.25">
      <c r="A471" s="27">
        <f>IF(C471="","",COUNTA($C$4:C471))</f>
        <v>467</v>
      </c>
      <c r="B471" s="27" t="str">
        <f t="shared" si="182"/>
        <v>January</v>
      </c>
      <c r="C471" s="49">
        <v>46053</v>
      </c>
      <c r="D471" s="21" t="s">
        <v>2759</v>
      </c>
      <c r="E471" s="26" t="s">
        <v>1510</v>
      </c>
      <c r="F471" s="21">
        <v>1463</v>
      </c>
      <c r="G471" s="48" t="s">
        <v>116</v>
      </c>
      <c r="H471" s="26" t="s">
        <v>2760</v>
      </c>
      <c r="I471" s="23">
        <v>104482.29</v>
      </c>
      <c r="J471" s="50">
        <v>0.18</v>
      </c>
      <c r="K471" s="24">
        <v>0</v>
      </c>
      <c r="L471" s="24">
        <f t="shared" si="184"/>
        <v>9403.4061000000002</v>
      </c>
      <c r="M471" s="23">
        <f t="shared" si="185"/>
        <v>9403.4061000000002</v>
      </c>
      <c r="N471" s="37">
        <f t="shared" si="183"/>
        <v>123289.10219999999</v>
      </c>
      <c r="O471" s="22"/>
    </row>
    <row r="472" spans="1:15" ht="17.100000000000001" customHeight="1" x14ac:dyDescent="0.25">
      <c r="A472" s="27">
        <f>IF(C472="","",COUNTA($C$4:C472))</f>
        <v>468</v>
      </c>
      <c r="B472" s="27" t="str">
        <f t="shared" si="182"/>
        <v>January</v>
      </c>
      <c r="C472" s="49">
        <v>46053</v>
      </c>
      <c r="D472" s="21" t="s">
        <v>2761</v>
      </c>
      <c r="E472" s="26" t="s">
        <v>1510</v>
      </c>
      <c r="F472" s="21">
        <v>1464</v>
      </c>
      <c r="G472" s="48" t="s">
        <v>116</v>
      </c>
      <c r="H472" s="26" t="s">
        <v>479</v>
      </c>
      <c r="I472" s="23">
        <v>146600.16</v>
      </c>
      <c r="J472" s="50">
        <v>0.18</v>
      </c>
      <c r="K472" s="24">
        <v>0</v>
      </c>
      <c r="L472" s="24">
        <f t="shared" si="184"/>
        <v>13194.0144</v>
      </c>
      <c r="M472" s="23">
        <f t="shared" si="185"/>
        <v>13194.0144</v>
      </c>
      <c r="N472" s="37">
        <f t="shared" si="183"/>
        <v>172988.1888</v>
      </c>
      <c r="O472" s="22"/>
    </row>
    <row r="473" spans="1:15" ht="17.100000000000001" customHeight="1" x14ac:dyDescent="0.25">
      <c r="A473" s="27">
        <f>IF(C473="","",COUNTA($C$4:C473))</f>
        <v>469</v>
      </c>
      <c r="B473" s="27" t="str">
        <f t="shared" si="182"/>
        <v>January</v>
      </c>
      <c r="C473" s="49">
        <v>46053</v>
      </c>
      <c r="D473" s="21" t="s">
        <v>2762</v>
      </c>
      <c r="E473" s="26" t="s">
        <v>1510</v>
      </c>
      <c r="F473" s="21">
        <v>1465</v>
      </c>
      <c r="G473" s="48" t="s">
        <v>116</v>
      </c>
      <c r="H473" s="26" t="s">
        <v>495</v>
      </c>
      <c r="I473" s="23">
        <v>38776.35</v>
      </c>
      <c r="J473" s="50">
        <v>0.18</v>
      </c>
      <c r="K473" s="24">
        <v>0</v>
      </c>
      <c r="L473" s="24">
        <f t="shared" si="184"/>
        <v>3489.8714999999997</v>
      </c>
      <c r="M473" s="23">
        <f t="shared" si="185"/>
        <v>3489.8714999999997</v>
      </c>
      <c r="N473" s="37">
        <f t="shared" si="183"/>
        <v>45756.093000000001</v>
      </c>
      <c r="O473" s="22"/>
    </row>
    <row r="474" spans="1:15" ht="17.100000000000001" customHeight="1" x14ac:dyDescent="0.25">
      <c r="A474" s="27">
        <f>IF(C474="","",COUNTA($C$4:C474))</f>
        <v>470</v>
      </c>
      <c r="B474" s="27" t="str">
        <f t="shared" si="182"/>
        <v>January</v>
      </c>
      <c r="C474" s="49">
        <v>46053</v>
      </c>
      <c r="D474" s="21" t="s">
        <v>2763</v>
      </c>
      <c r="E474" s="26" t="s">
        <v>1510</v>
      </c>
      <c r="F474" s="21">
        <v>1466</v>
      </c>
      <c r="G474" s="48" t="s">
        <v>116</v>
      </c>
      <c r="H474" s="26" t="s">
        <v>953</v>
      </c>
      <c r="I474" s="23">
        <v>3860.69</v>
      </c>
      <c r="J474" s="50">
        <v>0.18</v>
      </c>
      <c r="K474" s="24">
        <v>0</v>
      </c>
      <c r="L474" s="24">
        <f t="shared" si="184"/>
        <v>347.46209999999996</v>
      </c>
      <c r="M474" s="23">
        <f t="shared" si="185"/>
        <v>347.46209999999996</v>
      </c>
      <c r="N474" s="37">
        <f t="shared" si="183"/>
        <v>4555.6142</v>
      </c>
      <c r="O474" s="22"/>
    </row>
    <row r="475" spans="1:15" ht="17.100000000000001" customHeight="1" x14ac:dyDescent="0.25">
      <c r="A475" s="27">
        <f>IF(C475="","",COUNTA($C$4:C475))</f>
        <v>471</v>
      </c>
      <c r="B475" s="27" t="str">
        <f t="shared" si="182"/>
        <v>January</v>
      </c>
      <c r="C475" s="49">
        <v>46053</v>
      </c>
      <c r="D475" s="21" t="s">
        <v>2764</v>
      </c>
      <c r="E475" s="26" t="s">
        <v>1510</v>
      </c>
      <c r="F475" s="21">
        <v>1467</v>
      </c>
      <c r="G475" s="48" t="s">
        <v>116</v>
      </c>
      <c r="H475" s="26" t="s">
        <v>2765</v>
      </c>
      <c r="I475" s="23">
        <v>21172.99</v>
      </c>
      <c r="J475" s="50">
        <v>0.18</v>
      </c>
      <c r="K475" s="24">
        <v>0</v>
      </c>
      <c r="L475" s="24">
        <f t="shared" si="184"/>
        <v>1905.5690999999999</v>
      </c>
      <c r="M475" s="23">
        <f t="shared" si="185"/>
        <v>1905.5690999999999</v>
      </c>
      <c r="N475" s="37">
        <f t="shared" si="183"/>
        <v>24984.128200000003</v>
      </c>
      <c r="O475" s="22"/>
    </row>
    <row r="476" spans="1:15" ht="17.100000000000001" customHeight="1" x14ac:dyDescent="0.25">
      <c r="A476" s="27">
        <f>IF(C476="","",COUNTA($C$4:C476))</f>
        <v>472</v>
      </c>
      <c r="B476" s="27" t="str">
        <f t="shared" si="182"/>
        <v>January</v>
      </c>
      <c r="C476" s="49">
        <v>46053</v>
      </c>
      <c r="D476" s="21" t="s">
        <v>2766</v>
      </c>
      <c r="E476" s="26" t="s">
        <v>559</v>
      </c>
      <c r="F476" s="21" t="s">
        <v>2767</v>
      </c>
      <c r="G476" s="26" t="s">
        <v>146</v>
      </c>
      <c r="H476" s="26" t="s">
        <v>2768</v>
      </c>
      <c r="I476" s="23">
        <v>6500</v>
      </c>
      <c r="J476" s="50">
        <v>0.18</v>
      </c>
      <c r="K476" s="62">
        <f>I476*18/100</f>
        <v>1170</v>
      </c>
      <c r="L476" s="24">
        <v>0</v>
      </c>
      <c r="M476" s="23">
        <v>0</v>
      </c>
      <c r="N476" s="37">
        <f>I476+K476</f>
        <v>7670</v>
      </c>
      <c r="O476" s="22"/>
    </row>
    <row r="477" spans="1:15" ht="17.100000000000001" customHeight="1" x14ac:dyDescent="0.25">
      <c r="A477" s="27">
        <f>IF(C477="","",COUNTA($C$4:C477))</f>
        <v>473</v>
      </c>
      <c r="B477" s="27" t="str">
        <f t="shared" si="182"/>
        <v>February</v>
      </c>
      <c r="C477" s="49">
        <v>46057</v>
      </c>
      <c r="D477" s="21" t="s">
        <v>2769</v>
      </c>
      <c r="E477" s="26" t="s">
        <v>783</v>
      </c>
      <c r="F477" s="21" t="s">
        <v>2770</v>
      </c>
      <c r="G477" s="26" t="s">
        <v>583</v>
      </c>
      <c r="H477" s="26" t="s">
        <v>2730</v>
      </c>
      <c r="I477" s="23">
        <v>359472</v>
      </c>
      <c r="J477" s="50">
        <v>0.18</v>
      </c>
      <c r="K477" s="21"/>
      <c r="L477" s="24">
        <f t="shared" ref="L477:L479" si="188">I477*9/100</f>
        <v>32352.48</v>
      </c>
      <c r="M477" s="23">
        <f t="shared" ref="M477:M479" si="189">I477*9/100</f>
        <v>32352.48</v>
      </c>
      <c r="N477" s="37">
        <f t="shared" ref="N477:N480" si="190">+I477+L477+M477</f>
        <v>424176.95999999996</v>
      </c>
      <c r="O477" s="22"/>
    </row>
    <row r="478" spans="1:15" ht="17.100000000000001" customHeight="1" x14ac:dyDescent="0.25">
      <c r="A478" s="27">
        <f>IF(C478="","",COUNTA($C$4:C478))</f>
        <v>474</v>
      </c>
      <c r="B478" s="27" t="str">
        <f t="shared" si="182"/>
        <v>February</v>
      </c>
      <c r="C478" s="49">
        <v>46057</v>
      </c>
      <c r="D478" s="21" t="s">
        <v>2771</v>
      </c>
      <c r="E478" s="26" t="s">
        <v>284</v>
      </c>
      <c r="F478" s="21">
        <v>4514</v>
      </c>
      <c r="G478" s="26" t="s">
        <v>285</v>
      </c>
      <c r="H478" s="26" t="s">
        <v>2772</v>
      </c>
      <c r="I478" s="23">
        <v>3400</v>
      </c>
      <c r="J478" s="50">
        <v>0.18</v>
      </c>
      <c r="K478" s="24">
        <v>0</v>
      </c>
      <c r="L478" s="24">
        <f t="shared" si="188"/>
        <v>306</v>
      </c>
      <c r="M478" s="23">
        <f t="shared" si="189"/>
        <v>306</v>
      </c>
      <c r="N478" s="37">
        <f t="shared" si="190"/>
        <v>4012</v>
      </c>
      <c r="O478" s="22"/>
    </row>
    <row r="479" spans="1:15" ht="17.100000000000001" customHeight="1" x14ac:dyDescent="0.25">
      <c r="A479" s="27">
        <f>IF(C479="","",COUNTA($C$4:C479))</f>
        <v>475</v>
      </c>
      <c r="B479" s="27" t="str">
        <f t="shared" si="182"/>
        <v>February</v>
      </c>
      <c r="C479" s="49">
        <v>46057</v>
      </c>
      <c r="D479" s="21" t="s">
        <v>2773</v>
      </c>
      <c r="E479" s="26" t="s">
        <v>1266</v>
      </c>
      <c r="F479" s="21">
        <v>848</v>
      </c>
      <c r="G479" s="26" t="s">
        <v>392</v>
      </c>
      <c r="H479" s="26" t="s">
        <v>2730</v>
      </c>
      <c r="I479" s="23">
        <v>149584</v>
      </c>
      <c r="J479" s="50">
        <v>0.18</v>
      </c>
      <c r="K479" s="24">
        <v>0</v>
      </c>
      <c r="L479" s="24">
        <f t="shared" si="188"/>
        <v>13462.56</v>
      </c>
      <c r="M479" s="23">
        <f t="shared" si="189"/>
        <v>13462.56</v>
      </c>
      <c r="N479" s="37">
        <f t="shared" si="190"/>
        <v>176509.12</v>
      </c>
      <c r="O479" s="22"/>
    </row>
    <row r="480" spans="1:15" ht="17.100000000000001" customHeight="1" x14ac:dyDescent="0.25">
      <c r="A480" s="27">
        <f>IF(C480="","",COUNTA($C$4:C480))</f>
        <v>476</v>
      </c>
      <c r="B480" s="27" t="str">
        <f t="shared" si="182"/>
        <v>February</v>
      </c>
      <c r="C480" s="49">
        <v>46057</v>
      </c>
      <c r="D480" s="21" t="s">
        <v>2774</v>
      </c>
      <c r="E480" s="26" t="s">
        <v>111</v>
      </c>
      <c r="F480" s="21">
        <v>1243199020657</v>
      </c>
      <c r="G480" s="26" t="s">
        <v>472</v>
      </c>
      <c r="H480" s="26" t="s">
        <v>2730</v>
      </c>
      <c r="I480" s="23">
        <v>124756</v>
      </c>
      <c r="J480" s="50">
        <v>0</v>
      </c>
      <c r="K480" s="24">
        <v>0</v>
      </c>
      <c r="L480" s="24">
        <v>0</v>
      </c>
      <c r="M480" s="23">
        <v>0</v>
      </c>
      <c r="N480" s="37">
        <f t="shared" si="190"/>
        <v>124756</v>
      </c>
      <c r="O480" s="22"/>
    </row>
    <row r="481" spans="1:15" ht="17.100000000000001" customHeight="1" x14ac:dyDescent="0.25">
      <c r="A481" s="27">
        <f>IF(C481="","",COUNTA($C$4:C481))</f>
        <v>477</v>
      </c>
      <c r="B481" s="27" t="str">
        <f t="shared" si="182"/>
        <v>February</v>
      </c>
      <c r="C481" s="49">
        <v>46059</v>
      </c>
      <c r="D481" s="21" t="s">
        <v>2775</v>
      </c>
      <c r="E481" s="26" t="s">
        <v>1902</v>
      </c>
      <c r="F481" s="21" t="s">
        <v>2776</v>
      </c>
      <c r="G481" s="26" t="s">
        <v>457</v>
      </c>
      <c r="H481" s="26" t="s">
        <v>2777</v>
      </c>
      <c r="I481" s="23">
        <v>15000</v>
      </c>
      <c r="J481" s="50">
        <v>0.18</v>
      </c>
      <c r="K481" s="24">
        <v>0</v>
      </c>
      <c r="L481" s="24">
        <f t="shared" ref="L481" si="191">I481*9/100</f>
        <v>1350</v>
      </c>
      <c r="M481" s="23">
        <f t="shared" ref="M481" si="192">I481*9/100</f>
        <v>1350</v>
      </c>
      <c r="N481" s="37">
        <f t="shared" ref="N481:N482" si="193">+I481+L481+M481</f>
        <v>17700</v>
      </c>
      <c r="O481" s="22"/>
    </row>
    <row r="482" spans="1:15" ht="17.100000000000001" customHeight="1" x14ac:dyDescent="0.25">
      <c r="A482" s="27">
        <f>IF(C482="","",COUNTA($C$4:C482))</f>
        <v>478</v>
      </c>
      <c r="B482" s="27" t="str">
        <f t="shared" si="182"/>
        <v>February</v>
      </c>
      <c r="C482" s="49">
        <v>46058</v>
      </c>
      <c r="D482" s="21" t="s">
        <v>2778</v>
      </c>
      <c r="E482" s="26" t="s">
        <v>569</v>
      </c>
      <c r="F482" s="21">
        <v>142</v>
      </c>
      <c r="G482" s="26" t="s">
        <v>285</v>
      </c>
      <c r="H482" s="26" t="s">
        <v>2779</v>
      </c>
      <c r="I482" s="23">
        <v>41500</v>
      </c>
      <c r="J482" s="50">
        <v>0</v>
      </c>
      <c r="K482" s="24">
        <v>0</v>
      </c>
      <c r="L482" s="24">
        <v>0</v>
      </c>
      <c r="M482" s="23">
        <v>0</v>
      </c>
      <c r="N482" s="37">
        <f t="shared" si="193"/>
        <v>41500</v>
      </c>
      <c r="O482" s="22"/>
    </row>
    <row r="483" spans="1:15" ht="17.100000000000001" customHeight="1" x14ac:dyDescent="0.25">
      <c r="A483" s="27">
        <f>IF(C483="","",COUNTA($C$4:C483))</f>
        <v>479</v>
      </c>
      <c r="B483" s="27" t="str">
        <f t="shared" si="182"/>
        <v>February</v>
      </c>
      <c r="C483" s="49">
        <v>46066</v>
      </c>
      <c r="D483" s="21" t="s">
        <v>2888</v>
      </c>
      <c r="E483" s="26" t="s">
        <v>548</v>
      </c>
      <c r="F483" s="21" t="s">
        <v>2889</v>
      </c>
      <c r="G483" s="26" t="s">
        <v>583</v>
      </c>
      <c r="H483" s="26" t="s">
        <v>2730</v>
      </c>
      <c r="I483" s="23">
        <v>602238.93000000005</v>
      </c>
      <c r="J483" s="50">
        <v>0.18</v>
      </c>
      <c r="K483" s="24">
        <v>0</v>
      </c>
      <c r="L483" s="24">
        <f t="shared" ref="L483:L484" si="194">I483*9/100</f>
        <v>54201.503700000001</v>
      </c>
      <c r="M483" s="23">
        <f t="shared" ref="M483:M484" si="195">I483*9/100</f>
        <v>54201.503700000001</v>
      </c>
      <c r="N483" s="37">
        <f t="shared" ref="N483:N484" si="196">+I483+L483+M483</f>
        <v>710641.93740000005</v>
      </c>
      <c r="O483" s="22"/>
    </row>
    <row r="484" spans="1:15" ht="17.100000000000001" customHeight="1" x14ac:dyDescent="0.25">
      <c r="A484" s="27">
        <f>IF(C484="","",COUNTA($C$4:C484))</f>
        <v>480</v>
      </c>
      <c r="B484" s="27" t="str">
        <f t="shared" si="182"/>
        <v>February</v>
      </c>
      <c r="C484" s="49">
        <v>46066</v>
      </c>
      <c r="D484" s="21" t="s">
        <v>2890</v>
      </c>
      <c r="E484" s="26" t="s">
        <v>548</v>
      </c>
      <c r="F484" s="21" t="s">
        <v>2891</v>
      </c>
      <c r="G484" s="26" t="s">
        <v>553</v>
      </c>
      <c r="H484" s="26" t="s">
        <v>2730</v>
      </c>
      <c r="I484" s="23">
        <v>46558.07</v>
      </c>
      <c r="J484" s="50">
        <v>0.18</v>
      </c>
      <c r="K484" s="24">
        <v>0</v>
      </c>
      <c r="L484" s="24">
        <f t="shared" si="194"/>
        <v>4190.2263000000003</v>
      </c>
      <c r="M484" s="23">
        <f t="shared" si="195"/>
        <v>4190.2263000000003</v>
      </c>
      <c r="N484" s="37">
        <f t="shared" si="196"/>
        <v>54938.522600000004</v>
      </c>
      <c r="O484" s="22"/>
    </row>
    <row r="485" spans="1:15" ht="17.100000000000001" customHeight="1" x14ac:dyDescent="0.25">
      <c r="A485" s="27">
        <f>IF(C485="","",COUNTA($C$4:C485))</f>
        <v>481</v>
      </c>
      <c r="B485" s="27" t="str">
        <f t="shared" si="182"/>
        <v>February</v>
      </c>
      <c r="C485" s="49">
        <v>46079</v>
      </c>
      <c r="D485" s="86" t="s">
        <v>2892</v>
      </c>
      <c r="E485" s="26" t="s">
        <v>559</v>
      </c>
      <c r="F485" s="21" t="s">
        <v>2975</v>
      </c>
      <c r="G485" s="26" t="s">
        <v>146</v>
      </c>
      <c r="H485" s="26" t="s">
        <v>2976</v>
      </c>
      <c r="I485" s="23">
        <v>14287</v>
      </c>
      <c r="J485" s="50">
        <v>0.18</v>
      </c>
      <c r="K485" s="62">
        <f>I485*18/100</f>
        <v>2571.66</v>
      </c>
      <c r="L485" s="24">
        <v>0</v>
      </c>
      <c r="M485" s="23">
        <v>0</v>
      </c>
      <c r="N485" s="37">
        <f>I485+K485</f>
        <v>16858.66</v>
      </c>
      <c r="O485" s="22"/>
    </row>
    <row r="486" spans="1:15" ht="17.100000000000001" customHeight="1" x14ac:dyDescent="0.25">
      <c r="A486" s="27">
        <f>IF(C486="","",COUNTA($C$4:C486))</f>
        <v>482</v>
      </c>
      <c r="B486" s="27" t="str">
        <f t="shared" si="182"/>
        <v>February</v>
      </c>
      <c r="C486" s="49">
        <v>46081</v>
      </c>
      <c r="D486" s="21" t="s">
        <v>2893</v>
      </c>
      <c r="E486" s="26" t="s">
        <v>141</v>
      </c>
      <c r="F486" s="21">
        <v>962</v>
      </c>
      <c r="G486" s="26" t="s">
        <v>1815</v>
      </c>
      <c r="H486" s="26" t="s">
        <v>1906</v>
      </c>
      <c r="I486" s="23">
        <v>14512</v>
      </c>
      <c r="J486" s="50">
        <v>0</v>
      </c>
      <c r="K486" s="24">
        <v>0</v>
      </c>
      <c r="L486" s="24">
        <v>0</v>
      </c>
      <c r="M486" s="23">
        <v>0</v>
      </c>
      <c r="N486" s="37">
        <f t="shared" ref="N486:N489" si="197">+I486+L486+M486</f>
        <v>14512</v>
      </c>
      <c r="O486" s="22"/>
    </row>
    <row r="487" spans="1:15" ht="17.100000000000001" customHeight="1" x14ac:dyDescent="0.25">
      <c r="A487" s="27">
        <f>IF(C487="","",COUNTA($C$4:C487))</f>
        <v>483</v>
      </c>
      <c r="B487" s="27" t="str">
        <f t="shared" si="182"/>
        <v>February</v>
      </c>
      <c r="C487" s="49">
        <v>46078</v>
      </c>
      <c r="D487" s="86" t="s">
        <v>2977</v>
      </c>
      <c r="E487" s="26" t="s">
        <v>354</v>
      </c>
      <c r="F487" s="21">
        <v>4186</v>
      </c>
      <c r="G487" s="26" t="s">
        <v>355</v>
      </c>
      <c r="H487" s="26" t="s">
        <v>2978</v>
      </c>
      <c r="I487" s="23">
        <v>2666.67</v>
      </c>
      <c r="J487" s="50">
        <v>0.05</v>
      </c>
      <c r="K487" s="24">
        <v>0</v>
      </c>
      <c r="L487" s="24">
        <f>I487*2.5/100</f>
        <v>66.666750000000008</v>
      </c>
      <c r="M487" s="23">
        <f>I487*2.5/100</f>
        <v>66.666750000000008</v>
      </c>
      <c r="N487" s="37">
        <f t="shared" si="197"/>
        <v>2800.0034999999998</v>
      </c>
      <c r="O487" s="22"/>
    </row>
    <row r="488" spans="1:15" ht="17.100000000000001" customHeight="1" x14ac:dyDescent="0.25">
      <c r="A488" s="27">
        <f>IF(C488="","",COUNTA($C$4:C488))</f>
        <v>484</v>
      </c>
      <c r="B488" s="27" t="str">
        <f t="shared" si="182"/>
        <v>February</v>
      </c>
      <c r="C488" s="49">
        <v>46081</v>
      </c>
      <c r="D488" s="86" t="s">
        <v>2979</v>
      </c>
      <c r="E488" s="26" t="s">
        <v>456</v>
      </c>
      <c r="F488" s="21" t="s">
        <v>2980</v>
      </c>
      <c r="G488" s="26" t="s">
        <v>457</v>
      </c>
      <c r="H488" s="26" t="s">
        <v>2981</v>
      </c>
      <c r="I488" s="23">
        <v>1500</v>
      </c>
      <c r="J488" s="50">
        <v>0.18</v>
      </c>
      <c r="K488" s="24">
        <v>0</v>
      </c>
      <c r="L488" s="24">
        <f>I488*9/100</f>
        <v>135</v>
      </c>
      <c r="M488" s="23">
        <f>I488*9/100</f>
        <v>135</v>
      </c>
      <c r="N488" s="37">
        <f t="shared" si="197"/>
        <v>1770</v>
      </c>
      <c r="O488" s="22"/>
    </row>
    <row r="489" spans="1:15" ht="17.100000000000001" customHeight="1" x14ac:dyDescent="0.25">
      <c r="A489" s="27">
        <f>IF(C489="","",COUNTA($C$4:C489))</f>
        <v>485</v>
      </c>
      <c r="B489" s="27" t="str">
        <f t="shared" si="182"/>
        <v>February</v>
      </c>
      <c r="C489" s="49">
        <v>46081</v>
      </c>
      <c r="D489" s="86" t="s">
        <v>2982</v>
      </c>
      <c r="E489" s="26" t="s">
        <v>448</v>
      </c>
      <c r="F489" s="21">
        <v>322</v>
      </c>
      <c r="G489" s="26" t="s">
        <v>449</v>
      </c>
      <c r="H489" s="26" t="s">
        <v>2983</v>
      </c>
      <c r="I489" s="23">
        <v>76950</v>
      </c>
      <c r="J489" s="50">
        <v>0</v>
      </c>
      <c r="K489" s="24">
        <v>0</v>
      </c>
      <c r="L489" s="24">
        <v>0</v>
      </c>
      <c r="M489" s="23">
        <v>0</v>
      </c>
      <c r="N489" s="37">
        <f t="shared" si="197"/>
        <v>76950</v>
      </c>
      <c r="O489" s="22"/>
    </row>
    <row r="490" spans="1:15" ht="17.100000000000001" customHeight="1" x14ac:dyDescent="0.25">
      <c r="A490" s="27">
        <f>IF(C490="","",COUNTA($C$4:C490))</f>
        <v>486</v>
      </c>
      <c r="B490" s="27" t="str">
        <f t="shared" si="182"/>
        <v>February</v>
      </c>
      <c r="C490" s="49">
        <v>46081</v>
      </c>
      <c r="D490" s="86" t="s">
        <v>2984</v>
      </c>
      <c r="E490" s="26" t="s">
        <v>452</v>
      </c>
      <c r="F490" s="21" t="s">
        <v>2985</v>
      </c>
      <c r="G490" s="26" t="s">
        <v>454</v>
      </c>
      <c r="H490" s="26" t="s">
        <v>2983</v>
      </c>
      <c r="I490" s="23">
        <v>1285.7</v>
      </c>
      <c r="J490" s="50">
        <v>0.18</v>
      </c>
      <c r="K490" s="24">
        <v>0</v>
      </c>
      <c r="L490" s="24">
        <f t="shared" ref="L490:L512" si="198">I490*9/100</f>
        <v>115.71300000000001</v>
      </c>
      <c r="M490" s="23">
        <f t="shared" ref="M490:M512" si="199">I490*9/100</f>
        <v>115.71300000000001</v>
      </c>
      <c r="N490" s="37">
        <f t="shared" ref="N490:N513" si="200">+I490+L490+M490</f>
        <v>1517.126</v>
      </c>
      <c r="O490" s="22"/>
    </row>
    <row r="491" spans="1:15" ht="17.100000000000001" customHeight="1" x14ac:dyDescent="0.25">
      <c r="A491" s="27">
        <f>IF(C491="","",COUNTA($C$4:C491))</f>
        <v>487</v>
      </c>
      <c r="B491" s="27" t="str">
        <f t="shared" si="182"/>
        <v>February</v>
      </c>
      <c r="C491" s="49">
        <v>46081</v>
      </c>
      <c r="D491" s="86" t="s">
        <v>2986</v>
      </c>
      <c r="E491" s="26" t="s">
        <v>1510</v>
      </c>
      <c r="F491" s="21">
        <v>1474</v>
      </c>
      <c r="G491" s="26" t="s">
        <v>116</v>
      </c>
      <c r="H491" s="26" t="s">
        <v>2987</v>
      </c>
      <c r="I491" s="23">
        <v>59205.82</v>
      </c>
      <c r="J491" s="50">
        <v>0.18</v>
      </c>
      <c r="K491" s="24">
        <v>0</v>
      </c>
      <c r="L491" s="24">
        <f t="shared" si="198"/>
        <v>5328.5237999999999</v>
      </c>
      <c r="M491" s="23">
        <f t="shared" si="199"/>
        <v>5328.5237999999999</v>
      </c>
      <c r="N491" s="37">
        <f t="shared" si="200"/>
        <v>69862.867599999998</v>
      </c>
      <c r="O491" s="22"/>
    </row>
    <row r="492" spans="1:15" ht="17.100000000000001" customHeight="1" x14ac:dyDescent="0.25">
      <c r="A492" s="27">
        <f>IF(C492="","",COUNTA($C$4:C492))</f>
        <v>488</v>
      </c>
      <c r="B492" s="27" t="str">
        <f t="shared" si="182"/>
        <v>February</v>
      </c>
      <c r="C492" s="49">
        <v>46081</v>
      </c>
      <c r="D492" s="86" t="s">
        <v>2988</v>
      </c>
      <c r="E492" s="26" t="s">
        <v>1510</v>
      </c>
      <c r="F492" s="21">
        <v>1475</v>
      </c>
      <c r="G492" s="26" t="s">
        <v>116</v>
      </c>
      <c r="H492" s="26" t="s">
        <v>479</v>
      </c>
      <c r="I492" s="23">
        <v>220439.58</v>
      </c>
      <c r="J492" s="50">
        <v>0.18</v>
      </c>
      <c r="K492" s="24">
        <v>0</v>
      </c>
      <c r="L492" s="24">
        <f t="shared" si="198"/>
        <v>19839.5622</v>
      </c>
      <c r="M492" s="23">
        <f t="shared" si="199"/>
        <v>19839.5622</v>
      </c>
      <c r="N492" s="37">
        <f t="shared" si="200"/>
        <v>260118.70439999999</v>
      </c>
      <c r="O492" s="22"/>
    </row>
    <row r="493" spans="1:15" ht="17.100000000000001" customHeight="1" x14ac:dyDescent="0.25">
      <c r="A493" s="27">
        <f>IF(C493="","",COUNTA($C$4:C493))</f>
        <v>489</v>
      </c>
      <c r="B493" s="27" t="str">
        <f t="shared" si="182"/>
        <v>February</v>
      </c>
      <c r="C493" s="49">
        <v>46081</v>
      </c>
      <c r="D493" s="86" t="s">
        <v>2989</v>
      </c>
      <c r="E493" s="26" t="s">
        <v>1510</v>
      </c>
      <c r="F493" s="21">
        <v>1476</v>
      </c>
      <c r="G493" s="26" t="s">
        <v>116</v>
      </c>
      <c r="H493" s="26" t="s">
        <v>479</v>
      </c>
      <c r="I493" s="23">
        <v>145287.44</v>
      </c>
      <c r="J493" s="50">
        <v>0.18</v>
      </c>
      <c r="K493" s="24">
        <v>0</v>
      </c>
      <c r="L493" s="24">
        <f t="shared" si="198"/>
        <v>13075.8696</v>
      </c>
      <c r="M493" s="23">
        <f t="shared" si="199"/>
        <v>13075.8696</v>
      </c>
      <c r="N493" s="37">
        <f t="shared" si="200"/>
        <v>171439.17920000001</v>
      </c>
      <c r="O493" s="22"/>
    </row>
    <row r="494" spans="1:15" ht="17.100000000000001" customHeight="1" x14ac:dyDescent="0.25">
      <c r="A494" s="27">
        <f>IF(C494="","",COUNTA($C$4:C494))</f>
        <v>490</v>
      </c>
      <c r="B494" s="27" t="str">
        <f t="shared" si="182"/>
        <v>February</v>
      </c>
      <c r="C494" s="49">
        <v>46081</v>
      </c>
      <c r="D494" s="86" t="s">
        <v>2990</v>
      </c>
      <c r="E494" s="26" t="s">
        <v>1510</v>
      </c>
      <c r="F494" s="21">
        <v>1477</v>
      </c>
      <c r="G494" s="26" t="s">
        <v>116</v>
      </c>
      <c r="H494" s="26" t="s">
        <v>495</v>
      </c>
      <c r="I494" s="23">
        <v>95266.35</v>
      </c>
      <c r="J494" s="50">
        <v>0.18</v>
      </c>
      <c r="K494" s="24">
        <v>0</v>
      </c>
      <c r="L494" s="24">
        <f t="shared" si="198"/>
        <v>8573.9714999999997</v>
      </c>
      <c r="M494" s="23">
        <f t="shared" si="199"/>
        <v>8573.9714999999997</v>
      </c>
      <c r="N494" s="37">
        <f t="shared" si="200"/>
        <v>112414.29300000001</v>
      </c>
      <c r="O494" s="22"/>
    </row>
    <row r="495" spans="1:15" ht="17.100000000000001" customHeight="1" x14ac:dyDescent="0.25">
      <c r="A495" s="27">
        <f>IF(C495="","",COUNTA($C$4:C495))</f>
        <v>491</v>
      </c>
      <c r="B495" s="27" t="str">
        <f t="shared" si="182"/>
        <v>February</v>
      </c>
      <c r="C495" s="49">
        <v>46081</v>
      </c>
      <c r="D495" s="86" t="s">
        <v>2991</v>
      </c>
      <c r="E495" s="26" t="s">
        <v>1510</v>
      </c>
      <c r="F495" s="21">
        <v>1478</v>
      </c>
      <c r="G495" s="26" t="s">
        <v>116</v>
      </c>
      <c r="H495" s="26" t="s">
        <v>495</v>
      </c>
      <c r="I495" s="23">
        <v>193155.45</v>
      </c>
      <c r="J495" s="50">
        <v>0.18</v>
      </c>
      <c r="K495" s="24">
        <v>0</v>
      </c>
      <c r="L495" s="24">
        <f t="shared" si="198"/>
        <v>17383.9905</v>
      </c>
      <c r="M495" s="23">
        <f t="shared" si="199"/>
        <v>17383.9905</v>
      </c>
      <c r="N495" s="37">
        <f t="shared" si="200"/>
        <v>227923.43100000004</v>
      </c>
      <c r="O495" s="22"/>
    </row>
    <row r="496" spans="1:15" ht="17.100000000000001" customHeight="1" x14ac:dyDescent="0.25">
      <c r="A496" s="27">
        <f>IF(C496="","",COUNTA($C$4:C496))</f>
        <v>492</v>
      </c>
      <c r="B496" s="27" t="str">
        <f t="shared" si="182"/>
        <v>February</v>
      </c>
      <c r="C496" s="49">
        <v>46081</v>
      </c>
      <c r="D496" s="86" t="s">
        <v>2992</v>
      </c>
      <c r="E496" s="26" t="s">
        <v>1510</v>
      </c>
      <c r="F496" s="21">
        <v>1479</v>
      </c>
      <c r="G496" s="26" t="s">
        <v>116</v>
      </c>
      <c r="H496" s="26" t="s">
        <v>495</v>
      </c>
      <c r="I496" s="23">
        <v>32750.75</v>
      </c>
      <c r="J496" s="50">
        <v>0.18</v>
      </c>
      <c r="K496" s="24">
        <v>0</v>
      </c>
      <c r="L496" s="24">
        <f t="shared" si="198"/>
        <v>2947.5675000000001</v>
      </c>
      <c r="M496" s="23">
        <f t="shared" si="199"/>
        <v>2947.5675000000001</v>
      </c>
      <c r="N496" s="37">
        <f t="shared" si="200"/>
        <v>38645.884999999995</v>
      </c>
      <c r="O496" s="22"/>
    </row>
    <row r="497" spans="1:15" ht="17.100000000000001" customHeight="1" x14ac:dyDescent="0.25">
      <c r="A497" s="27">
        <f>IF(C497="","",COUNTA($C$4:C497))</f>
        <v>493</v>
      </c>
      <c r="B497" s="27" t="str">
        <f t="shared" si="182"/>
        <v>February</v>
      </c>
      <c r="C497" s="49">
        <v>46081</v>
      </c>
      <c r="D497" s="86" t="s">
        <v>2993</v>
      </c>
      <c r="E497" s="26" t="s">
        <v>1510</v>
      </c>
      <c r="F497" s="21">
        <v>1480</v>
      </c>
      <c r="G497" s="26" t="s">
        <v>116</v>
      </c>
      <c r="H497" s="26" t="s">
        <v>479</v>
      </c>
      <c r="I497" s="23">
        <v>42040.93</v>
      </c>
      <c r="J497" s="50">
        <v>0.18</v>
      </c>
      <c r="K497" s="24">
        <v>0</v>
      </c>
      <c r="L497" s="24">
        <f t="shared" si="198"/>
        <v>3783.6837</v>
      </c>
      <c r="M497" s="23">
        <f t="shared" si="199"/>
        <v>3783.6837</v>
      </c>
      <c r="N497" s="37">
        <f t="shared" si="200"/>
        <v>49608.297400000003</v>
      </c>
      <c r="O497" s="22"/>
    </row>
    <row r="498" spans="1:15" ht="17.100000000000001" customHeight="1" x14ac:dyDescent="0.25">
      <c r="A498" s="27">
        <f>IF(C498="","",COUNTA($C$4:C498))</f>
        <v>494</v>
      </c>
      <c r="B498" s="27" t="str">
        <f t="shared" si="182"/>
        <v>February</v>
      </c>
      <c r="C498" s="49">
        <v>46081</v>
      </c>
      <c r="D498" s="86" t="s">
        <v>2994</v>
      </c>
      <c r="E498" s="26" t="s">
        <v>1510</v>
      </c>
      <c r="F498" s="21">
        <v>1481</v>
      </c>
      <c r="G498" s="26" t="s">
        <v>116</v>
      </c>
      <c r="H498" s="26" t="s">
        <v>495</v>
      </c>
      <c r="I498" s="23">
        <v>21587.25</v>
      </c>
      <c r="J498" s="50">
        <v>0.18</v>
      </c>
      <c r="K498" s="24">
        <v>0</v>
      </c>
      <c r="L498" s="24">
        <f t="shared" si="198"/>
        <v>1942.8525</v>
      </c>
      <c r="M498" s="23">
        <f t="shared" si="199"/>
        <v>1942.8525</v>
      </c>
      <c r="N498" s="37">
        <f t="shared" si="200"/>
        <v>25472.955000000002</v>
      </c>
      <c r="O498" s="22"/>
    </row>
    <row r="499" spans="1:15" ht="17.100000000000001" customHeight="1" x14ac:dyDescent="0.25">
      <c r="A499" s="27">
        <f>IF(C499="","",COUNTA($C$4:C499))</f>
        <v>495</v>
      </c>
      <c r="B499" s="27" t="str">
        <f t="shared" si="182"/>
        <v>February</v>
      </c>
      <c r="C499" s="49">
        <v>46081</v>
      </c>
      <c r="D499" s="86" t="s">
        <v>2995</v>
      </c>
      <c r="E499" s="26" t="s">
        <v>1510</v>
      </c>
      <c r="F499" s="21">
        <v>1482</v>
      </c>
      <c r="G499" s="26" t="s">
        <v>116</v>
      </c>
      <c r="H499" s="26" t="s">
        <v>495</v>
      </c>
      <c r="I499" s="23">
        <v>11029</v>
      </c>
      <c r="J499" s="50">
        <v>0.18</v>
      </c>
      <c r="K499" s="24">
        <v>0</v>
      </c>
      <c r="L499" s="24">
        <f t="shared" si="198"/>
        <v>992.61</v>
      </c>
      <c r="M499" s="23">
        <f t="shared" si="199"/>
        <v>992.61</v>
      </c>
      <c r="N499" s="37">
        <f t="shared" si="200"/>
        <v>13014.220000000001</v>
      </c>
      <c r="O499" s="22"/>
    </row>
    <row r="500" spans="1:15" ht="17.100000000000001" customHeight="1" x14ac:dyDescent="0.25">
      <c r="A500" s="27">
        <f>IF(C500="","",COUNTA($C$4:C500))</f>
        <v>496</v>
      </c>
      <c r="B500" s="27" t="str">
        <f t="shared" si="182"/>
        <v>February</v>
      </c>
      <c r="C500" s="49">
        <v>46081</v>
      </c>
      <c r="D500" s="86" t="s">
        <v>2996</v>
      </c>
      <c r="E500" s="26" t="s">
        <v>1510</v>
      </c>
      <c r="F500" s="21">
        <v>1483</v>
      </c>
      <c r="G500" s="26" t="s">
        <v>116</v>
      </c>
      <c r="H500" s="26" t="s">
        <v>479</v>
      </c>
      <c r="I500" s="23">
        <v>23651.56</v>
      </c>
      <c r="J500" s="50">
        <v>0.18</v>
      </c>
      <c r="K500" s="24">
        <v>0</v>
      </c>
      <c r="L500" s="24">
        <f t="shared" si="198"/>
        <v>2128.6404000000002</v>
      </c>
      <c r="M500" s="23">
        <f t="shared" si="199"/>
        <v>2128.6404000000002</v>
      </c>
      <c r="N500" s="37">
        <f t="shared" si="200"/>
        <v>27908.840800000002</v>
      </c>
      <c r="O500" s="22"/>
    </row>
    <row r="501" spans="1:15" ht="17.100000000000001" customHeight="1" x14ac:dyDescent="0.25">
      <c r="A501" s="27">
        <f>IF(C501="","",COUNTA($C$4:C501))</f>
        <v>497</v>
      </c>
      <c r="B501" s="27" t="str">
        <f t="shared" si="182"/>
        <v>February</v>
      </c>
      <c r="C501" s="49">
        <v>46081</v>
      </c>
      <c r="D501" s="86" t="s">
        <v>2997</v>
      </c>
      <c r="E501" s="26" t="s">
        <v>1510</v>
      </c>
      <c r="F501" s="21">
        <v>1484</v>
      </c>
      <c r="G501" s="26" t="s">
        <v>116</v>
      </c>
      <c r="H501" s="26" t="s">
        <v>495</v>
      </c>
      <c r="I501" s="23">
        <v>21089.599999999999</v>
      </c>
      <c r="J501" s="50">
        <v>0.18</v>
      </c>
      <c r="K501" s="24">
        <v>0</v>
      </c>
      <c r="L501" s="24">
        <f t="shared" si="198"/>
        <v>1898.0639999999999</v>
      </c>
      <c r="M501" s="23">
        <f t="shared" si="199"/>
        <v>1898.0639999999999</v>
      </c>
      <c r="N501" s="37">
        <f t="shared" si="200"/>
        <v>24885.727999999996</v>
      </c>
      <c r="O501" s="22"/>
    </row>
    <row r="502" spans="1:15" ht="17.100000000000001" customHeight="1" x14ac:dyDescent="0.25">
      <c r="A502" s="27">
        <f>IF(C502="","",COUNTA($C$4:C502))</f>
        <v>498</v>
      </c>
      <c r="B502" s="27" t="str">
        <f t="shared" si="182"/>
        <v>February</v>
      </c>
      <c r="C502" s="49">
        <v>46081</v>
      </c>
      <c r="D502" s="86" t="s">
        <v>2998</v>
      </c>
      <c r="E502" s="26" t="s">
        <v>1510</v>
      </c>
      <c r="F502" s="21">
        <v>1485</v>
      </c>
      <c r="G502" s="26" t="s">
        <v>116</v>
      </c>
      <c r="H502" s="26" t="s">
        <v>947</v>
      </c>
      <c r="I502" s="23">
        <v>44293</v>
      </c>
      <c r="J502" s="50">
        <v>0.18</v>
      </c>
      <c r="K502" s="24">
        <v>0</v>
      </c>
      <c r="L502" s="24">
        <f t="shared" si="198"/>
        <v>3986.37</v>
      </c>
      <c r="M502" s="23">
        <f t="shared" si="199"/>
        <v>3986.37</v>
      </c>
      <c r="N502" s="37">
        <f t="shared" si="200"/>
        <v>52265.740000000005</v>
      </c>
      <c r="O502" s="22"/>
    </row>
    <row r="503" spans="1:15" ht="17.100000000000001" customHeight="1" x14ac:dyDescent="0.25">
      <c r="A503" s="27">
        <f>IF(C503="","",COUNTA($C$4:C503))</f>
        <v>499</v>
      </c>
      <c r="B503" s="27" t="str">
        <f t="shared" si="182"/>
        <v>February</v>
      </c>
      <c r="C503" s="49">
        <v>46081</v>
      </c>
      <c r="D503" s="86" t="s">
        <v>2999</v>
      </c>
      <c r="E503" s="26" t="s">
        <v>1510</v>
      </c>
      <c r="F503" s="21">
        <v>1486</v>
      </c>
      <c r="G503" s="26" t="s">
        <v>116</v>
      </c>
      <c r="H503" s="26" t="s">
        <v>495</v>
      </c>
      <c r="I503" s="23">
        <v>1170.1500000000001</v>
      </c>
      <c r="J503" s="50">
        <v>0.18</v>
      </c>
      <c r="K503" s="24">
        <v>0</v>
      </c>
      <c r="L503" s="24">
        <f t="shared" si="198"/>
        <v>105.3135</v>
      </c>
      <c r="M503" s="23">
        <f t="shared" si="199"/>
        <v>105.3135</v>
      </c>
      <c r="N503" s="37">
        <f t="shared" si="200"/>
        <v>1380.777</v>
      </c>
      <c r="O503" s="22"/>
    </row>
    <row r="504" spans="1:15" ht="17.100000000000001" customHeight="1" x14ac:dyDescent="0.25">
      <c r="A504" s="27">
        <f>IF(C504="","",COUNTA($C$4:C504))</f>
        <v>500</v>
      </c>
      <c r="B504" s="27" t="str">
        <f t="shared" si="182"/>
        <v>February</v>
      </c>
      <c r="C504" s="49">
        <v>46081</v>
      </c>
      <c r="D504" s="86" t="s">
        <v>3000</v>
      </c>
      <c r="E504" s="26" t="s">
        <v>1510</v>
      </c>
      <c r="F504" s="21">
        <v>1487</v>
      </c>
      <c r="G504" s="26" t="s">
        <v>116</v>
      </c>
      <c r="H504" s="26" t="s">
        <v>704</v>
      </c>
      <c r="I504" s="23">
        <v>5030.3</v>
      </c>
      <c r="J504" s="50">
        <v>0.18</v>
      </c>
      <c r="K504" s="24">
        <v>0</v>
      </c>
      <c r="L504" s="24">
        <f t="shared" si="198"/>
        <v>452.72700000000003</v>
      </c>
      <c r="M504" s="23">
        <f t="shared" si="199"/>
        <v>452.72700000000003</v>
      </c>
      <c r="N504" s="37">
        <f t="shared" si="200"/>
        <v>5935.7539999999999</v>
      </c>
      <c r="O504" s="22"/>
    </row>
    <row r="505" spans="1:15" ht="17.100000000000001" customHeight="1" x14ac:dyDescent="0.25">
      <c r="A505" s="27">
        <f>IF(C505="","",COUNTA($C$4:C505))</f>
        <v>501</v>
      </c>
      <c r="B505" s="27" t="str">
        <f t="shared" si="182"/>
        <v>February</v>
      </c>
      <c r="C505" s="49">
        <v>46081</v>
      </c>
      <c r="D505" s="86" t="s">
        <v>3001</v>
      </c>
      <c r="E505" s="26" t="s">
        <v>1510</v>
      </c>
      <c r="F505" s="21">
        <v>1488</v>
      </c>
      <c r="G505" s="26" t="s">
        <v>116</v>
      </c>
      <c r="H505" s="26" t="s">
        <v>3002</v>
      </c>
      <c r="I505" s="23">
        <v>26402.35</v>
      </c>
      <c r="J505" s="50">
        <v>0.18</v>
      </c>
      <c r="K505" s="24">
        <v>0</v>
      </c>
      <c r="L505" s="24">
        <f t="shared" si="198"/>
        <v>2376.2114999999999</v>
      </c>
      <c r="M505" s="23">
        <f t="shared" si="199"/>
        <v>2376.2114999999999</v>
      </c>
      <c r="N505" s="37">
        <f t="shared" si="200"/>
        <v>31154.773000000001</v>
      </c>
      <c r="O505" s="22"/>
    </row>
    <row r="506" spans="1:15" ht="17.100000000000001" customHeight="1" x14ac:dyDescent="0.25">
      <c r="A506" s="27">
        <f>IF(C506="","",COUNTA($C$4:C506))</f>
        <v>502</v>
      </c>
      <c r="B506" s="27" t="str">
        <f t="shared" si="182"/>
        <v>February</v>
      </c>
      <c r="C506" s="49">
        <v>46081</v>
      </c>
      <c r="D506" s="86" t="s">
        <v>3003</v>
      </c>
      <c r="E506" s="26" t="s">
        <v>1510</v>
      </c>
      <c r="F506" s="21">
        <v>1489</v>
      </c>
      <c r="G506" s="26" t="s">
        <v>116</v>
      </c>
      <c r="H506" s="26" t="s">
        <v>495</v>
      </c>
      <c r="I506" s="23">
        <v>14149.4</v>
      </c>
      <c r="J506" s="50">
        <v>0.18</v>
      </c>
      <c r="K506" s="24">
        <v>0</v>
      </c>
      <c r="L506" s="24">
        <f t="shared" si="198"/>
        <v>1273.4459999999999</v>
      </c>
      <c r="M506" s="23">
        <f t="shared" si="199"/>
        <v>1273.4459999999999</v>
      </c>
      <c r="N506" s="37">
        <f t="shared" si="200"/>
        <v>16696.292000000001</v>
      </c>
      <c r="O506" s="22"/>
    </row>
    <row r="507" spans="1:15" ht="17.100000000000001" customHeight="1" x14ac:dyDescent="0.25">
      <c r="A507" s="27">
        <f>IF(C507="","",COUNTA($C$4:C507))</f>
        <v>503</v>
      </c>
      <c r="B507" s="27" t="str">
        <f t="shared" si="182"/>
        <v>February</v>
      </c>
      <c r="C507" s="49">
        <v>46081</v>
      </c>
      <c r="D507" s="86" t="s">
        <v>3004</v>
      </c>
      <c r="E507" s="26" t="s">
        <v>1510</v>
      </c>
      <c r="F507" s="21">
        <v>1490</v>
      </c>
      <c r="G507" s="26" t="s">
        <v>116</v>
      </c>
      <c r="H507" s="26" t="s">
        <v>495</v>
      </c>
      <c r="I507" s="23">
        <v>18049.900000000001</v>
      </c>
      <c r="J507" s="50">
        <v>0.18</v>
      </c>
      <c r="K507" s="24">
        <v>0</v>
      </c>
      <c r="L507" s="24">
        <f t="shared" si="198"/>
        <v>1624.491</v>
      </c>
      <c r="M507" s="23">
        <f t="shared" si="199"/>
        <v>1624.491</v>
      </c>
      <c r="N507" s="37">
        <f t="shared" si="200"/>
        <v>21298.882000000005</v>
      </c>
      <c r="O507" s="22"/>
    </row>
    <row r="508" spans="1:15" ht="17.100000000000001" customHeight="1" x14ac:dyDescent="0.25">
      <c r="A508" s="27">
        <f>IF(C508="","",COUNTA($C$4:C508))</f>
        <v>504</v>
      </c>
      <c r="B508" s="27" t="str">
        <f t="shared" si="182"/>
        <v>February</v>
      </c>
      <c r="C508" s="49">
        <v>46081</v>
      </c>
      <c r="D508" s="86" t="s">
        <v>3005</v>
      </c>
      <c r="E508" s="26" t="s">
        <v>1510</v>
      </c>
      <c r="F508" s="21">
        <v>1491</v>
      </c>
      <c r="G508" s="26" t="s">
        <v>116</v>
      </c>
      <c r="H508" s="26" t="s">
        <v>3006</v>
      </c>
      <c r="I508" s="23">
        <v>24837.85</v>
      </c>
      <c r="J508" s="50">
        <v>0.18</v>
      </c>
      <c r="K508" s="24">
        <v>0</v>
      </c>
      <c r="L508" s="24">
        <f t="shared" si="198"/>
        <v>2235.4065000000001</v>
      </c>
      <c r="M508" s="23">
        <f t="shared" si="199"/>
        <v>2235.4065000000001</v>
      </c>
      <c r="N508" s="37">
        <f t="shared" si="200"/>
        <v>29308.663</v>
      </c>
      <c r="O508" s="22"/>
    </row>
    <row r="509" spans="1:15" ht="17.100000000000001" customHeight="1" x14ac:dyDescent="0.25">
      <c r="A509" s="27">
        <f>IF(C509="","",COUNTA($C$4:C509))</f>
        <v>505</v>
      </c>
      <c r="B509" s="27" t="str">
        <f t="shared" si="182"/>
        <v>February</v>
      </c>
      <c r="C509" s="49">
        <v>46081</v>
      </c>
      <c r="D509" s="86" t="s">
        <v>3007</v>
      </c>
      <c r="E509" s="26" t="s">
        <v>1510</v>
      </c>
      <c r="F509" s="21">
        <v>1492</v>
      </c>
      <c r="G509" s="26" t="s">
        <v>116</v>
      </c>
      <c r="H509" s="26" t="s">
        <v>495</v>
      </c>
      <c r="I509" s="23">
        <v>22044.55</v>
      </c>
      <c r="J509" s="50">
        <v>0.18</v>
      </c>
      <c r="K509" s="24">
        <v>0</v>
      </c>
      <c r="L509" s="24">
        <f t="shared" si="198"/>
        <v>1984.0094999999999</v>
      </c>
      <c r="M509" s="23">
        <f t="shared" si="199"/>
        <v>1984.0094999999999</v>
      </c>
      <c r="N509" s="37">
        <f t="shared" si="200"/>
        <v>26012.569</v>
      </c>
      <c r="O509" s="22"/>
    </row>
    <row r="510" spans="1:15" ht="17.100000000000001" customHeight="1" x14ac:dyDescent="0.25">
      <c r="A510" s="27">
        <f>IF(C510="","",COUNTA($C$4:C510))</f>
        <v>506</v>
      </c>
      <c r="B510" s="27" t="str">
        <f t="shared" si="182"/>
        <v>February</v>
      </c>
      <c r="C510" s="49">
        <v>46064</v>
      </c>
      <c r="D510" s="86" t="s">
        <v>3043</v>
      </c>
      <c r="E510" s="26" t="s">
        <v>853</v>
      </c>
      <c r="F510" s="21" t="s">
        <v>3044</v>
      </c>
      <c r="G510" s="26" t="s">
        <v>457</v>
      </c>
      <c r="H510" s="26" t="s">
        <v>3045</v>
      </c>
      <c r="I510" s="23">
        <v>4100</v>
      </c>
      <c r="J510" s="50">
        <v>0.18</v>
      </c>
      <c r="K510" s="24">
        <v>0</v>
      </c>
      <c r="L510" s="24">
        <f t="shared" si="198"/>
        <v>369</v>
      </c>
      <c r="M510" s="23">
        <f t="shared" si="199"/>
        <v>369</v>
      </c>
      <c r="N510" s="37">
        <f>+I510+L510+M510+311</f>
        <v>5149</v>
      </c>
      <c r="O510" s="22"/>
    </row>
    <row r="511" spans="1:15" ht="17.100000000000001" customHeight="1" x14ac:dyDescent="0.25">
      <c r="A511" s="27">
        <f>IF(C511="","",COUNTA($C$4:C511))</f>
        <v>507</v>
      </c>
      <c r="B511" s="27" t="str">
        <f t="shared" si="182"/>
        <v>March</v>
      </c>
      <c r="C511" s="49">
        <v>46084</v>
      </c>
      <c r="D511" s="86" t="s">
        <v>3008</v>
      </c>
      <c r="E511" s="26" t="s">
        <v>364</v>
      </c>
      <c r="F511" s="21" t="s">
        <v>3009</v>
      </c>
      <c r="G511" s="26" t="s">
        <v>366</v>
      </c>
      <c r="H511" s="26" t="s">
        <v>1984</v>
      </c>
      <c r="I511" s="23">
        <v>4050</v>
      </c>
      <c r="J511" s="50">
        <v>0.18</v>
      </c>
      <c r="K511" s="24">
        <v>0</v>
      </c>
      <c r="L511" s="24">
        <f t="shared" si="198"/>
        <v>364.5</v>
      </c>
      <c r="M511" s="23">
        <f t="shared" si="199"/>
        <v>364.5</v>
      </c>
      <c r="N511" s="37">
        <f t="shared" si="200"/>
        <v>4779</v>
      </c>
      <c r="O511" s="22"/>
    </row>
    <row r="512" spans="1:15" ht="17.100000000000001" customHeight="1" x14ac:dyDescent="0.25">
      <c r="A512" s="27">
        <f>IF(C512="","",COUNTA($C$4:C512))</f>
        <v>508</v>
      </c>
      <c r="B512" s="27" t="str">
        <f t="shared" si="182"/>
        <v>March</v>
      </c>
      <c r="C512" s="49">
        <v>46085</v>
      </c>
      <c r="D512" s="86" t="s">
        <v>3010</v>
      </c>
      <c r="E512" s="26" t="s">
        <v>1266</v>
      </c>
      <c r="F512" s="21">
        <v>917</v>
      </c>
      <c r="G512" s="26" t="s">
        <v>392</v>
      </c>
      <c r="H512" s="26" t="s">
        <v>2983</v>
      </c>
      <c r="I512" s="23">
        <v>149442</v>
      </c>
      <c r="J512" s="50">
        <v>0.18</v>
      </c>
      <c r="K512" s="24">
        <v>0</v>
      </c>
      <c r="L512" s="24">
        <f t="shared" si="198"/>
        <v>13449.78</v>
      </c>
      <c r="M512" s="23">
        <f t="shared" si="199"/>
        <v>13449.78</v>
      </c>
      <c r="N512" s="37">
        <f t="shared" si="200"/>
        <v>176341.56</v>
      </c>
      <c r="O512" s="22"/>
    </row>
    <row r="513" spans="1:15" ht="17.100000000000001" customHeight="1" x14ac:dyDescent="0.25">
      <c r="A513" s="27">
        <f>IF(C513="","",COUNTA($C$4:C513))</f>
        <v>509</v>
      </c>
      <c r="B513" s="27" t="str">
        <f t="shared" si="182"/>
        <v>March</v>
      </c>
      <c r="C513" s="49">
        <v>46085</v>
      </c>
      <c r="D513" s="86" t="s">
        <v>3011</v>
      </c>
      <c r="E513" s="26" t="s">
        <v>111</v>
      </c>
      <c r="F513" s="21">
        <v>1243199021954</v>
      </c>
      <c r="G513" s="26" t="s">
        <v>472</v>
      </c>
      <c r="H513" s="26" t="s">
        <v>2983</v>
      </c>
      <c r="I513" s="23">
        <v>133871</v>
      </c>
      <c r="J513" s="50">
        <v>0</v>
      </c>
      <c r="K513" s="24">
        <v>0</v>
      </c>
      <c r="L513" s="24">
        <v>0</v>
      </c>
      <c r="M513" s="23">
        <v>0</v>
      </c>
      <c r="N513" s="37">
        <f t="shared" si="200"/>
        <v>133871</v>
      </c>
      <c r="O513" s="22"/>
    </row>
    <row r="514" spans="1:15" ht="17.100000000000001" customHeight="1" x14ac:dyDescent="0.25">
      <c r="A514" s="27">
        <f>IF(C514="","",COUNTA($C$4:C514))</f>
        <v>510</v>
      </c>
      <c r="B514" s="27" t="str">
        <f t="shared" si="182"/>
        <v>March</v>
      </c>
      <c r="C514" s="49">
        <v>46090</v>
      </c>
      <c r="D514" s="86" t="s">
        <v>3012</v>
      </c>
      <c r="E514" s="26" t="s">
        <v>783</v>
      </c>
      <c r="F514" s="21" t="s">
        <v>3013</v>
      </c>
      <c r="G514" s="26" t="s">
        <v>583</v>
      </c>
      <c r="H514" s="26" t="s">
        <v>2983</v>
      </c>
      <c r="I514" s="23">
        <v>334214</v>
      </c>
      <c r="J514" s="50">
        <v>0.18</v>
      </c>
      <c r="K514" s="24">
        <v>0</v>
      </c>
      <c r="L514" s="24">
        <f t="shared" ref="L514:L526" si="201">I514*9/100</f>
        <v>30079.26</v>
      </c>
      <c r="M514" s="23">
        <f t="shared" ref="M514:M526" si="202">I514*9/100</f>
        <v>30079.26</v>
      </c>
      <c r="N514" s="37">
        <f t="shared" ref="N514:N543" si="203">+I514+L514+M514</f>
        <v>394372.52</v>
      </c>
      <c r="O514" s="22"/>
    </row>
    <row r="515" spans="1:15" ht="17.100000000000001" customHeight="1" x14ac:dyDescent="0.25">
      <c r="A515" s="27">
        <f>IF(C515="","",COUNTA($C$4:C515))</f>
        <v>511</v>
      </c>
      <c r="B515" s="27" t="str">
        <f t="shared" si="182"/>
        <v>March</v>
      </c>
      <c r="C515" s="49">
        <v>46088</v>
      </c>
      <c r="D515" s="86" t="s">
        <v>3014</v>
      </c>
      <c r="E515" s="26" t="s">
        <v>1384</v>
      </c>
      <c r="F515" s="21" t="s">
        <v>3015</v>
      </c>
      <c r="G515" s="26" t="s">
        <v>1386</v>
      </c>
      <c r="H515" s="26" t="s">
        <v>3016</v>
      </c>
      <c r="I515" s="23">
        <v>2250</v>
      </c>
      <c r="J515" s="50">
        <v>0.18</v>
      </c>
      <c r="K515" s="24">
        <v>0</v>
      </c>
      <c r="L515" s="24">
        <f t="shared" si="201"/>
        <v>202.5</v>
      </c>
      <c r="M515" s="23">
        <f t="shared" si="202"/>
        <v>202.5</v>
      </c>
      <c r="N515" s="37">
        <f t="shared" si="203"/>
        <v>2655</v>
      </c>
      <c r="O515" s="22"/>
    </row>
    <row r="516" spans="1:15" ht="17.100000000000001" customHeight="1" x14ac:dyDescent="0.25">
      <c r="A516" s="27">
        <f>IF(C516="","",COUNTA($C$4:C516))</f>
        <v>512</v>
      </c>
      <c r="B516" s="27" t="str">
        <f t="shared" si="182"/>
        <v>March</v>
      </c>
      <c r="C516" s="49">
        <v>46095</v>
      </c>
      <c r="D516" s="86" t="s">
        <v>3017</v>
      </c>
      <c r="E516" s="26" t="s">
        <v>548</v>
      </c>
      <c r="F516" s="21" t="s">
        <v>3018</v>
      </c>
      <c r="G516" s="26" t="s">
        <v>583</v>
      </c>
      <c r="H516" s="26" t="s">
        <v>2983</v>
      </c>
      <c r="I516" s="23">
        <v>585599.07999999996</v>
      </c>
      <c r="J516" s="50">
        <v>0.18</v>
      </c>
      <c r="K516" s="24">
        <v>0</v>
      </c>
      <c r="L516" s="24">
        <f t="shared" si="201"/>
        <v>52703.917199999996</v>
      </c>
      <c r="M516" s="23">
        <f t="shared" si="202"/>
        <v>52703.917199999996</v>
      </c>
      <c r="N516" s="37">
        <f t="shared" si="203"/>
        <v>691006.91440000001</v>
      </c>
      <c r="O516" s="22"/>
    </row>
    <row r="517" spans="1:15" ht="17.100000000000001" customHeight="1" x14ac:dyDescent="0.25">
      <c r="A517" s="27">
        <f>IF(C517="","",COUNTA($C$4:C517))</f>
        <v>513</v>
      </c>
      <c r="B517" s="27" t="str">
        <f t="shared" si="182"/>
        <v>March</v>
      </c>
      <c r="C517" s="49">
        <v>46095</v>
      </c>
      <c r="D517" s="86" t="s">
        <v>3019</v>
      </c>
      <c r="E517" s="26" t="s">
        <v>548</v>
      </c>
      <c r="F517" s="21" t="s">
        <v>3020</v>
      </c>
      <c r="G517" s="26" t="s">
        <v>553</v>
      </c>
      <c r="H517" s="26" t="s">
        <v>2983</v>
      </c>
      <c r="I517" s="23">
        <v>31708.99</v>
      </c>
      <c r="J517" s="50">
        <v>0.18</v>
      </c>
      <c r="K517" s="24">
        <v>0</v>
      </c>
      <c r="L517" s="24">
        <f t="shared" si="201"/>
        <v>2853.8091000000004</v>
      </c>
      <c r="M517" s="23">
        <f t="shared" si="202"/>
        <v>2853.8091000000004</v>
      </c>
      <c r="N517" s="37">
        <f t="shared" si="203"/>
        <v>37416.608200000002</v>
      </c>
      <c r="O517" s="22"/>
    </row>
    <row r="518" spans="1:15" ht="17.100000000000001" customHeight="1" x14ac:dyDescent="0.25">
      <c r="A518" s="27">
        <f>IF(C518="","",COUNTA($C$4:C518))</f>
        <v>514</v>
      </c>
      <c r="B518" s="27" t="str">
        <f t="shared" si="182"/>
        <v>March</v>
      </c>
      <c r="C518" s="49">
        <v>46094</v>
      </c>
      <c r="D518" s="86" t="s">
        <v>3021</v>
      </c>
      <c r="E518" s="26" t="s">
        <v>284</v>
      </c>
      <c r="F518" s="21">
        <v>4642</v>
      </c>
      <c r="G518" s="26" t="s">
        <v>285</v>
      </c>
      <c r="H518" s="26" t="s">
        <v>3022</v>
      </c>
      <c r="I518" s="23">
        <v>2200</v>
      </c>
      <c r="J518" s="50">
        <v>0.18</v>
      </c>
      <c r="K518" s="24">
        <v>0</v>
      </c>
      <c r="L518" s="24">
        <f t="shared" si="201"/>
        <v>198</v>
      </c>
      <c r="M518" s="23">
        <f t="shared" si="202"/>
        <v>198</v>
      </c>
      <c r="N518" s="37">
        <f t="shared" si="203"/>
        <v>2596</v>
      </c>
      <c r="O518" s="22"/>
    </row>
    <row r="519" spans="1:15" ht="17.100000000000001" customHeight="1" x14ac:dyDescent="0.25">
      <c r="A519" s="27">
        <f>IF(C519="","",COUNTA($C$4:C519))</f>
        <v>515</v>
      </c>
      <c r="B519" s="27" t="str">
        <f t="shared" si="182"/>
        <v>March</v>
      </c>
      <c r="C519" s="49">
        <v>46102</v>
      </c>
      <c r="D519" s="21" t="s">
        <v>3046</v>
      </c>
      <c r="E519" s="26" t="s">
        <v>3047</v>
      </c>
      <c r="F519" s="21">
        <v>1</v>
      </c>
      <c r="G519" s="26" t="s">
        <v>1825</v>
      </c>
      <c r="H519" s="26" t="s">
        <v>3048</v>
      </c>
      <c r="I519" s="23">
        <v>110250</v>
      </c>
      <c r="J519" s="50">
        <v>0.18</v>
      </c>
      <c r="K519" s="24">
        <v>0</v>
      </c>
      <c r="L519" s="24">
        <f t="shared" si="201"/>
        <v>9922.5</v>
      </c>
      <c r="M519" s="23">
        <f t="shared" si="202"/>
        <v>9922.5</v>
      </c>
      <c r="N519" s="37">
        <f t="shared" si="203"/>
        <v>130095</v>
      </c>
      <c r="O519" s="22"/>
    </row>
    <row r="520" spans="1:15" ht="17.100000000000001" customHeight="1" x14ac:dyDescent="0.25">
      <c r="A520" s="27">
        <f>IF(C520="","",COUNTA($C$4:C520))</f>
        <v>516</v>
      </c>
      <c r="B520" s="27" t="str">
        <f t="shared" ref="B520:B545" si="204">IF(C520="","",TEXT(C520,"mmmm"))</f>
        <v>March</v>
      </c>
      <c r="C520" s="49">
        <v>46108</v>
      </c>
      <c r="D520" s="21" t="s">
        <v>3049</v>
      </c>
      <c r="E520" s="26" t="s">
        <v>358</v>
      </c>
      <c r="F520" s="21" t="s">
        <v>3050</v>
      </c>
      <c r="G520" s="26" t="s">
        <v>292</v>
      </c>
      <c r="H520" s="26" t="s">
        <v>3051</v>
      </c>
      <c r="I520" s="23">
        <v>3500</v>
      </c>
      <c r="J520" s="50">
        <v>0.18</v>
      </c>
      <c r="K520" s="24">
        <v>0</v>
      </c>
      <c r="L520" s="24">
        <f t="shared" si="201"/>
        <v>315</v>
      </c>
      <c r="M520" s="23">
        <f t="shared" si="202"/>
        <v>315</v>
      </c>
      <c r="N520" s="37">
        <f t="shared" si="203"/>
        <v>4130</v>
      </c>
      <c r="O520" s="22"/>
    </row>
    <row r="521" spans="1:15" ht="17.100000000000001" customHeight="1" x14ac:dyDescent="0.25">
      <c r="A521" s="27">
        <f>IF(C521="","",COUNTA($C$4:C521))</f>
        <v>517</v>
      </c>
      <c r="B521" s="27" t="str">
        <f t="shared" si="204"/>
        <v>September</v>
      </c>
      <c r="C521" s="49">
        <v>45919</v>
      </c>
      <c r="D521" s="21" t="s">
        <v>3052</v>
      </c>
      <c r="E521" s="26" t="s">
        <v>1618</v>
      </c>
      <c r="F521" s="21" t="s">
        <v>3053</v>
      </c>
      <c r="G521" s="26" t="s">
        <v>454</v>
      </c>
      <c r="H521" s="26" t="s">
        <v>3054</v>
      </c>
      <c r="I521" s="23">
        <v>3770</v>
      </c>
      <c r="J521" s="50">
        <v>0.18</v>
      </c>
      <c r="K521" s="24">
        <v>0</v>
      </c>
      <c r="L521" s="24">
        <f t="shared" si="201"/>
        <v>339.3</v>
      </c>
      <c r="M521" s="23">
        <f t="shared" si="202"/>
        <v>339.3</v>
      </c>
      <c r="N521" s="37">
        <f t="shared" si="203"/>
        <v>4448.6000000000004</v>
      </c>
      <c r="O521" s="22"/>
    </row>
    <row r="522" spans="1:15" ht="17.100000000000001" customHeight="1" x14ac:dyDescent="0.25">
      <c r="A522" s="27">
        <f>IF(C522="","",COUNTA($C$4:C522))</f>
        <v>518</v>
      </c>
      <c r="B522" s="27" t="str">
        <f t="shared" si="204"/>
        <v>March</v>
      </c>
      <c r="C522" s="49">
        <v>46112</v>
      </c>
      <c r="D522" s="21" t="s">
        <v>3095</v>
      </c>
      <c r="E522" s="26" t="s">
        <v>548</v>
      </c>
      <c r="F522" s="21" t="s">
        <v>3096</v>
      </c>
      <c r="G522" s="26" t="s">
        <v>583</v>
      </c>
      <c r="H522" s="26" t="s">
        <v>3097</v>
      </c>
      <c r="I522" s="23">
        <v>513787.47</v>
      </c>
      <c r="J522" s="50">
        <v>0.18</v>
      </c>
      <c r="K522" s="24">
        <v>0</v>
      </c>
      <c r="L522" s="24">
        <f t="shared" si="201"/>
        <v>46240.872299999995</v>
      </c>
      <c r="M522" s="23">
        <f t="shared" si="202"/>
        <v>46240.872299999995</v>
      </c>
      <c r="N522" s="37">
        <f t="shared" si="203"/>
        <v>606269.21460000006</v>
      </c>
      <c r="O522" s="22"/>
    </row>
    <row r="523" spans="1:15" ht="17.100000000000001" customHeight="1" x14ac:dyDescent="0.25">
      <c r="A523" s="27">
        <f>IF(C523="","",COUNTA($C$4:C523))</f>
        <v>519</v>
      </c>
      <c r="B523" s="27" t="str">
        <f t="shared" si="204"/>
        <v>March</v>
      </c>
      <c r="C523" s="49">
        <v>46112</v>
      </c>
      <c r="D523" s="21" t="s">
        <v>3098</v>
      </c>
      <c r="E523" s="26" t="s">
        <v>548</v>
      </c>
      <c r="F523" s="21" t="s">
        <v>3099</v>
      </c>
      <c r="G523" s="26" t="s">
        <v>553</v>
      </c>
      <c r="H523" s="26" t="s">
        <v>3097</v>
      </c>
      <c r="I523" s="23">
        <v>90486.62</v>
      </c>
      <c r="J523" s="50">
        <v>0.18</v>
      </c>
      <c r="K523" s="24">
        <v>0</v>
      </c>
      <c r="L523" s="24">
        <f t="shared" si="201"/>
        <v>8143.7957999999999</v>
      </c>
      <c r="M523" s="23">
        <f t="shared" si="202"/>
        <v>8143.7957999999999</v>
      </c>
      <c r="N523" s="37">
        <f t="shared" si="203"/>
        <v>106774.21159999998</v>
      </c>
      <c r="O523" s="22"/>
    </row>
    <row r="524" spans="1:15" ht="17.100000000000001" customHeight="1" x14ac:dyDescent="0.25">
      <c r="A524" s="27">
        <f>IF(C524="","",COUNTA($C$4:C524))</f>
        <v>520</v>
      </c>
      <c r="B524" s="27" t="str">
        <f t="shared" si="204"/>
        <v>March</v>
      </c>
      <c r="C524" s="49">
        <v>46112</v>
      </c>
      <c r="D524" s="21" t="s">
        <v>3100</v>
      </c>
      <c r="E524" s="26" t="s">
        <v>783</v>
      </c>
      <c r="F524" s="21" t="s">
        <v>3131</v>
      </c>
      <c r="G524" s="26" t="s">
        <v>583</v>
      </c>
      <c r="H524" s="26" t="s">
        <v>3106</v>
      </c>
      <c r="I524" s="23">
        <v>360599</v>
      </c>
      <c r="J524" s="50">
        <v>0.18</v>
      </c>
      <c r="K524" s="24">
        <v>0</v>
      </c>
      <c r="L524" s="24">
        <f t="shared" si="201"/>
        <v>32453.91</v>
      </c>
      <c r="M524" s="23">
        <f t="shared" si="202"/>
        <v>32453.91</v>
      </c>
      <c r="N524" s="37">
        <f t="shared" si="203"/>
        <v>425506.81999999995</v>
      </c>
      <c r="O524" s="22"/>
    </row>
    <row r="525" spans="1:15" ht="17.100000000000001" customHeight="1" x14ac:dyDescent="0.25">
      <c r="A525" s="27">
        <f>IF(C525="","",COUNTA($C$4:C525))</f>
        <v>521</v>
      </c>
      <c r="B525" s="27" t="str">
        <f t="shared" si="204"/>
        <v>March</v>
      </c>
      <c r="C525" s="49">
        <v>46112</v>
      </c>
      <c r="D525" s="21" t="s">
        <v>3101</v>
      </c>
      <c r="E525" s="26" t="s">
        <v>1266</v>
      </c>
      <c r="F525" s="21">
        <v>981</v>
      </c>
      <c r="G525" s="26" t="s">
        <v>392</v>
      </c>
      <c r="H525" s="26" t="s">
        <v>3097</v>
      </c>
      <c r="I525" s="23">
        <v>149584</v>
      </c>
      <c r="J525" s="50">
        <v>0.18</v>
      </c>
      <c r="K525" s="24">
        <v>0</v>
      </c>
      <c r="L525" s="24">
        <f t="shared" si="201"/>
        <v>13462.56</v>
      </c>
      <c r="M525" s="23">
        <f t="shared" si="202"/>
        <v>13462.56</v>
      </c>
      <c r="N525" s="37">
        <f t="shared" si="203"/>
        <v>176509.12</v>
      </c>
      <c r="O525" s="22"/>
    </row>
    <row r="526" spans="1:15" ht="17.100000000000001" customHeight="1" x14ac:dyDescent="0.25">
      <c r="A526" s="27">
        <f>IF(C526="","",COUNTA($C$4:C526))</f>
        <v>522</v>
      </c>
      <c r="B526" s="27" t="str">
        <f t="shared" si="204"/>
        <v>March</v>
      </c>
      <c r="C526" s="49">
        <v>46112</v>
      </c>
      <c r="D526" s="21" t="s">
        <v>3102</v>
      </c>
      <c r="E526" s="26" t="s">
        <v>456</v>
      </c>
      <c r="F526" s="21" t="s">
        <v>3103</v>
      </c>
      <c r="G526" s="26" t="s">
        <v>292</v>
      </c>
      <c r="H526" s="26" t="s">
        <v>3104</v>
      </c>
      <c r="I526" s="23">
        <v>1500</v>
      </c>
      <c r="J526" s="50">
        <v>0.18</v>
      </c>
      <c r="K526" s="24">
        <v>0</v>
      </c>
      <c r="L526" s="24">
        <f t="shared" si="201"/>
        <v>135</v>
      </c>
      <c r="M526" s="23">
        <f t="shared" si="202"/>
        <v>135</v>
      </c>
      <c r="N526" s="37">
        <f t="shared" si="203"/>
        <v>1770</v>
      </c>
      <c r="O526" s="22"/>
    </row>
    <row r="527" spans="1:15" ht="17.100000000000001" customHeight="1" x14ac:dyDescent="0.25">
      <c r="A527" s="27">
        <f>IF(C527="","",COUNTA($C$4:C527))</f>
        <v>523</v>
      </c>
      <c r="B527" s="27" t="str">
        <f t="shared" si="204"/>
        <v>March</v>
      </c>
      <c r="C527" s="49">
        <v>46112</v>
      </c>
      <c r="D527" s="21" t="s">
        <v>3105</v>
      </c>
      <c r="E527" s="26" t="s">
        <v>448</v>
      </c>
      <c r="F527" s="21">
        <v>347</v>
      </c>
      <c r="G527" s="26" t="s">
        <v>449</v>
      </c>
      <c r="H527" s="26" t="s">
        <v>3106</v>
      </c>
      <c r="I527" s="23">
        <v>90000</v>
      </c>
      <c r="J527" s="50">
        <v>0</v>
      </c>
      <c r="K527" s="24">
        <v>0</v>
      </c>
      <c r="L527" s="24">
        <v>0</v>
      </c>
      <c r="M527" s="23">
        <v>0</v>
      </c>
      <c r="N527" s="37">
        <f t="shared" si="203"/>
        <v>90000</v>
      </c>
      <c r="O527" s="22"/>
    </row>
    <row r="528" spans="1:15" ht="17.100000000000001" customHeight="1" x14ac:dyDescent="0.25">
      <c r="A528" s="27">
        <f>IF(C528="","",COUNTA($C$4:C528))</f>
        <v>524</v>
      </c>
      <c r="B528" s="27" t="str">
        <f t="shared" si="204"/>
        <v>March</v>
      </c>
      <c r="C528" s="49">
        <v>46112</v>
      </c>
      <c r="D528" s="21" t="s">
        <v>3107</v>
      </c>
      <c r="E528" s="26" t="s">
        <v>452</v>
      </c>
      <c r="F528" s="21" t="s">
        <v>3108</v>
      </c>
      <c r="G528" s="26" t="s">
        <v>454</v>
      </c>
      <c r="H528" s="26" t="s">
        <v>3106</v>
      </c>
      <c r="I528" s="23">
        <f>819+122.85</f>
        <v>941.85</v>
      </c>
      <c r="J528" s="50">
        <v>0.18</v>
      </c>
      <c r="K528" s="24">
        <v>0</v>
      </c>
      <c r="L528" s="24">
        <f t="shared" ref="L528:L542" si="205">I528*9/100</f>
        <v>84.766499999999994</v>
      </c>
      <c r="M528" s="23">
        <f t="shared" ref="M528:M542" si="206">I528*9/100</f>
        <v>84.766499999999994</v>
      </c>
      <c r="N528" s="37">
        <f t="shared" si="203"/>
        <v>1111.383</v>
      </c>
      <c r="O528" s="22"/>
    </row>
    <row r="529" spans="1:15" ht="17.100000000000001" customHeight="1" x14ac:dyDescent="0.25">
      <c r="A529" s="27">
        <f>IF(C529="","",COUNTA($C$4:C529))</f>
        <v>525</v>
      </c>
      <c r="B529" s="27" t="str">
        <f t="shared" si="204"/>
        <v>March</v>
      </c>
      <c r="C529" s="49">
        <v>46112</v>
      </c>
      <c r="D529" s="21" t="s">
        <v>3109</v>
      </c>
      <c r="E529" s="26" t="s">
        <v>1510</v>
      </c>
      <c r="F529" s="21">
        <v>1498</v>
      </c>
      <c r="G529" s="26" t="s">
        <v>116</v>
      </c>
      <c r="H529" s="26" t="s">
        <v>479</v>
      </c>
      <c r="I529" s="23">
        <v>15440.6</v>
      </c>
      <c r="J529" s="50">
        <v>0.18</v>
      </c>
      <c r="K529" s="24">
        <v>0</v>
      </c>
      <c r="L529" s="24">
        <f t="shared" si="205"/>
        <v>1389.654</v>
      </c>
      <c r="M529" s="23">
        <f t="shared" si="206"/>
        <v>1389.654</v>
      </c>
      <c r="N529" s="37">
        <f t="shared" si="203"/>
        <v>18219.907999999999</v>
      </c>
      <c r="O529" s="22"/>
    </row>
    <row r="530" spans="1:15" ht="17.100000000000001" customHeight="1" x14ac:dyDescent="0.25">
      <c r="A530" s="27">
        <f>IF(C530="","",COUNTA($C$4:C530))</f>
        <v>526</v>
      </c>
      <c r="B530" s="27" t="str">
        <f t="shared" si="204"/>
        <v>March</v>
      </c>
      <c r="C530" s="49">
        <v>46112</v>
      </c>
      <c r="D530" s="21" t="s">
        <v>3110</v>
      </c>
      <c r="E530" s="26" t="s">
        <v>1510</v>
      </c>
      <c r="F530" s="21">
        <v>1499</v>
      </c>
      <c r="G530" s="26" t="s">
        <v>116</v>
      </c>
      <c r="H530" s="26" t="s">
        <v>495</v>
      </c>
      <c r="I530" s="23">
        <v>1923.35</v>
      </c>
      <c r="J530" s="50">
        <v>0.18</v>
      </c>
      <c r="K530" s="24">
        <v>0</v>
      </c>
      <c r="L530" s="24">
        <f t="shared" si="205"/>
        <v>173.10149999999999</v>
      </c>
      <c r="M530" s="23">
        <f t="shared" si="206"/>
        <v>173.10149999999999</v>
      </c>
      <c r="N530" s="37">
        <f t="shared" si="203"/>
        <v>2269.5529999999999</v>
      </c>
      <c r="O530" s="22"/>
    </row>
    <row r="531" spans="1:15" ht="17.100000000000001" customHeight="1" x14ac:dyDescent="0.25">
      <c r="A531" s="27">
        <f>IF(C531="","",COUNTA($C$4:C531))</f>
        <v>527</v>
      </c>
      <c r="B531" s="27" t="str">
        <f t="shared" si="204"/>
        <v>March</v>
      </c>
      <c r="C531" s="49">
        <v>46112</v>
      </c>
      <c r="D531" s="21" t="s">
        <v>3111</v>
      </c>
      <c r="E531" s="26" t="s">
        <v>1510</v>
      </c>
      <c r="F531" s="21">
        <v>1500</v>
      </c>
      <c r="G531" s="26" t="s">
        <v>116</v>
      </c>
      <c r="H531" s="26" t="s">
        <v>495</v>
      </c>
      <c r="I531" s="23">
        <v>1977.15</v>
      </c>
      <c r="J531" s="50">
        <v>0.18</v>
      </c>
      <c r="K531" s="24">
        <v>0</v>
      </c>
      <c r="L531" s="24">
        <f t="shared" si="205"/>
        <v>177.94350000000003</v>
      </c>
      <c r="M531" s="23">
        <f t="shared" si="206"/>
        <v>177.94350000000003</v>
      </c>
      <c r="N531" s="37">
        <f t="shared" si="203"/>
        <v>2333.0369999999998</v>
      </c>
      <c r="O531" s="22"/>
    </row>
    <row r="532" spans="1:15" ht="17.100000000000001" customHeight="1" x14ac:dyDescent="0.25">
      <c r="A532" s="27">
        <f>IF(C532="","",COUNTA($C$4:C532))</f>
        <v>528</v>
      </c>
      <c r="B532" s="27" t="str">
        <f t="shared" si="204"/>
        <v>March</v>
      </c>
      <c r="C532" s="49">
        <v>46112</v>
      </c>
      <c r="D532" s="21" t="s">
        <v>3112</v>
      </c>
      <c r="E532" s="26" t="s">
        <v>1510</v>
      </c>
      <c r="F532" s="21">
        <v>1501</v>
      </c>
      <c r="G532" s="26" t="s">
        <v>116</v>
      </c>
      <c r="H532" s="26" t="s">
        <v>3113</v>
      </c>
      <c r="I532" s="23">
        <v>9937.94</v>
      </c>
      <c r="J532" s="50">
        <v>0.18</v>
      </c>
      <c r="K532" s="24">
        <v>0</v>
      </c>
      <c r="L532" s="24">
        <f t="shared" si="205"/>
        <v>894.41460000000006</v>
      </c>
      <c r="M532" s="23">
        <f t="shared" si="206"/>
        <v>894.41460000000006</v>
      </c>
      <c r="N532" s="37">
        <f t="shared" si="203"/>
        <v>11726.769200000001</v>
      </c>
      <c r="O532" s="22"/>
    </row>
    <row r="533" spans="1:15" ht="17.100000000000001" customHeight="1" x14ac:dyDescent="0.25">
      <c r="A533" s="27">
        <f>IF(C533="","",COUNTA($C$4:C533))</f>
        <v>529</v>
      </c>
      <c r="B533" s="27" t="str">
        <f t="shared" si="204"/>
        <v>March</v>
      </c>
      <c r="C533" s="49">
        <v>46112</v>
      </c>
      <c r="D533" s="21" t="s">
        <v>3114</v>
      </c>
      <c r="E533" s="26" t="s">
        <v>1510</v>
      </c>
      <c r="F533" s="21">
        <v>1502</v>
      </c>
      <c r="G533" s="26" t="s">
        <v>116</v>
      </c>
      <c r="H533" s="26" t="s">
        <v>495</v>
      </c>
      <c r="I533" s="23">
        <v>4613.3500000000004</v>
      </c>
      <c r="J533" s="50">
        <v>0.18</v>
      </c>
      <c r="K533" s="24">
        <v>0</v>
      </c>
      <c r="L533" s="24">
        <f t="shared" si="205"/>
        <v>415.20150000000001</v>
      </c>
      <c r="M533" s="23">
        <f t="shared" si="206"/>
        <v>415.20150000000001</v>
      </c>
      <c r="N533" s="37">
        <f t="shared" si="203"/>
        <v>5443.7530000000006</v>
      </c>
      <c r="O533" s="22"/>
    </row>
    <row r="534" spans="1:15" ht="17.100000000000001" customHeight="1" x14ac:dyDescent="0.25">
      <c r="A534" s="27">
        <f>IF(C534="","",COUNTA($C$4:C534))</f>
        <v>530</v>
      </c>
      <c r="B534" s="27" t="str">
        <f t="shared" si="204"/>
        <v>March</v>
      </c>
      <c r="C534" s="49">
        <v>46112</v>
      </c>
      <c r="D534" s="21" t="s">
        <v>3115</v>
      </c>
      <c r="E534" s="26" t="s">
        <v>1510</v>
      </c>
      <c r="F534" s="21">
        <v>1503</v>
      </c>
      <c r="G534" s="26" t="s">
        <v>116</v>
      </c>
      <c r="H534" s="26" t="s">
        <v>947</v>
      </c>
      <c r="I534" s="23">
        <v>56970.43</v>
      </c>
      <c r="J534" s="50">
        <v>0.18</v>
      </c>
      <c r="K534" s="24">
        <v>0</v>
      </c>
      <c r="L534" s="24">
        <f t="shared" si="205"/>
        <v>5127.3387000000002</v>
      </c>
      <c r="M534" s="23">
        <f t="shared" si="206"/>
        <v>5127.3387000000002</v>
      </c>
      <c r="N534" s="37">
        <f t="shared" si="203"/>
        <v>67225.107400000008</v>
      </c>
      <c r="O534" s="22"/>
    </row>
    <row r="535" spans="1:15" ht="17.100000000000001" customHeight="1" x14ac:dyDescent="0.25">
      <c r="A535" s="27">
        <f>IF(C535="","",COUNTA($C$4:C535))</f>
        <v>531</v>
      </c>
      <c r="B535" s="27" t="str">
        <f t="shared" si="204"/>
        <v>March</v>
      </c>
      <c r="C535" s="49">
        <v>46112</v>
      </c>
      <c r="D535" s="21" t="s">
        <v>3116</v>
      </c>
      <c r="E535" s="26" t="s">
        <v>1510</v>
      </c>
      <c r="F535" s="21">
        <v>1504</v>
      </c>
      <c r="G535" s="26" t="s">
        <v>116</v>
      </c>
      <c r="H535" s="26" t="s">
        <v>707</v>
      </c>
      <c r="I535" s="23">
        <v>13369.3</v>
      </c>
      <c r="J535" s="50">
        <v>0.18</v>
      </c>
      <c r="K535" s="24">
        <v>0</v>
      </c>
      <c r="L535" s="24">
        <f t="shared" si="205"/>
        <v>1203.2370000000001</v>
      </c>
      <c r="M535" s="23">
        <f t="shared" si="206"/>
        <v>1203.2370000000001</v>
      </c>
      <c r="N535" s="37">
        <f t="shared" si="203"/>
        <v>15775.774000000001</v>
      </c>
      <c r="O535" s="22"/>
    </row>
    <row r="536" spans="1:15" ht="17.100000000000001" customHeight="1" x14ac:dyDescent="0.25">
      <c r="A536" s="27">
        <f>IF(C536="","",COUNTA($C$4:C536))</f>
        <v>532</v>
      </c>
      <c r="B536" s="27" t="str">
        <f t="shared" si="204"/>
        <v>March</v>
      </c>
      <c r="C536" s="49">
        <v>46112</v>
      </c>
      <c r="D536" s="21" t="s">
        <v>3117</v>
      </c>
      <c r="E536" s="26" t="s">
        <v>1510</v>
      </c>
      <c r="F536" s="21">
        <v>1505</v>
      </c>
      <c r="G536" s="26" t="s">
        <v>116</v>
      </c>
      <c r="H536" s="26" t="s">
        <v>495</v>
      </c>
      <c r="I536" s="23">
        <v>6603.95</v>
      </c>
      <c r="J536" s="50">
        <v>0.18</v>
      </c>
      <c r="K536" s="24">
        <v>0</v>
      </c>
      <c r="L536" s="24">
        <f t="shared" si="205"/>
        <v>594.35550000000001</v>
      </c>
      <c r="M536" s="23">
        <f t="shared" si="206"/>
        <v>594.35550000000001</v>
      </c>
      <c r="N536" s="37">
        <f t="shared" si="203"/>
        <v>7792.6609999999991</v>
      </c>
      <c r="O536" s="22"/>
    </row>
    <row r="537" spans="1:15" ht="17.100000000000001" customHeight="1" x14ac:dyDescent="0.25">
      <c r="A537" s="27">
        <f>IF(C537="","",COUNTA($C$4:C537))</f>
        <v>533</v>
      </c>
      <c r="B537" s="27" t="str">
        <f t="shared" si="204"/>
        <v>March</v>
      </c>
      <c r="C537" s="49">
        <v>46112</v>
      </c>
      <c r="D537" s="21" t="s">
        <v>3118</v>
      </c>
      <c r="E537" s="26" t="s">
        <v>1510</v>
      </c>
      <c r="F537" s="21">
        <v>1506</v>
      </c>
      <c r="G537" s="26" t="s">
        <v>116</v>
      </c>
      <c r="H537" s="26" t="s">
        <v>495</v>
      </c>
      <c r="I537" s="23">
        <v>928.05</v>
      </c>
      <c r="J537" s="50">
        <v>0.18</v>
      </c>
      <c r="K537" s="24">
        <v>0</v>
      </c>
      <c r="L537" s="24">
        <f t="shared" si="205"/>
        <v>83.524499999999989</v>
      </c>
      <c r="M537" s="23">
        <f t="shared" si="206"/>
        <v>83.524499999999989</v>
      </c>
      <c r="N537" s="37">
        <f t="shared" si="203"/>
        <v>1095.0989999999999</v>
      </c>
      <c r="O537" s="22"/>
    </row>
    <row r="538" spans="1:15" ht="17.100000000000001" customHeight="1" x14ac:dyDescent="0.25">
      <c r="A538" s="27">
        <f>IF(C538="","",COUNTA($C$4:C538))</f>
        <v>534</v>
      </c>
      <c r="B538" s="27" t="str">
        <f t="shared" si="204"/>
        <v>March</v>
      </c>
      <c r="C538" s="49">
        <v>46112</v>
      </c>
      <c r="D538" s="21" t="s">
        <v>3119</v>
      </c>
      <c r="E538" s="26" t="s">
        <v>1510</v>
      </c>
      <c r="F538" s="21">
        <v>1507</v>
      </c>
      <c r="G538" s="26" t="s">
        <v>116</v>
      </c>
      <c r="H538" s="26" t="s">
        <v>953</v>
      </c>
      <c r="I538" s="23">
        <v>1342.85</v>
      </c>
      <c r="J538" s="50">
        <v>0.18</v>
      </c>
      <c r="K538" s="24">
        <v>0</v>
      </c>
      <c r="L538" s="24">
        <f t="shared" si="205"/>
        <v>120.8565</v>
      </c>
      <c r="M538" s="23">
        <f t="shared" si="206"/>
        <v>120.8565</v>
      </c>
      <c r="N538" s="37">
        <f t="shared" si="203"/>
        <v>1584.5630000000001</v>
      </c>
      <c r="O538" s="22"/>
    </row>
    <row r="539" spans="1:15" ht="17.100000000000001" customHeight="1" x14ac:dyDescent="0.25">
      <c r="A539" s="27">
        <f>IF(C539="","",COUNTA($C$4:C539))</f>
        <v>535</v>
      </c>
      <c r="B539" s="27" t="str">
        <f t="shared" si="204"/>
        <v>March</v>
      </c>
      <c r="C539" s="49">
        <v>46112</v>
      </c>
      <c r="D539" s="21" t="s">
        <v>3120</v>
      </c>
      <c r="E539" s="26" t="s">
        <v>1510</v>
      </c>
      <c r="F539" s="21">
        <v>1508</v>
      </c>
      <c r="G539" s="26" t="s">
        <v>116</v>
      </c>
      <c r="H539" s="26" t="s">
        <v>3121</v>
      </c>
      <c r="I539" s="23">
        <v>8394.9500000000007</v>
      </c>
      <c r="J539" s="50">
        <v>0.18</v>
      </c>
      <c r="K539" s="24">
        <v>0</v>
      </c>
      <c r="L539" s="24">
        <f t="shared" si="205"/>
        <v>755.54550000000006</v>
      </c>
      <c r="M539" s="23">
        <f t="shared" si="206"/>
        <v>755.54550000000006</v>
      </c>
      <c r="N539" s="37">
        <f t="shared" si="203"/>
        <v>9906.0410000000011</v>
      </c>
      <c r="O539" s="22"/>
    </row>
    <row r="540" spans="1:15" ht="17.100000000000001" customHeight="1" x14ac:dyDescent="0.25">
      <c r="A540" s="27">
        <f>IF(C540="","",COUNTA($C$4:C540))</f>
        <v>536</v>
      </c>
      <c r="B540" s="27" t="str">
        <f t="shared" si="204"/>
        <v>March</v>
      </c>
      <c r="C540" s="49">
        <v>46112</v>
      </c>
      <c r="D540" s="21" t="s">
        <v>3122</v>
      </c>
      <c r="E540" s="26" t="s">
        <v>1510</v>
      </c>
      <c r="F540" s="21">
        <v>1509</v>
      </c>
      <c r="G540" s="26" t="s">
        <v>116</v>
      </c>
      <c r="H540" s="26" t="s">
        <v>707</v>
      </c>
      <c r="I540" s="23">
        <v>67075.149999999994</v>
      </c>
      <c r="J540" s="50">
        <v>0.18</v>
      </c>
      <c r="K540" s="24">
        <v>0</v>
      </c>
      <c r="L540" s="24">
        <f t="shared" si="205"/>
        <v>6036.7635</v>
      </c>
      <c r="M540" s="23">
        <f t="shared" si="206"/>
        <v>6036.7635</v>
      </c>
      <c r="N540" s="37">
        <f t="shared" si="203"/>
        <v>79148.676999999996</v>
      </c>
      <c r="O540" s="22"/>
    </row>
    <row r="541" spans="1:15" ht="17.100000000000001" customHeight="1" x14ac:dyDescent="0.25">
      <c r="A541" s="27">
        <f>IF(C541="","",COUNTA($C$4:C541))</f>
        <v>537</v>
      </c>
      <c r="B541" s="27" t="str">
        <f t="shared" si="204"/>
        <v>March</v>
      </c>
      <c r="C541" s="49">
        <v>46112</v>
      </c>
      <c r="D541" s="21" t="s">
        <v>3123</v>
      </c>
      <c r="E541" s="26" t="s">
        <v>1510</v>
      </c>
      <c r="F541" s="21">
        <v>1510</v>
      </c>
      <c r="G541" s="26" t="s">
        <v>116</v>
      </c>
      <c r="H541" s="26" t="s">
        <v>495</v>
      </c>
      <c r="I541" s="23">
        <v>31742</v>
      </c>
      <c r="J541" s="50">
        <v>0.18</v>
      </c>
      <c r="K541" s="24">
        <v>0</v>
      </c>
      <c r="L541" s="24">
        <f t="shared" si="205"/>
        <v>2856.78</v>
      </c>
      <c r="M541" s="23">
        <f t="shared" si="206"/>
        <v>2856.78</v>
      </c>
      <c r="N541" s="37">
        <f t="shared" si="203"/>
        <v>37455.56</v>
      </c>
      <c r="O541" s="22"/>
    </row>
    <row r="542" spans="1:15" ht="17.100000000000001" customHeight="1" x14ac:dyDescent="0.25">
      <c r="A542" s="27">
        <f>IF(C542="","",COUNTA($C$4:C542))</f>
        <v>538</v>
      </c>
      <c r="B542" s="27" t="str">
        <f t="shared" si="204"/>
        <v>March</v>
      </c>
      <c r="C542" s="49">
        <v>46112</v>
      </c>
      <c r="D542" s="21" t="s">
        <v>3124</v>
      </c>
      <c r="E542" s="26" t="s">
        <v>1510</v>
      </c>
      <c r="F542" s="21">
        <v>1511</v>
      </c>
      <c r="G542" s="26" t="s">
        <v>116</v>
      </c>
      <c r="H542" s="26" t="s">
        <v>1499</v>
      </c>
      <c r="I542" s="22">
        <v>428052.17</v>
      </c>
      <c r="J542" s="50">
        <v>0.18</v>
      </c>
      <c r="K542" s="24">
        <v>0</v>
      </c>
      <c r="L542" s="24">
        <f t="shared" si="205"/>
        <v>38524.695299999999</v>
      </c>
      <c r="M542" s="23">
        <f t="shared" si="206"/>
        <v>38524.695299999999</v>
      </c>
      <c r="N542" s="37">
        <f t="shared" si="203"/>
        <v>505101.56060000003</v>
      </c>
      <c r="O542" s="22"/>
    </row>
    <row r="543" spans="1:15" ht="17.100000000000001" customHeight="1" x14ac:dyDescent="0.25">
      <c r="A543" s="27">
        <f>IF(C543="","",COUNTA($C$4:C543))</f>
        <v>539</v>
      </c>
      <c r="B543" s="27" t="str">
        <f t="shared" si="204"/>
        <v>March</v>
      </c>
      <c r="C543" s="49">
        <v>46112</v>
      </c>
      <c r="D543" s="21" t="s">
        <v>3125</v>
      </c>
      <c r="E543" s="26" t="s">
        <v>460</v>
      </c>
      <c r="F543" s="21" t="s">
        <v>3126</v>
      </c>
      <c r="G543" s="26" t="s">
        <v>462</v>
      </c>
      <c r="H543" s="26" t="s">
        <v>3106</v>
      </c>
      <c r="I543" s="22">
        <v>18844</v>
      </c>
      <c r="J543" s="50">
        <v>0</v>
      </c>
      <c r="K543" s="24">
        <v>0</v>
      </c>
      <c r="L543" s="24">
        <v>0</v>
      </c>
      <c r="M543" s="24">
        <v>0</v>
      </c>
      <c r="N543" s="37">
        <f t="shared" si="203"/>
        <v>18844</v>
      </c>
      <c r="O543" s="22"/>
    </row>
    <row r="544" spans="1:15" ht="17.100000000000001" customHeight="1" x14ac:dyDescent="0.25">
      <c r="A544" s="27">
        <f>IF(C544="","",COUNTA($C$4:C544))</f>
        <v>540</v>
      </c>
      <c r="B544" s="27" t="str">
        <f t="shared" si="204"/>
        <v>March</v>
      </c>
      <c r="C544" s="49">
        <v>46112</v>
      </c>
      <c r="D544" s="21" t="s">
        <v>3127</v>
      </c>
      <c r="E544" s="26" t="s">
        <v>354</v>
      </c>
      <c r="F544" s="21" t="s">
        <v>3128</v>
      </c>
      <c r="G544" s="26" t="s">
        <v>355</v>
      </c>
      <c r="H544" s="26" t="s">
        <v>3129</v>
      </c>
      <c r="I544" s="22">
        <v>2666.67</v>
      </c>
      <c r="J544" s="50">
        <v>0.05</v>
      </c>
      <c r="K544" s="24">
        <v>0</v>
      </c>
      <c r="L544" s="24">
        <f>I544*2.5/100</f>
        <v>66.666750000000008</v>
      </c>
      <c r="M544" s="23">
        <f>I544*2.5/100</f>
        <v>66.666750000000008</v>
      </c>
      <c r="N544" s="37">
        <f t="shared" ref="N544:N545" si="207">+I544+L544+M544</f>
        <v>2800.0034999999998</v>
      </c>
      <c r="O544" s="22"/>
    </row>
    <row r="545" spans="1:15" ht="17.100000000000001" customHeight="1" x14ac:dyDescent="0.25">
      <c r="A545" s="27">
        <f>IF(C545="","",COUNTA($C$4:C545))</f>
        <v>541</v>
      </c>
      <c r="B545" s="27" t="str">
        <f t="shared" si="204"/>
        <v>March</v>
      </c>
      <c r="C545" s="49">
        <v>46112</v>
      </c>
      <c r="D545" s="67" t="s">
        <v>3127</v>
      </c>
      <c r="E545" s="26" t="s">
        <v>354</v>
      </c>
      <c r="F545" s="21" t="s">
        <v>3128</v>
      </c>
      <c r="G545" s="26" t="s">
        <v>355</v>
      </c>
      <c r="H545" s="26" t="s">
        <v>3130</v>
      </c>
      <c r="I545" s="22">
        <v>420</v>
      </c>
      <c r="J545" s="50">
        <v>0</v>
      </c>
      <c r="K545" s="24">
        <v>0</v>
      </c>
      <c r="L545" s="24">
        <v>0</v>
      </c>
      <c r="M545" s="23">
        <v>0</v>
      </c>
      <c r="N545" s="37">
        <f t="shared" si="207"/>
        <v>420</v>
      </c>
      <c r="O545" s="22"/>
    </row>
    <row r="546" spans="1:15" ht="17.100000000000001" customHeight="1" x14ac:dyDescent="0.25">
      <c r="A546" s="22"/>
      <c r="B546" s="22"/>
      <c r="C546" s="22"/>
      <c r="D546" s="22"/>
      <c r="E546" s="26"/>
      <c r="F546" s="21"/>
      <c r="G546" s="26"/>
      <c r="H546" s="26"/>
      <c r="I546" s="22"/>
      <c r="J546" s="22"/>
      <c r="K546" s="22"/>
      <c r="L546" s="22"/>
      <c r="M546" s="22"/>
      <c r="N546" s="22"/>
      <c r="O546" s="22"/>
    </row>
    <row r="547" spans="1:15" ht="17.100000000000001" customHeight="1" x14ac:dyDescent="0.25">
      <c r="A547" s="22"/>
      <c r="B547" s="22"/>
      <c r="C547" s="22"/>
      <c r="D547" s="22"/>
      <c r="E547" s="26"/>
      <c r="F547" s="21"/>
      <c r="G547" s="26"/>
      <c r="H547" s="26"/>
      <c r="I547" s="22"/>
      <c r="J547" s="22"/>
      <c r="K547" s="22"/>
      <c r="L547" s="22"/>
      <c r="M547" s="22"/>
      <c r="N547" s="22"/>
      <c r="O547" s="22"/>
    </row>
    <row r="548" spans="1:15" ht="17.100000000000001" customHeight="1" x14ac:dyDescent="0.25">
      <c r="A548" s="22"/>
      <c r="B548" s="22"/>
      <c r="C548" s="22"/>
      <c r="D548" s="22"/>
      <c r="E548" s="26"/>
      <c r="F548" s="21"/>
      <c r="G548" s="26"/>
      <c r="H548" s="26"/>
      <c r="I548" s="22"/>
      <c r="J548" s="22"/>
      <c r="K548" s="22"/>
      <c r="L548" s="22"/>
      <c r="M548" s="22"/>
      <c r="N548" s="22"/>
      <c r="O548" s="22"/>
    </row>
    <row r="549" spans="1:15" ht="17.100000000000001" customHeight="1" x14ac:dyDescent="0.25">
      <c r="A549" s="28"/>
      <c r="B549" s="28"/>
      <c r="C549" s="28"/>
      <c r="D549" s="28"/>
      <c r="E549" s="40"/>
      <c r="F549" s="35"/>
      <c r="G549" s="40"/>
      <c r="H549" s="40"/>
      <c r="I549" s="28"/>
      <c r="J549" s="28"/>
      <c r="K549" s="28"/>
      <c r="L549" s="28"/>
      <c r="M549" s="28"/>
      <c r="N549" s="28"/>
      <c r="O549" s="28"/>
    </row>
  </sheetData>
  <autoFilter ref="A3:O545" xr:uid="{00000000-0009-0000-0000-000003000000}">
    <sortState xmlns:xlrd2="http://schemas.microsoft.com/office/spreadsheetml/2017/richdata2" ref="A288:O288">
      <sortCondition ref="E3:E545"/>
    </sortState>
  </autoFilter>
  <mergeCells count="1">
    <mergeCell ref="A1:O1"/>
  </mergeCells>
  <pageMargins left="0.7" right="0.7" top="0.75" bottom="0.75" header="0.3" footer="0.3"/>
  <pageSetup orientation="portrait" r:id="rId1"/>
  <ignoredErrors>
    <ignoredError sqref="B178 B192:B193 P293:XFD293 A5:A6 A8:A10 A12:A42 A44:A131 A135:A159 A163:A352 A354:A404 A406:A462 A511:A515 A465:A509 A525:A544" formulaRange="1"/>
    <ignoredError sqref="N9:N11 L15:M15 L13:M13 N13:N15 L204:N204" formula="1"/>
    <ignoredError sqref="F52 F94 F260 F358 F397 F43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46A0-91E8-4B8E-B903-EC0C83C0C699}">
  <dimension ref="A1:G591"/>
  <sheetViews>
    <sheetView showGridLines="0" zoomScaleNormal="100" workbookViewId="0">
      <pane ySplit="3" topLeftCell="A448" activePane="bottomLeft" state="frozen"/>
      <selection pane="bottomLeft" activeCell="C439" sqref="C439"/>
    </sheetView>
  </sheetViews>
  <sheetFormatPr defaultRowHeight="17.100000000000001" customHeight="1" x14ac:dyDescent="0.25"/>
  <cols>
    <col min="1" max="1" width="11" style="76" customWidth="1"/>
    <col min="2" max="2" width="15.42578125" style="68" customWidth="1"/>
    <col min="3" max="3" width="15.5703125" style="68" customWidth="1"/>
    <col min="4" max="4" width="19.42578125" style="70" customWidth="1"/>
    <col min="5" max="5" width="21.140625" style="72" customWidth="1"/>
    <col min="6" max="6" width="95.42578125" bestFit="1" customWidth="1"/>
    <col min="7" max="7" width="27.7109375" style="69" customWidth="1"/>
  </cols>
  <sheetData>
    <row r="1" spans="1:7" s="73" customFormat="1" ht="26.25" customHeight="1" x14ac:dyDescent="0.25">
      <c r="A1" s="121"/>
      <c r="B1" s="122"/>
      <c r="C1" s="122"/>
      <c r="D1" s="122"/>
      <c r="E1" s="123" t="s">
        <v>77</v>
      </c>
      <c r="F1" s="124"/>
      <c r="G1" s="125"/>
    </row>
    <row r="2" spans="1:7" ht="27" x14ac:dyDescent="0.25">
      <c r="A2" s="74"/>
      <c r="B2" s="71"/>
      <c r="C2" s="71"/>
      <c r="D2" s="71"/>
      <c r="E2" s="71"/>
      <c r="G2" s="85">
        <f>SUM(G4:G5082)</f>
        <v>897888</v>
      </c>
    </row>
    <row r="3" spans="1:7" s="84" customFormat="1" ht="18.75" x14ac:dyDescent="0.3">
      <c r="A3" s="77" t="s">
        <v>50</v>
      </c>
      <c r="B3" s="78" t="s">
        <v>51</v>
      </c>
      <c r="C3" s="79" t="s">
        <v>52</v>
      </c>
      <c r="D3" s="80" t="s">
        <v>66</v>
      </c>
      <c r="E3" s="81" t="s">
        <v>67</v>
      </c>
      <c r="F3" s="82" t="s">
        <v>37</v>
      </c>
      <c r="G3" s="83" t="s">
        <v>68</v>
      </c>
    </row>
    <row r="4" spans="1:7" ht="17.100000000000001" customHeight="1" x14ac:dyDescent="0.25">
      <c r="A4" s="75">
        <f>IF(C4="","",COUNTA($C$4:C4))</f>
        <v>1</v>
      </c>
      <c r="B4" s="68" t="str">
        <f>IF(C4="","",TEXT(C4,"mmmm"))</f>
        <v>April</v>
      </c>
      <c r="C4" s="45">
        <v>45751</v>
      </c>
      <c r="E4" s="72" t="s">
        <v>213</v>
      </c>
      <c r="F4" t="s">
        <v>214</v>
      </c>
      <c r="G4" s="69">
        <v>700</v>
      </c>
    </row>
    <row r="5" spans="1:7" ht="17.100000000000001" customHeight="1" x14ac:dyDescent="0.25">
      <c r="A5" s="75">
        <f>IF(C5="","",COUNTA($C$4:C5))</f>
        <v>2</v>
      </c>
      <c r="B5" s="68" t="str">
        <f>IF(C5="","",TEXT(C5,"mmmm"))</f>
        <v>April</v>
      </c>
      <c r="C5" s="45">
        <v>45752</v>
      </c>
      <c r="E5" s="72" t="s">
        <v>213</v>
      </c>
      <c r="F5" t="s">
        <v>393</v>
      </c>
      <c r="G5" s="69">
        <v>7080</v>
      </c>
    </row>
    <row r="6" spans="1:7" ht="17.100000000000001" customHeight="1" x14ac:dyDescent="0.25">
      <c r="A6" s="75">
        <f>IF(C6="","",COUNTA($C$4:C6))</f>
        <v>3</v>
      </c>
      <c r="B6" s="68" t="str">
        <f t="shared" ref="B6:B74" si="0">IF(C6="","",TEXT(C6,"mmmm"))</f>
        <v>April</v>
      </c>
      <c r="C6" s="45">
        <v>45754</v>
      </c>
      <c r="E6" s="72" t="s">
        <v>213</v>
      </c>
      <c r="F6" t="s">
        <v>215</v>
      </c>
      <c r="G6" s="69">
        <v>1500</v>
      </c>
    </row>
    <row r="7" spans="1:7" ht="17.100000000000001" customHeight="1" x14ac:dyDescent="0.25">
      <c r="A7" s="75">
        <f>IF(C7="","",COUNTA($C$4:C7))</f>
        <v>4</v>
      </c>
      <c r="B7" s="68" t="str">
        <f t="shared" si="0"/>
        <v>April</v>
      </c>
      <c r="C7" s="45">
        <v>45754</v>
      </c>
      <c r="E7" s="72" t="s">
        <v>213</v>
      </c>
      <c r="F7" t="s">
        <v>216</v>
      </c>
      <c r="G7" s="69">
        <v>500</v>
      </c>
    </row>
    <row r="8" spans="1:7" ht="17.100000000000001" customHeight="1" x14ac:dyDescent="0.25">
      <c r="A8" s="75">
        <f>IF(C8="","",COUNTA($C$4:C8))</f>
        <v>5</v>
      </c>
      <c r="B8" s="68" t="str">
        <f t="shared" si="0"/>
        <v>April</v>
      </c>
      <c r="C8" s="45">
        <v>45754</v>
      </c>
      <c r="E8" s="72" t="s">
        <v>294</v>
      </c>
      <c r="F8" t="s">
        <v>295</v>
      </c>
      <c r="G8" s="69">
        <v>4000</v>
      </c>
    </row>
    <row r="9" spans="1:7" ht="17.100000000000001" customHeight="1" x14ac:dyDescent="0.25">
      <c r="A9" s="75">
        <f>IF(C9="","",COUNTA($C$4:C9))</f>
        <v>6</v>
      </c>
      <c r="B9" s="68" t="str">
        <f t="shared" si="0"/>
        <v>April</v>
      </c>
      <c r="C9" s="45">
        <v>45755</v>
      </c>
      <c r="E9" s="72" t="s">
        <v>213</v>
      </c>
      <c r="F9" t="s">
        <v>217</v>
      </c>
      <c r="G9" s="69">
        <v>800</v>
      </c>
    </row>
    <row r="10" spans="1:7" ht="17.100000000000001" customHeight="1" x14ac:dyDescent="0.25">
      <c r="A10" s="75">
        <f>IF(C10="","",COUNTA($C$4:C10))</f>
        <v>7</v>
      </c>
      <c r="B10" s="68" t="str">
        <f t="shared" si="0"/>
        <v>April</v>
      </c>
      <c r="C10" s="45">
        <v>45758</v>
      </c>
      <c r="E10" s="72" t="s">
        <v>213</v>
      </c>
      <c r="F10" t="s">
        <v>218</v>
      </c>
      <c r="G10" s="69">
        <v>4000</v>
      </c>
    </row>
    <row r="11" spans="1:7" ht="17.100000000000001" customHeight="1" x14ac:dyDescent="0.25">
      <c r="A11" s="75">
        <f>IF(C11="","",COUNTA($C$4:C11))</f>
        <v>8</v>
      </c>
      <c r="B11" s="68" t="str">
        <f t="shared" si="0"/>
        <v>April</v>
      </c>
      <c r="C11" s="45">
        <v>45758</v>
      </c>
      <c r="E11" s="72" t="s">
        <v>213</v>
      </c>
      <c r="F11" t="s">
        <v>219</v>
      </c>
      <c r="G11" s="69">
        <v>1650</v>
      </c>
    </row>
    <row r="12" spans="1:7" ht="17.100000000000001" customHeight="1" x14ac:dyDescent="0.25">
      <c r="A12" s="75">
        <f>IF(C12="","",COUNTA($C$4:C12))</f>
        <v>9</v>
      </c>
      <c r="B12" s="68" t="str">
        <f t="shared" si="0"/>
        <v>April</v>
      </c>
      <c r="C12" s="45">
        <v>45758</v>
      </c>
      <c r="E12" s="72" t="s">
        <v>213</v>
      </c>
      <c r="F12" t="s">
        <v>220</v>
      </c>
      <c r="G12" s="69">
        <v>700</v>
      </c>
    </row>
    <row r="13" spans="1:7" ht="17.100000000000001" customHeight="1" x14ac:dyDescent="0.25">
      <c r="A13" s="75">
        <f>IF(C13="","",COUNTA($C$4:C13))</f>
        <v>10</v>
      </c>
      <c r="B13" s="68" t="str">
        <f t="shared" si="0"/>
        <v>April</v>
      </c>
      <c r="C13" s="45">
        <v>45759</v>
      </c>
      <c r="E13" s="72" t="s">
        <v>221</v>
      </c>
      <c r="F13" t="s">
        <v>222</v>
      </c>
      <c r="G13" s="69">
        <v>600</v>
      </c>
    </row>
    <row r="14" spans="1:7" ht="17.100000000000001" customHeight="1" x14ac:dyDescent="0.25">
      <c r="A14" s="75">
        <f>IF(C14="","",COUNTA($C$4:C14))</f>
        <v>11</v>
      </c>
      <c r="B14" s="68" t="str">
        <f t="shared" si="0"/>
        <v>April</v>
      </c>
      <c r="C14" s="45">
        <v>45759</v>
      </c>
      <c r="E14" s="72" t="s">
        <v>213</v>
      </c>
      <c r="F14" t="s">
        <v>223</v>
      </c>
      <c r="G14" s="69">
        <v>200</v>
      </c>
    </row>
    <row r="15" spans="1:7" ht="17.100000000000001" customHeight="1" x14ac:dyDescent="0.25">
      <c r="A15" s="75">
        <f>IF(C15="","",COUNTA($C$4:C15))</f>
        <v>12</v>
      </c>
      <c r="B15" s="68" t="str">
        <f t="shared" si="0"/>
        <v>April</v>
      </c>
      <c r="C15" s="45">
        <v>45759</v>
      </c>
      <c r="E15" s="72" t="s">
        <v>213</v>
      </c>
      <c r="F15" t="s">
        <v>224</v>
      </c>
      <c r="G15" s="69">
        <v>730</v>
      </c>
    </row>
    <row r="16" spans="1:7" ht="17.100000000000001" customHeight="1" x14ac:dyDescent="0.25">
      <c r="A16" s="75">
        <f>IF(C16="","",COUNTA($C$4:C16))</f>
        <v>13</v>
      </c>
      <c r="B16" s="68" t="str">
        <f t="shared" si="0"/>
        <v>April</v>
      </c>
      <c r="C16" s="45">
        <v>45762</v>
      </c>
      <c r="E16" s="72" t="s">
        <v>213</v>
      </c>
      <c r="F16" t="s">
        <v>225</v>
      </c>
      <c r="G16" s="69">
        <v>750</v>
      </c>
    </row>
    <row r="17" spans="1:7" ht="17.100000000000001" customHeight="1" x14ac:dyDescent="0.25">
      <c r="A17" s="75">
        <f>IF(C17="","",COUNTA($C$4:C17))</f>
        <v>14</v>
      </c>
      <c r="B17" s="68" t="str">
        <f t="shared" si="0"/>
        <v>April</v>
      </c>
      <c r="C17" s="45">
        <v>45762</v>
      </c>
      <c r="E17" s="72" t="s">
        <v>213</v>
      </c>
      <c r="F17" t="s">
        <v>226</v>
      </c>
      <c r="G17" s="69">
        <v>4000</v>
      </c>
    </row>
    <row r="18" spans="1:7" ht="17.100000000000001" customHeight="1" x14ac:dyDescent="0.25">
      <c r="A18" s="75">
        <f>IF(C18="","",COUNTA($C$4:C18))</f>
        <v>15</v>
      </c>
      <c r="B18" s="68" t="str">
        <f t="shared" si="0"/>
        <v>April</v>
      </c>
      <c r="C18" s="45">
        <v>45763</v>
      </c>
      <c r="E18" s="72" t="s">
        <v>213</v>
      </c>
      <c r="F18" t="s">
        <v>227</v>
      </c>
      <c r="G18" s="69">
        <v>500</v>
      </c>
    </row>
    <row r="19" spans="1:7" ht="17.100000000000001" customHeight="1" x14ac:dyDescent="0.25">
      <c r="A19" s="75">
        <f>IF(C19="","",COUNTA($C$4:C19))</f>
        <v>16</v>
      </c>
      <c r="B19" s="68" t="str">
        <f t="shared" si="0"/>
        <v>April</v>
      </c>
      <c r="C19" s="45">
        <v>45764</v>
      </c>
      <c r="E19" s="72" t="s">
        <v>213</v>
      </c>
      <c r="F19" t="s">
        <v>228</v>
      </c>
      <c r="G19" s="69">
        <v>330</v>
      </c>
    </row>
    <row r="20" spans="1:7" ht="17.100000000000001" customHeight="1" x14ac:dyDescent="0.25">
      <c r="A20" s="75">
        <f>IF(C20="","",COUNTA($C$4:C20))</f>
        <v>17</v>
      </c>
      <c r="B20" s="68" t="str">
        <f t="shared" si="0"/>
        <v>April</v>
      </c>
      <c r="C20" s="45">
        <v>45764</v>
      </c>
      <c r="E20" s="72" t="s">
        <v>213</v>
      </c>
      <c r="F20" t="s">
        <v>229</v>
      </c>
      <c r="G20" s="69">
        <v>3790</v>
      </c>
    </row>
    <row r="21" spans="1:7" ht="17.100000000000001" customHeight="1" x14ac:dyDescent="0.25">
      <c r="A21" s="75">
        <f>IF(C21="","",COUNTA($C$4:C21))</f>
        <v>18</v>
      </c>
      <c r="B21" s="68" t="str">
        <f t="shared" si="0"/>
        <v>April</v>
      </c>
      <c r="C21" s="45">
        <v>45764</v>
      </c>
      <c r="E21" s="72" t="s">
        <v>213</v>
      </c>
      <c r="F21" t="s">
        <v>230</v>
      </c>
      <c r="G21" s="69">
        <v>762</v>
      </c>
    </row>
    <row r="22" spans="1:7" ht="17.100000000000001" customHeight="1" x14ac:dyDescent="0.25">
      <c r="A22" s="75">
        <f>IF(C22="","",COUNTA($C$4:C22))</f>
        <v>19</v>
      </c>
      <c r="B22" s="68" t="str">
        <f t="shared" si="0"/>
        <v>April</v>
      </c>
      <c r="C22" s="45">
        <v>45765</v>
      </c>
      <c r="E22" s="72" t="s">
        <v>221</v>
      </c>
      <c r="F22" t="s">
        <v>231</v>
      </c>
      <c r="G22" s="69">
        <v>990</v>
      </c>
    </row>
    <row r="23" spans="1:7" ht="17.100000000000001" customHeight="1" x14ac:dyDescent="0.25">
      <c r="A23" s="75">
        <f>IF(C23="","",COUNTA($C$4:C23))</f>
        <v>20</v>
      </c>
      <c r="B23" s="68" t="str">
        <f t="shared" si="0"/>
        <v>April</v>
      </c>
      <c r="C23" s="45">
        <v>45765</v>
      </c>
      <c r="E23" s="72" t="s">
        <v>213</v>
      </c>
      <c r="F23" t="s">
        <v>232</v>
      </c>
      <c r="G23" s="69">
        <v>280</v>
      </c>
    </row>
    <row r="24" spans="1:7" ht="17.100000000000001" customHeight="1" x14ac:dyDescent="0.25">
      <c r="A24" s="75">
        <f>IF(C24="","",COUNTA($C$4:C24))</f>
        <v>21</v>
      </c>
      <c r="B24" s="68" t="str">
        <f t="shared" si="0"/>
        <v>April</v>
      </c>
      <c r="C24" s="45">
        <v>45765</v>
      </c>
      <c r="E24" s="72" t="s">
        <v>213</v>
      </c>
      <c r="F24" t="s">
        <v>233</v>
      </c>
      <c r="G24" s="69">
        <v>4144</v>
      </c>
    </row>
    <row r="25" spans="1:7" ht="17.100000000000001" customHeight="1" x14ac:dyDescent="0.25">
      <c r="A25" s="75">
        <f>IF(C25="","",COUNTA($C$4:C25))</f>
        <v>22</v>
      </c>
      <c r="B25" s="68" t="str">
        <f t="shared" si="0"/>
        <v>April</v>
      </c>
      <c r="C25" s="45">
        <v>45765</v>
      </c>
      <c r="E25" s="72" t="s">
        <v>213</v>
      </c>
      <c r="F25" t="s">
        <v>234</v>
      </c>
      <c r="G25" s="69">
        <v>700</v>
      </c>
    </row>
    <row r="26" spans="1:7" ht="17.100000000000001" customHeight="1" x14ac:dyDescent="0.25">
      <c r="A26" s="75">
        <f>IF(C26="","",COUNTA($C$4:C26))</f>
        <v>23</v>
      </c>
      <c r="B26" s="68" t="str">
        <f t="shared" si="0"/>
        <v>April</v>
      </c>
      <c r="C26" s="97">
        <v>45766</v>
      </c>
      <c r="E26" s="72" t="s">
        <v>213</v>
      </c>
      <c r="F26" t="s">
        <v>235</v>
      </c>
      <c r="G26" s="69">
        <v>6738</v>
      </c>
    </row>
    <row r="27" spans="1:7" ht="17.100000000000001" customHeight="1" x14ac:dyDescent="0.25">
      <c r="A27" s="75">
        <f>IF(C27="","",COUNTA($C$4:C27))</f>
        <v>24</v>
      </c>
      <c r="B27" s="68" t="str">
        <f t="shared" si="0"/>
        <v>April</v>
      </c>
      <c r="C27" s="97">
        <v>45767</v>
      </c>
      <c r="E27" s="72" t="s">
        <v>213</v>
      </c>
      <c r="F27" t="s">
        <v>394</v>
      </c>
      <c r="G27" s="69">
        <v>550</v>
      </c>
    </row>
    <row r="28" spans="1:7" ht="17.100000000000001" customHeight="1" x14ac:dyDescent="0.25">
      <c r="A28" s="75">
        <f>IF(C28="","",COUNTA($C$4:C28))</f>
        <v>25</v>
      </c>
      <c r="B28" s="68" t="str">
        <f t="shared" si="0"/>
        <v>April</v>
      </c>
      <c r="C28" s="45">
        <v>45771</v>
      </c>
      <c r="E28" s="72" t="s">
        <v>296</v>
      </c>
      <c r="F28" t="s">
        <v>297</v>
      </c>
      <c r="G28" s="69">
        <v>5372</v>
      </c>
    </row>
    <row r="29" spans="1:7" ht="17.100000000000001" customHeight="1" x14ac:dyDescent="0.25">
      <c r="A29" s="75">
        <f>IF(C29="","",COUNTA($C$4:C29))</f>
        <v>26</v>
      </c>
      <c r="B29" s="68" t="str">
        <f t="shared" si="0"/>
        <v>April</v>
      </c>
      <c r="C29" s="45">
        <v>45771</v>
      </c>
      <c r="E29" s="72" t="s">
        <v>296</v>
      </c>
      <c r="F29" t="s">
        <v>298</v>
      </c>
      <c r="G29" s="69">
        <v>3377</v>
      </c>
    </row>
    <row r="30" spans="1:7" ht="17.100000000000001" customHeight="1" x14ac:dyDescent="0.25">
      <c r="A30" s="75">
        <f>IF(C30="","",COUNTA($C$4:C30))</f>
        <v>27</v>
      </c>
      <c r="B30" s="68" t="str">
        <f t="shared" si="0"/>
        <v>April</v>
      </c>
      <c r="C30" s="45">
        <v>45771</v>
      </c>
      <c r="E30" s="72" t="s">
        <v>296</v>
      </c>
      <c r="F30" t="s">
        <v>299</v>
      </c>
      <c r="G30" s="69">
        <v>885</v>
      </c>
    </row>
    <row r="31" spans="1:7" ht="17.100000000000001" customHeight="1" x14ac:dyDescent="0.25">
      <c r="A31" s="75">
        <f>IF(C31="","",COUNTA($C$4:C31))</f>
        <v>28</v>
      </c>
      <c r="B31" s="68" t="str">
        <f t="shared" si="0"/>
        <v>April</v>
      </c>
      <c r="C31" s="45">
        <v>45771</v>
      </c>
      <c r="E31" s="72" t="s">
        <v>296</v>
      </c>
      <c r="F31" t="s">
        <v>300</v>
      </c>
      <c r="G31" s="69">
        <v>4728</v>
      </c>
    </row>
    <row r="32" spans="1:7" ht="17.100000000000001" customHeight="1" x14ac:dyDescent="0.25">
      <c r="A32" s="75">
        <f>IF(C32="","",COUNTA($C$4:C32))</f>
        <v>29</v>
      </c>
      <c r="B32" s="68" t="str">
        <f t="shared" si="0"/>
        <v>April</v>
      </c>
      <c r="C32" s="45">
        <v>45771</v>
      </c>
      <c r="E32" s="72" t="s">
        <v>296</v>
      </c>
      <c r="F32" t="s">
        <v>301</v>
      </c>
      <c r="G32" s="69">
        <v>7312</v>
      </c>
    </row>
    <row r="33" spans="1:7" ht="17.100000000000001" customHeight="1" x14ac:dyDescent="0.25">
      <c r="A33" s="75">
        <f>IF(C33="","",COUNTA($C$4:C33))</f>
        <v>30</v>
      </c>
      <c r="B33" s="68" t="str">
        <f t="shared" si="0"/>
        <v>April</v>
      </c>
      <c r="C33" s="45">
        <v>45771</v>
      </c>
      <c r="E33" s="72" t="s">
        <v>296</v>
      </c>
      <c r="F33" t="s">
        <v>301</v>
      </c>
      <c r="G33" s="69">
        <v>8408</v>
      </c>
    </row>
    <row r="34" spans="1:7" ht="17.100000000000001" customHeight="1" x14ac:dyDescent="0.25">
      <c r="A34" s="75">
        <f>IF(C34="","",COUNTA($C$4:C34))</f>
        <v>31</v>
      </c>
      <c r="B34" s="68" t="str">
        <f t="shared" si="0"/>
        <v>April</v>
      </c>
      <c r="C34" s="45">
        <v>45771</v>
      </c>
      <c r="E34" s="72" t="s">
        <v>213</v>
      </c>
      <c r="F34" t="s">
        <v>302</v>
      </c>
      <c r="G34" s="69">
        <v>980</v>
      </c>
    </row>
    <row r="35" spans="1:7" ht="17.100000000000001" customHeight="1" x14ac:dyDescent="0.25">
      <c r="A35" s="75">
        <f>IF(C35="","",COUNTA($C$4:C35))</f>
        <v>32</v>
      </c>
      <c r="B35" s="68" t="str">
        <f t="shared" si="0"/>
        <v>April</v>
      </c>
      <c r="C35" s="45">
        <v>45772</v>
      </c>
      <c r="E35" s="72" t="s">
        <v>213</v>
      </c>
      <c r="F35" t="s">
        <v>303</v>
      </c>
      <c r="G35" s="69">
        <v>700</v>
      </c>
    </row>
    <row r="36" spans="1:7" ht="17.100000000000001" customHeight="1" x14ac:dyDescent="0.25">
      <c r="A36" s="75">
        <f>IF(C36="","",COUNTA($C$4:C36))</f>
        <v>33</v>
      </c>
      <c r="B36" s="68" t="str">
        <f t="shared" si="0"/>
        <v>April</v>
      </c>
      <c r="C36" s="97">
        <v>45772</v>
      </c>
      <c r="E36" s="72" t="s">
        <v>213</v>
      </c>
      <c r="F36" t="s">
        <v>304</v>
      </c>
      <c r="G36" s="69">
        <v>280</v>
      </c>
    </row>
    <row r="37" spans="1:7" ht="17.100000000000001" customHeight="1" x14ac:dyDescent="0.25">
      <c r="A37" s="75">
        <f>IF(C37="","",COUNTA($C$4:C37))</f>
        <v>34</v>
      </c>
      <c r="B37" s="68" t="str">
        <f t="shared" si="0"/>
        <v>April</v>
      </c>
      <c r="C37" s="45">
        <v>45772</v>
      </c>
      <c r="E37" s="72" t="s">
        <v>221</v>
      </c>
      <c r="F37" t="s">
        <v>395</v>
      </c>
      <c r="G37" s="69">
        <v>8340</v>
      </c>
    </row>
    <row r="38" spans="1:7" ht="17.100000000000001" customHeight="1" x14ac:dyDescent="0.25">
      <c r="A38" s="75">
        <f>IF(C38="","",COUNTA($C$4:C38))</f>
        <v>35</v>
      </c>
      <c r="B38" s="68" t="str">
        <f t="shared" si="0"/>
        <v>April</v>
      </c>
      <c r="C38" s="45">
        <v>45773</v>
      </c>
      <c r="E38" s="72" t="s">
        <v>213</v>
      </c>
      <c r="F38" t="s">
        <v>396</v>
      </c>
      <c r="G38" s="69">
        <v>810</v>
      </c>
    </row>
    <row r="39" spans="1:7" ht="17.100000000000001" customHeight="1" x14ac:dyDescent="0.25">
      <c r="A39" s="75">
        <f>IF(C39="","",COUNTA($C$4:C39))</f>
        <v>36</v>
      </c>
      <c r="B39" s="68" t="str">
        <f t="shared" si="0"/>
        <v>April</v>
      </c>
      <c r="C39" s="45">
        <v>45775</v>
      </c>
      <c r="E39" s="72" t="s">
        <v>213</v>
      </c>
      <c r="F39" t="s">
        <v>397</v>
      </c>
      <c r="G39" s="69">
        <v>1200</v>
      </c>
    </row>
    <row r="40" spans="1:7" ht="17.100000000000001" customHeight="1" x14ac:dyDescent="0.25">
      <c r="A40" s="75">
        <f>IF(C40="","",COUNTA($C$4:C40))</f>
        <v>37</v>
      </c>
      <c r="B40" s="68" t="str">
        <f t="shared" si="0"/>
        <v>May</v>
      </c>
      <c r="C40" s="45">
        <v>45779</v>
      </c>
      <c r="E40" s="72" t="s">
        <v>296</v>
      </c>
      <c r="F40" t="s">
        <v>398</v>
      </c>
      <c r="G40" s="69">
        <v>4500</v>
      </c>
    </row>
    <row r="41" spans="1:7" ht="17.100000000000001" customHeight="1" x14ac:dyDescent="0.25">
      <c r="A41" s="75">
        <f>IF(C41="","",COUNTA($C$4:C41))</f>
        <v>38</v>
      </c>
      <c r="B41" s="68" t="str">
        <f t="shared" si="0"/>
        <v>May</v>
      </c>
      <c r="C41" s="45">
        <v>45779</v>
      </c>
      <c r="E41" s="72" t="s">
        <v>213</v>
      </c>
      <c r="F41" t="s">
        <v>399</v>
      </c>
      <c r="G41" s="69">
        <v>700</v>
      </c>
    </row>
    <row r="42" spans="1:7" ht="17.100000000000001" customHeight="1" x14ac:dyDescent="0.25">
      <c r="A42" s="75">
        <f>IF(C42="","",COUNTA($C$4:C42))</f>
        <v>39</v>
      </c>
      <c r="B42" s="68" t="str">
        <f t="shared" si="0"/>
        <v>May</v>
      </c>
      <c r="C42" s="45">
        <v>45782</v>
      </c>
      <c r="E42" s="72" t="s">
        <v>221</v>
      </c>
      <c r="F42" t="s">
        <v>531</v>
      </c>
      <c r="G42" s="69">
        <v>7200</v>
      </c>
    </row>
    <row r="43" spans="1:7" ht="17.100000000000001" customHeight="1" x14ac:dyDescent="0.25">
      <c r="A43" s="75">
        <f>IF(C43="","",COUNTA($C$4:C43))</f>
        <v>40</v>
      </c>
      <c r="B43" s="68" t="str">
        <f t="shared" si="0"/>
        <v>May</v>
      </c>
      <c r="C43" s="45">
        <v>45783</v>
      </c>
      <c r="E43" s="72" t="s">
        <v>213</v>
      </c>
      <c r="F43" t="s">
        <v>400</v>
      </c>
      <c r="G43" s="69">
        <v>1650</v>
      </c>
    </row>
    <row r="44" spans="1:7" ht="17.100000000000001" customHeight="1" x14ac:dyDescent="0.25">
      <c r="A44" s="75">
        <f>IF(C44="","",COUNTA($C$4:C44))</f>
        <v>41</v>
      </c>
      <c r="B44" s="68" t="str">
        <f t="shared" si="0"/>
        <v>May</v>
      </c>
      <c r="C44" s="97">
        <v>45783</v>
      </c>
      <c r="E44" s="72" t="s">
        <v>221</v>
      </c>
      <c r="F44" t="s">
        <v>401</v>
      </c>
      <c r="G44" s="69">
        <v>500</v>
      </c>
    </row>
    <row r="45" spans="1:7" ht="17.100000000000001" customHeight="1" x14ac:dyDescent="0.25">
      <c r="A45" s="75">
        <f>IF(C45="","",COUNTA($C$4:C45))</f>
        <v>42</v>
      </c>
      <c r="B45" s="68" t="str">
        <f t="shared" si="0"/>
        <v>May</v>
      </c>
      <c r="C45" s="45">
        <v>45783</v>
      </c>
      <c r="E45" s="72" t="s">
        <v>213</v>
      </c>
      <c r="F45" t="s">
        <v>532</v>
      </c>
      <c r="G45" s="69">
        <v>100</v>
      </c>
    </row>
    <row r="46" spans="1:7" ht="17.100000000000001" customHeight="1" x14ac:dyDescent="0.25">
      <c r="A46" s="75">
        <f>IF(C46="","",COUNTA($C$4:C46))</f>
        <v>43</v>
      </c>
      <c r="B46" s="68" t="str">
        <f t="shared" si="0"/>
        <v>May</v>
      </c>
      <c r="C46" s="45">
        <v>45783</v>
      </c>
      <c r="E46" s="72" t="s">
        <v>213</v>
      </c>
      <c r="F46" t="s">
        <v>533</v>
      </c>
      <c r="G46" s="69">
        <v>2000</v>
      </c>
    </row>
    <row r="47" spans="1:7" ht="17.100000000000001" customHeight="1" x14ac:dyDescent="0.25">
      <c r="A47" s="75">
        <f>IF(C47="","",COUNTA($C$4:C47))</f>
        <v>44</v>
      </c>
      <c r="B47" s="68" t="str">
        <f t="shared" si="0"/>
        <v>May</v>
      </c>
      <c r="C47" s="45">
        <v>45784</v>
      </c>
      <c r="E47" s="72" t="s">
        <v>221</v>
      </c>
      <c r="F47" t="s">
        <v>534</v>
      </c>
      <c r="G47" s="69">
        <v>6800</v>
      </c>
    </row>
    <row r="48" spans="1:7" ht="17.100000000000001" customHeight="1" x14ac:dyDescent="0.25">
      <c r="A48" s="75">
        <f>IF(C48="","",COUNTA($C$4:C48))</f>
        <v>45</v>
      </c>
      <c r="B48" s="68" t="str">
        <f t="shared" si="0"/>
        <v>May</v>
      </c>
      <c r="C48" s="45">
        <v>45785</v>
      </c>
      <c r="E48" s="72" t="s">
        <v>296</v>
      </c>
      <c r="F48" t="s">
        <v>301</v>
      </c>
      <c r="G48" s="69">
        <v>4546</v>
      </c>
    </row>
    <row r="49" spans="1:7" ht="17.100000000000001" customHeight="1" x14ac:dyDescent="0.25">
      <c r="A49" s="75">
        <f>IF(C49="","",COUNTA($C$4:C49))</f>
        <v>46</v>
      </c>
      <c r="B49" s="68" t="str">
        <f t="shared" si="0"/>
        <v>May</v>
      </c>
      <c r="C49" s="45">
        <v>45785</v>
      </c>
      <c r="E49" s="72" t="s">
        <v>213</v>
      </c>
      <c r="F49" t="s">
        <v>535</v>
      </c>
      <c r="G49" s="69">
        <v>250</v>
      </c>
    </row>
    <row r="50" spans="1:7" ht="17.100000000000001" customHeight="1" x14ac:dyDescent="0.25">
      <c r="A50" s="75">
        <f>IF(C50="","",COUNTA($C$4:C50))</f>
        <v>47</v>
      </c>
      <c r="B50" s="68" t="str">
        <f t="shared" si="0"/>
        <v>May</v>
      </c>
      <c r="C50" s="45">
        <v>45786</v>
      </c>
      <c r="E50" s="72" t="s">
        <v>213</v>
      </c>
      <c r="F50" t="s">
        <v>536</v>
      </c>
      <c r="G50" s="69">
        <v>200</v>
      </c>
    </row>
    <row r="51" spans="1:7" ht="17.100000000000001" customHeight="1" x14ac:dyDescent="0.25">
      <c r="A51" s="75">
        <f>IF(C51="","",COUNTA($C$4:C51))</f>
        <v>48</v>
      </c>
      <c r="B51" s="68" t="str">
        <f t="shared" si="0"/>
        <v>May</v>
      </c>
      <c r="C51" s="45">
        <v>45786</v>
      </c>
      <c r="E51" s="72" t="s">
        <v>213</v>
      </c>
      <c r="F51" t="s">
        <v>537</v>
      </c>
      <c r="G51" s="69">
        <v>700</v>
      </c>
    </row>
    <row r="52" spans="1:7" ht="17.100000000000001" customHeight="1" x14ac:dyDescent="0.25">
      <c r="A52" s="75">
        <f>IF(C52="","",COUNTA($C$4:C52))</f>
        <v>49</v>
      </c>
      <c r="B52" s="68" t="str">
        <f t="shared" si="0"/>
        <v>May</v>
      </c>
      <c r="C52" s="45">
        <v>45786</v>
      </c>
      <c r="E52" s="72" t="s">
        <v>213</v>
      </c>
      <c r="F52" t="s">
        <v>538</v>
      </c>
      <c r="G52" s="69">
        <v>4352</v>
      </c>
    </row>
    <row r="53" spans="1:7" ht="17.100000000000001" customHeight="1" x14ac:dyDescent="0.25">
      <c r="A53" s="75">
        <f>IF(C53="","",COUNTA($C$4:C53))</f>
        <v>50</v>
      </c>
      <c r="B53" s="68" t="str">
        <f t="shared" si="0"/>
        <v>May</v>
      </c>
      <c r="C53" s="45">
        <v>45787</v>
      </c>
      <c r="E53" s="72" t="s">
        <v>213</v>
      </c>
      <c r="F53" t="s">
        <v>539</v>
      </c>
      <c r="G53" s="69">
        <v>550</v>
      </c>
    </row>
    <row r="54" spans="1:7" ht="17.100000000000001" customHeight="1" x14ac:dyDescent="0.25">
      <c r="A54" s="75">
        <f>IF(C54="","",COUNTA($C$4:C54))</f>
        <v>51</v>
      </c>
      <c r="B54" s="68" t="str">
        <f t="shared" si="0"/>
        <v>May</v>
      </c>
      <c r="C54" s="45">
        <v>45789</v>
      </c>
      <c r="E54" s="72" t="s">
        <v>213</v>
      </c>
      <c r="F54" t="s">
        <v>540</v>
      </c>
      <c r="G54" s="69">
        <v>500</v>
      </c>
    </row>
    <row r="55" spans="1:7" ht="17.100000000000001" customHeight="1" x14ac:dyDescent="0.25">
      <c r="A55" s="75">
        <f>IF(C55="","",COUNTA($C$4:C55))</f>
        <v>52</v>
      </c>
      <c r="B55" s="68" t="str">
        <f t="shared" si="0"/>
        <v>May</v>
      </c>
      <c r="C55" s="97">
        <v>45789</v>
      </c>
      <c r="E55" s="72" t="s">
        <v>213</v>
      </c>
      <c r="F55" t="s">
        <v>541</v>
      </c>
      <c r="G55" s="69">
        <v>4000</v>
      </c>
    </row>
    <row r="56" spans="1:7" ht="17.100000000000001" customHeight="1" x14ac:dyDescent="0.25">
      <c r="A56" s="75">
        <f>IF(C56="","",COUNTA($C$4:C56))</f>
        <v>53</v>
      </c>
      <c r="B56" s="68" t="str">
        <f t="shared" si="0"/>
        <v>May</v>
      </c>
      <c r="C56" s="45">
        <v>45790</v>
      </c>
      <c r="E56" s="72" t="s">
        <v>213</v>
      </c>
      <c r="F56" t="s">
        <v>584</v>
      </c>
      <c r="G56" s="69">
        <v>8968</v>
      </c>
    </row>
    <row r="57" spans="1:7" ht="17.100000000000001" customHeight="1" x14ac:dyDescent="0.25">
      <c r="A57" s="75">
        <f>IF(C57="","",COUNTA($C$4:C57))</f>
        <v>54</v>
      </c>
      <c r="B57" s="68" t="str">
        <f t="shared" si="0"/>
        <v>May</v>
      </c>
      <c r="C57" s="45">
        <v>45791</v>
      </c>
      <c r="E57" s="72" t="s">
        <v>213</v>
      </c>
      <c r="F57" t="s">
        <v>585</v>
      </c>
      <c r="G57" s="69">
        <v>570</v>
      </c>
    </row>
    <row r="58" spans="1:7" ht="17.100000000000001" customHeight="1" x14ac:dyDescent="0.25">
      <c r="A58" s="75">
        <f>IF(C58="","",COUNTA($C$4:C58))</f>
        <v>55</v>
      </c>
      <c r="B58" s="68" t="str">
        <f t="shared" si="0"/>
        <v>May</v>
      </c>
      <c r="C58" s="45">
        <v>45791</v>
      </c>
      <c r="E58" s="72" t="s">
        <v>213</v>
      </c>
      <c r="F58" t="s">
        <v>586</v>
      </c>
      <c r="G58" s="69">
        <v>850</v>
      </c>
    </row>
    <row r="59" spans="1:7" ht="17.100000000000001" customHeight="1" x14ac:dyDescent="0.25">
      <c r="A59" s="75">
        <f>IF(C59="","",COUNTA($C$4:C59))</f>
        <v>56</v>
      </c>
      <c r="B59" s="68" t="str">
        <f t="shared" si="0"/>
        <v>May</v>
      </c>
      <c r="C59" s="45">
        <v>45792</v>
      </c>
      <c r="E59" s="72" t="s">
        <v>213</v>
      </c>
      <c r="F59" t="s">
        <v>587</v>
      </c>
      <c r="G59" s="69">
        <v>720</v>
      </c>
    </row>
    <row r="60" spans="1:7" ht="17.100000000000001" customHeight="1" x14ac:dyDescent="0.25">
      <c r="A60" s="75">
        <f>IF(C60="","",COUNTA($C$4:C60))</f>
        <v>57</v>
      </c>
      <c r="B60" s="68" t="str">
        <f t="shared" si="0"/>
        <v>May</v>
      </c>
      <c r="C60" s="45">
        <v>45792</v>
      </c>
      <c r="E60" s="72" t="s">
        <v>213</v>
      </c>
      <c r="F60" t="s">
        <v>588</v>
      </c>
      <c r="G60" s="69">
        <v>2000</v>
      </c>
    </row>
    <row r="61" spans="1:7" ht="17.100000000000001" customHeight="1" x14ac:dyDescent="0.25">
      <c r="A61" s="75">
        <f>IF(C61="","",COUNTA($C$4:C61))</f>
        <v>58</v>
      </c>
      <c r="B61" s="68" t="str">
        <f t="shared" si="0"/>
        <v>May</v>
      </c>
      <c r="C61" s="45">
        <v>45793</v>
      </c>
      <c r="E61" s="72" t="s">
        <v>213</v>
      </c>
      <c r="F61" t="s">
        <v>589</v>
      </c>
      <c r="G61" s="69">
        <v>700</v>
      </c>
    </row>
    <row r="62" spans="1:7" ht="17.100000000000001" customHeight="1" x14ac:dyDescent="0.25">
      <c r="A62" s="75">
        <f>IF(C62="","",COUNTA($C$4:C62))</f>
        <v>59</v>
      </c>
      <c r="B62" s="68" t="str">
        <f t="shared" si="0"/>
        <v>May</v>
      </c>
      <c r="C62" s="45">
        <v>45793</v>
      </c>
      <c r="E62" s="72" t="s">
        <v>213</v>
      </c>
      <c r="F62" t="s">
        <v>590</v>
      </c>
      <c r="G62" s="69">
        <v>1310</v>
      </c>
    </row>
    <row r="63" spans="1:7" ht="17.100000000000001" customHeight="1" x14ac:dyDescent="0.25">
      <c r="A63" s="75">
        <f>IF(C63="","",COUNTA($C$4:C63))</f>
        <v>60</v>
      </c>
      <c r="B63" s="68" t="str">
        <f t="shared" si="0"/>
        <v>May</v>
      </c>
      <c r="C63" s="45">
        <v>45793</v>
      </c>
      <c r="E63" s="72" t="s">
        <v>213</v>
      </c>
      <c r="F63" t="s">
        <v>593</v>
      </c>
      <c r="G63" s="69">
        <v>450</v>
      </c>
    </row>
    <row r="64" spans="1:7" ht="17.100000000000001" customHeight="1" x14ac:dyDescent="0.25">
      <c r="A64" s="75">
        <f>IF(C64="","",COUNTA($C$4:C64))</f>
        <v>61</v>
      </c>
      <c r="B64" s="68" t="str">
        <f t="shared" si="0"/>
        <v>May</v>
      </c>
      <c r="C64" s="45">
        <v>45793</v>
      </c>
      <c r="E64" s="72" t="s">
        <v>213</v>
      </c>
      <c r="F64" t="s">
        <v>591</v>
      </c>
      <c r="G64" s="69">
        <v>1629</v>
      </c>
    </row>
    <row r="65" spans="1:7" ht="17.100000000000001" customHeight="1" x14ac:dyDescent="0.25">
      <c r="A65" s="75">
        <f>IF(C65="","",COUNTA($C$4:C65))</f>
        <v>62</v>
      </c>
      <c r="B65" s="68" t="str">
        <f t="shared" si="0"/>
        <v>May</v>
      </c>
      <c r="C65" s="45">
        <v>45798</v>
      </c>
      <c r="E65" s="72" t="s">
        <v>213</v>
      </c>
      <c r="F65" t="s">
        <v>592</v>
      </c>
      <c r="G65" s="69">
        <v>150</v>
      </c>
    </row>
    <row r="66" spans="1:7" ht="17.100000000000001" customHeight="1" x14ac:dyDescent="0.25">
      <c r="A66" s="75">
        <f>IF(C66="","",COUNTA($C$4:C66))</f>
        <v>63</v>
      </c>
      <c r="B66" s="68" t="str">
        <f t="shared" si="0"/>
        <v>May</v>
      </c>
      <c r="C66" s="45">
        <v>45798</v>
      </c>
      <c r="E66" s="72" t="s">
        <v>296</v>
      </c>
      <c r="F66" t="s">
        <v>1040</v>
      </c>
      <c r="G66" s="69">
        <v>1623</v>
      </c>
    </row>
    <row r="67" spans="1:7" ht="17.100000000000001" customHeight="1" x14ac:dyDescent="0.25">
      <c r="A67" s="75">
        <f>IF(C67="","",COUNTA($C$4:C67))</f>
        <v>64</v>
      </c>
      <c r="B67" s="68" t="str">
        <f t="shared" si="0"/>
        <v>May</v>
      </c>
      <c r="C67" s="45">
        <v>45799</v>
      </c>
      <c r="E67" s="72" t="s">
        <v>213</v>
      </c>
      <c r="F67" t="s">
        <v>594</v>
      </c>
      <c r="G67" s="69">
        <v>1820</v>
      </c>
    </row>
    <row r="68" spans="1:7" ht="17.100000000000001" customHeight="1" x14ac:dyDescent="0.25">
      <c r="A68" s="75">
        <f>IF(C68="","",COUNTA($C$4:C68))</f>
        <v>65</v>
      </c>
      <c r="B68" s="68" t="str">
        <f t="shared" si="0"/>
        <v>May</v>
      </c>
      <c r="C68" s="45">
        <v>45799</v>
      </c>
      <c r="E68" s="72" t="s">
        <v>213</v>
      </c>
      <c r="F68" t="s">
        <v>595</v>
      </c>
      <c r="G68" s="69">
        <v>1380</v>
      </c>
    </row>
    <row r="69" spans="1:7" ht="17.100000000000001" customHeight="1" x14ac:dyDescent="0.25">
      <c r="A69" s="75">
        <f>IF(C69="","",COUNTA($C$4:C69))</f>
        <v>66</v>
      </c>
      <c r="B69" s="68" t="str">
        <f t="shared" si="0"/>
        <v>May</v>
      </c>
      <c r="C69" s="45">
        <v>45800</v>
      </c>
      <c r="E69" s="72" t="s">
        <v>213</v>
      </c>
      <c r="F69" t="s">
        <v>649</v>
      </c>
      <c r="G69" s="69">
        <v>700</v>
      </c>
    </row>
    <row r="70" spans="1:7" ht="17.100000000000001" customHeight="1" x14ac:dyDescent="0.25">
      <c r="A70" s="75">
        <f>IF(C70="","",COUNTA($C$4:C70))</f>
        <v>67</v>
      </c>
      <c r="B70" s="68" t="str">
        <f t="shared" si="0"/>
        <v>May</v>
      </c>
      <c r="C70" s="45">
        <v>45801</v>
      </c>
      <c r="E70" s="72" t="s">
        <v>213</v>
      </c>
      <c r="F70" t="s">
        <v>593</v>
      </c>
      <c r="G70" s="69">
        <v>180</v>
      </c>
    </row>
    <row r="71" spans="1:7" ht="17.100000000000001" customHeight="1" x14ac:dyDescent="0.25">
      <c r="A71" s="75">
        <f>IF(C71="","",COUNTA($C$4:C71))</f>
        <v>68</v>
      </c>
      <c r="B71" s="68" t="str">
        <f t="shared" si="0"/>
        <v>May</v>
      </c>
      <c r="C71" s="45">
        <v>45807</v>
      </c>
      <c r="E71" s="72" t="s">
        <v>213</v>
      </c>
      <c r="F71" t="s">
        <v>650</v>
      </c>
      <c r="G71" s="69">
        <v>700</v>
      </c>
    </row>
    <row r="72" spans="1:7" ht="17.100000000000001" customHeight="1" x14ac:dyDescent="0.25">
      <c r="A72" s="75">
        <f>IF(C72="","",COUNTA($C$4:C72))</f>
        <v>69</v>
      </c>
      <c r="B72" s="68" t="str">
        <f t="shared" si="0"/>
        <v>May</v>
      </c>
      <c r="C72" s="45">
        <v>45807</v>
      </c>
      <c r="E72" s="72" t="s">
        <v>213</v>
      </c>
      <c r="F72" t="s">
        <v>651</v>
      </c>
      <c r="G72" s="69">
        <v>200</v>
      </c>
    </row>
    <row r="73" spans="1:7" ht="17.100000000000001" customHeight="1" x14ac:dyDescent="0.25">
      <c r="A73" s="75">
        <f>IF(C73="","",COUNTA($C$4:C73))</f>
        <v>70</v>
      </c>
      <c r="B73" s="68" t="str">
        <f t="shared" si="0"/>
        <v>May</v>
      </c>
      <c r="C73" s="45">
        <v>45808</v>
      </c>
      <c r="E73" s="72" t="s">
        <v>213</v>
      </c>
      <c r="F73" t="s">
        <v>652</v>
      </c>
      <c r="G73" s="69">
        <v>590</v>
      </c>
    </row>
    <row r="74" spans="1:7" ht="17.100000000000001" customHeight="1" x14ac:dyDescent="0.25">
      <c r="A74" s="75">
        <f>IF(C74="","",COUNTA($C$4:C74))</f>
        <v>71</v>
      </c>
      <c r="B74" s="68" t="str">
        <f t="shared" si="0"/>
        <v>June</v>
      </c>
      <c r="C74" s="45">
        <v>45810</v>
      </c>
      <c r="E74" s="72" t="s">
        <v>213</v>
      </c>
      <c r="F74" t="s">
        <v>653</v>
      </c>
      <c r="G74" s="69">
        <v>500</v>
      </c>
    </row>
    <row r="75" spans="1:7" ht="17.100000000000001" customHeight="1" x14ac:dyDescent="0.25">
      <c r="A75" s="75">
        <f>IF(C75="","",COUNTA($C$4:C75))</f>
        <v>72</v>
      </c>
      <c r="B75" s="68" t="str">
        <f t="shared" ref="B75:B157" si="1">IF(C75="","",TEXT(C75,"mmmm"))</f>
        <v>June</v>
      </c>
      <c r="C75" s="45">
        <v>45809</v>
      </c>
      <c r="E75" s="72" t="s">
        <v>296</v>
      </c>
      <c r="F75" t="s">
        <v>301</v>
      </c>
      <c r="G75" s="69">
        <v>4345</v>
      </c>
    </row>
    <row r="76" spans="1:7" ht="17.100000000000001" customHeight="1" x14ac:dyDescent="0.25">
      <c r="A76" s="75">
        <f>IF(C76="","",COUNTA($C$4:C76))</f>
        <v>73</v>
      </c>
      <c r="B76" s="68" t="str">
        <f t="shared" si="1"/>
        <v>June</v>
      </c>
      <c r="C76" s="45">
        <v>45813</v>
      </c>
      <c r="E76" s="72" t="s">
        <v>213</v>
      </c>
      <c r="F76" t="s">
        <v>785</v>
      </c>
      <c r="G76" s="69">
        <v>3820</v>
      </c>
    </row>
    <row r="77" spans="1:7" ht="17.100000000000001" customHeight="1" x14ac:dyDescent="0.25">
      <c r="A77" s="75">
        <f>IF(C77="","",COUNTA($C$4:C77))</f>
        <v>74</v>
      </c>
      <c r="B77" s="68" t="str">
        <f t="shared" si="1"/>
        <v>June</v>
      </c>
      <c r="C77" s="45">
        <v>45814</v>
      </c>
      <c r="E77" s="72" t="s">
        <v>213</v>
      </c>
      <c r="F77" t="s">
        <v>786</v>
      </c>
      <c r="G77" s="69">
        <v>4600</v>
      </c>
    </row>
    <row r="78" spans="1:7" ht="17.100000000000001" customHeight="1" x14ac:dyDescent="0.25">
      <c r="A78" s="75">
        <f>IF(C78="","",COUNTA($C$4:C78))</f>
        <v>75</v>
      </c>
      <c r="B78" s="68" t="str">
        <f t="shared" si="1"/>
        <v>June</v>
      </c>
      <c r="C78" s="45">
        <v>45814</v>
      </c>
      <c r="E78" s="72" t="s">
        <v>213</v>
      </c>
      <c r="F78" t="s">
        <v>787</v>
      </c>
      <c r="G78" s="69">
        <v>6350</v>
      </c>
    </row>
    <row r="79" spans="1:7" ht="17.100000000000001" customHeight="1" x14ac:dyDescent="0.25">
      <c r="A79" s="75">
        <f>IF(C79="","",COUNTA($C$4:C79))</f>
        <v>76</v>
      </c>
      <c r="B79" s="68" t="str">
        <f t="shared" si="1"/>
        <v>June</v>
      </c>
      <c r="C79" s="45">
        <v>45814</v>
      </c>
      <c r="E79" s="72" t="s">
        <v>213</v>
      </c>
      <c r="F79" t="s">
        <v>788</v>
      </c>
      <c r="G79" s="69">
        <v>700</v>
      </c>
    </row>
    <row r="80" spans="1:7" ht="17.100000000000001" customHeight="1" x14ac:dyDescent="0.25">
      <c r="A80" s="75">
        <f>IF(C80="","",COUNTA($C$4:C80))</f>
        <v>77</v>
      </c>
      <c r="B80" s="68" t="str">
        <f t="shared" si="1"/>
        <v>June</v>
      </c>
      <c r="C80" s="45">
        <v>45814</v>
      </c>
      <c r="E80" s="72" t="s">
        <v>789</v>
      </c>
      <c r="F80" t="s">
        <v>790</v>
      </c>
      <c r="G80" s="69">
        <v>1020</v>
      </c>
    </row>
    <row r="81" spans="1:7" ht="17.100000000000001" customHeight="1" x14ac:dyDescent="0.25">
      <c r="A81" s="75">
        <f>IF(C81="","",COUNTA($C$4:C81))</f>
        <v>78</v>
      </c>
      <c r="B81" s="68" t="str">
        <f t="shared" si="1"/>
        <v>June</v>
      </c>
      <c r="C81" s="45">
        <v>45815</v>
      </c>
      <c r="E81" s="72" t="s">
        <v>296</v>
      </c>
      <c r="F81" t="s">
        <v>791</v>
      </c>
      <c r="G81" s="69">
        <v>7500</v>
      </c>
    </row>
    <row r="82" spans="1:7" ht="17.100000000000001" customHeight="1" x14ac:dyDescent="0.25">
      <c r="A82" s="75">
        <f>IF(C82="","",COUNTA($C$4:C82))</f>
        <v>79</v>
      </c>
      <c r="B82" s="68" t="str">
        <f t="shared" si="1"/>
        <v>June</v>
      </c>
      <c r="C82" s="45">
        <v>45815</v>
      </c>
      <c r="E82" s="72" t="s">
        <v>296</v>
      </c>
      <c r="F82" t="s">
        <v>792</v>
      </c>
      <c r="G82" s="69">
        <v>2400</v>
      </c>
    </row>
    <row r="83" spans="1:7" ht="17.100000000000001" customHeight="1" x14ac:dyDescent="0.25">
      <c r="A83" s="75">
        <f>IF(C83="","",COUNTA($C$4:C83))</f>
        <v>80</v>
      </c>
      <c r="B83" s="68" t="str">
        <f t="shared" si="1"/>
        <v>June</v>
      </c>
      <c r="C83" s="45">
        <v>45815</v>
      </c>
      <c r="E83" s="72" t="s">
        <v>296</v>
      </c>
      <c r="F83" t="s">
        <v>793</v>
      </c>
      <c r="G83" s="69">
        <v>4420</v>
      </c>
    </row>
    <row r="84" spans="1:7" ht="17.100000000000001" customHeight="1" x14ac:dyDescent="0.25">
      <c r="A84" s="75">
        <f>IF(C84="","",COUNTA($C$4:C84))</f>
        <v>81</v>
      </c>
      <c r="B84" s="68" t="str">
        <f t="shared" si="1"/>
        <v>June</v>
      </c>
      <c r="C84" s="45">
        <v>45815</v>
      </c>
      <c r="E84" s="72" t="s">
        <v>296</v>
      </c>
      <c r="F84" t="s">
        <v>794</v>
      </c>
      <c r="G84" s="69">
        <v>1358</v>
      </c>
    </row>
    <row r="85" spans="1:7" ht="17.100000000000001" customHeight="1" x14ac:dyDescent="0.25">
      <c r="A85" s="75">
        <f>IF(C85="","",COUNTA($C$4:C85))</f>
        <v>82</v>
      </c>
      <c r="B85" s="68" t="str">
        <f t="shared" si="1"/>
        <v>June</v>
      </c>
      <c r="C85" s="45">
        <v>45815</v>
      </c>
      <c r="E85" s="72" t="s">
        <v>296</v>
      </c>
      <c r="F85" t="s">
        <v>795</v>
      </c>
      <c r="G85" s="69">
        <v>150</v>
      </c>
    </row>
    <row r="86" spans="1:7" ht="17.100000000000001" customHeight="1" x14ac:dyDescent="0.25">
      <c r="A86" s="75">
        <f>IF(C86="","",COUNTA($C$4:C86))</f>
        <v>83</v>
      </c>
      <c r="B86" s="68" t="str">
        <f t="shared" si="1"/>
        <v>June</v>
      </c>
      <c r="C86" s="45">
        <v>45815</v>
      </c>
      <c r="E86" s="72" t="s">
        <v>296</v>
      </c>
      <c r="F86" t="s">
        <v>796</v>
      </c>
      <c r="G86" s="69">
        <v>3472</v>
      </c>
    </row>
    <row r="87" spans="1:7" ht="17.100000000000001" customHeight="1" x14ac:dyDescent="0.25">
      <c r="A87" s="75">
        <f>IF(C87="","",COUNTA($C$4:C87))</f>
        <v>84</v>
      </c>
      <c r="B87" s="68" t="str">
        <f t="shared" si="1"/>
        <v>June</v>
      </c>
      <c r="C87" s="45">
        <v>45815</v>
      </c>
      <c r="E87" s="72" t="s">
        <v>296</v>
      </c>
      <c r="F87" t="s">
        <v>301</v>
      </c>
      <c r="G87" s="69">
        <v>7590</v>
      </c>
    </row>
    <row r="88" spans="1:7" ht="17.100000000000001" customHeight="1" x14ac:dyDescent="0.25">
      <c r="A88" s="75">
        <f>IF(C88="","",COUNTA($C$4:C88))</f>
        <v>85</v>
      </c>
      <c r="B88" s="68" t="str">
        <f t="shared" si="1"/>
        <v>June</v>
      </c>
      <c r="C88" s="45">
        <v>45818</v>
      </c>
      <c r="E88" s="72" t="s">
        <v>213</v>
      </c>
      <c r="F88" t="s">
        <v>797</v>
      </c>
      <c r="G88" s="69">
        <v>4000</v>
      </c>
    </row>
    <row r="89" spans="1:7" ht="17.100000000000001" customHeight="1" x14ac:dyDescent="0.25">
      <c r="A89" s="75">
        <f>IF(C89="","",COUNTA($C$4:C89))</f>
        <v>86</v>
      </c>
      <c r="B89" s="68" t="str">
        <f t="shared" si="1"/>
        <v>June</v>
      </c>
      <c r="C89" s="45">
        <v>45818</v>
      </c>
      <c r="E89" s="72" t="s">
        <v>213</v>
      </c>
      <c r="F89" t="s">
        <v>798</v>
      </c>
      <c r="G89" s="69">
        <v>1650</v>
      </c>
    </row>
    <row r="90" spans="1:7" ht="17.100000000000001" customHeight="1" x14ac:dyDescent="0.25">
      <c r="A90" s="75">
        <f>IF(C90="","",COUNTA($C$4:C90))</f>
        <v>87</v>
      </c>
      <c r="B90" s="68" t="str">
        <f t="shared" si="1"/>
        <v>June</v>
      </c>
      <c r="C90" s="45">
        <v>45818</v>
      </c>
      <c r="E90" s="72" t="s">
        <v>296</v>
      </c>
      <c r="F90" t="s">
        <v>861</v>
      </c>
      <c r="G90" s="69">
        <v>7868</v>
      </c>
    </row>
    <row r="91" spans="1:7" ht="17.100000000000001" customHeight="1" x14ac:dyDescent="0.25">
      <c r="A91" s="75">
        <f>IF(C91="","",COUNTA($C$4:C91))</f>
        <v>88</v>
      </c>
      <c r="B91" s="68" t="str">
        <f t="shared" si="1"/>
        <v>June</v>
      </c>
      <c r="C91" s="45">
        <v>45819</v>
      </c>
      <c r="E91" s="72" t="s">
        <v>221</v>
      </c>
      <c r="F91" t="s">
        <v>799</v>
      </c>
      <c r="G91" s="69">
        <v>1490</v>
      </c>
    </row>
    <row r="92" spans="1:7" ht="17.100000000000001" customHeight="1" x14ac:dyDescent="0.25">
      <c r="A92" s="75">
        <f>IF(C92="","",COUNTA($C$4:C92))</f>
        <v>89</v>
      </c>
      <c r="B92" s="68" t="str">
        <f t="shared" si="1"/>
        <v>June</v>
      </c>
      <c r="C92" s="45">
        <v>45820</v>
      </c>
      <c r="E92" s="72" t="s">
        <v>213</v>
      </c>
      <c r="F92" t="s">
        <v>800</v>
      </c>
      <c r="G92" s="69">
        <v>180</v>
      </c>
    </row>
    <row r="93" spans="1:7" ht="17.100000000000001" customHeight="1" x14ac:dyDescent="0.25">
      <c r="A93" s="75">
        <f>IF(C93="","",COUNTA($C$4:C93))</f>
        <v>90</v>
      </c>
      <c r="B93" s="68" t="str">
        <f t="shared" si="1"/>
        <v>June</v>
      </c>
      <c r="C93" s="45">
        <v>45820</v>
      </c>
      <c r="E93" s="72" t="s">
        <v>213</v>
      </c>
      <c r="F93" t="s">
        <v>801</v>
      </c>
      <c r="G93" s="69">
        <v>550</v>
      </c>
    </row>
    <row r="94" spans="1:7" ht="17.100000000000001" customHeight="1" x14ac:dyDescent="0.25">
      <c r="A94" s="75">
        <f>IF(C94="","",COUNTA($C$4:C94))</f>
        <v>91</v>
      </c>
      <c r="B94" s="68" t="str">
        <f t="shared" si="1"/>
        <v>June</v>
      </c>
      <c r="C94" s="45">
        <v>45821</v>
      </c>
      <c r="E94" s="72" t="s">
        <v>213</v>
      </c>
      <c r="F94" t="s">
        <v>802</v>
      </c>
      <c r="G94" s="69">
        <v>700</v>
      </c>
    </row>
    <row r="95" spans="1:7" ht="17.100000000000001" customHeight="1" x14ac:dyDescent="0.25">
      <c r="A95" s="75">
        <f>IF(C95="","",COUNTA($C$4:C95))</f>
        <v>92</v>
      </c>
      <c r="B95" s="68" t="str">
        <f t="shared" si="1"/>
        <v>June</v>
      </c>
      <c r="C95" s="45">
        <v>45823</v>
      </c>
      <c r="E95" s="72" t="s">
        <v>213</v>
      </c>
      <c r="F95" t="s">
        <v>803</v>
      </c>
      <c r="G95" s="69">
        <v>6150</v>
      </c>
    </row>
    <row r="96" spans="1:7" ht="17.100000000000001" customHeight="1" x14ac:dyDescent="0.25">
      <c r="A96" s="75">
        <f>IF(C96="","",COUNTA($C$4:C96))</f>
        <v>93</v>
      </c>
      <c r="B96" s="68" t="str">
        <f t="shared" si="1"/>
        <v>June</v>
      </c>
      <c r="C96" s="45">
        <v>45826</v>
      </c>
      <c r="E96" s="72" t="s">
        <v>213</v>
      </c>
      <c r="F96" t="s">
        <v>804</v>
      </c>
      <c r="G96" s="69">
        <v>200</v>
      </c>
    </row>
    <row r="97" spans="1:7" ht="17.100000000000001" customHeight="1" x14ac:dyDescent="0.25">
      <c r="A97" s="75">
        <f>IF(C97="","",COUNTA($C$4:C97))</f>
        <v>94</v>
      </c>
      <c r="B97" s="68" t="str">
        <f t="shared" si="1"/>
        <v>June</v>
      </c>
      <c r="C97" s="45">
        <v>45826</v>
      </c>
      <c r="E97" s="72" t="s">
        <v>213</v>
      </c>
      <c r="F97" t="s">
        <v>805</v>
      </c>
      <c r="G97" s="69">
        <v>200</v>
      </c>
    </row>
    <row r="98" spans="1:7" ht="17.100000000000001" customHeight="1" x14ac:dyDescent="0.25">
      <c r="A98" s="75">
        <f>IF(C98="","",COUNTA($C$4:C98))</f>
        <v>95</v>
      </c>
      <c r="B98" s="68" t="str">
        <f t="shared" si="1"/>
        <v>June</v>
      </c>
      <c r="C98" s="45">
        <v>45827</v>
      </c>
      <c r="E98" s="72" t="s">
        <v>213</v>
      </c>
      <c r="F98" t="s">
        <v>806</v>
      </c>
      <c r="G98" s="69">
        <v>1645</v>
      </c>
    </row>
    <row r="99" spans="1:7" ht="17.100000000000001" customHeight="1" x14ac:dyDescent="0.25">
      <c r="A99" s="75">
        <f>IF(C99="","",COUNTA($C$4:C99))</f>
        <v>96</v>
      </c>
      <c r="B99" s="68" t="str">
        <f t="shared" si="1"/>
        <v>June</v>
      </c>
      <c r="C99" s="45">
        <v>45827</v>
      </c>
      <c r="E99" s="72" t="s">
        <v>213</v>
      </c>
      <c r="F99" t="s">
        <v>807</v>
      </c>
      <c r="G99" s="69">
        <v>200</v>
      </c>
    </row>
    <row r="100" spans="1:7" ht="17.100000000000001" customHeight="1" x14ac:dyDescent="0.25">
      <c r="A100" s="75">
        <f>IF(C100="","",COUNTA($C$4:C100))</f>
        <v>97</v>
      </c>
      <c r="B100" s="68" t="str">
        <f t="shared" si="1"/>
        <v>June</v>
      </c>
      <c r="C100" s="45">
        <v>45828</v>
      </c>
      <c r="E100" s="72" t="s">
        <v>213</v>
      </c>
      <c r="F100" t="s">
        <v>862</v>
      </c>
      <c r="G100" s="69">
        <v>700</v>
      </c>
    </row>
    <row r="101" spans="1:7" ht="17.100000000000001" customHeight="1" x14ac:dyDescent="0.25">
      <c r="A101" s="75">
        <f>IF(C101="","",COUNTA($C$4:C101))</f>
        <v>98</v>
      </c>
      <c r="B101" s="68" t="str">
        <f t="shared" si="1"/>
        <v>June</v>
      </c>
      <c r="C101" s="45">
        <v>45828</v>
      </c>
      <c r="E101" s="72" t="s">
        <v>213</v>
      </c>
      <c r="F101" t="s">
        <v>1056</v>
      </c>
      <c r="G101" s="69">
        <v>230</v>
      </c>
    </row>
    <row r="102" spans="1:7" ht="17.100000000000001" customHeight="1" x14ac:dyDescent="0.25">
      <c r="A102" s="75">
        <f>IF(C102="","",COUNTA($C$4:C102))</f>
        <v>99</v>
      </c>
      <c r="B102" s="68" t="str">
        <f t="shared" si="1"/>
        <v>June</v>
      </c>
      <c r="C102" s="45">
        <v>45828</v>
      </c>
      <c r="E102" s="72" t="s">
        <v>213</v>
      </c>
      <c r="F102" t="s">
        <v>863</v>
      </c>
      <c r="G102" s="69">
        <v>350</v>
      </c>
    </row>
    <row r="103" spans="1:7" ht="17.100000000000001" customHeight="1" x14ac:dyDescent="0.25">
      <c r="A103" s="75">
        <f>IF(C103="","",COUNTA($C$4:C103))</f>
        <v>100</v>
      </c>
      <c r="B103" s="68" t="str">
        <f t="shared" si="1"/>
        <v>June</v>
      </c>
      <c r="C103" s="45">
        <v>45828</v>
      </c>
      <c r="E103" s="72" t="s">
        <v>213</v>
      </c>
      <c r="F103" t="s">
        <v>864</v>
      </c>
      <c r="G103" s="69">
        <v>1043</v>
      </c>
    </row>
    <row r="104" spans="1:7" ht="17.100000000000001" customHeight="1" x14ac:dyDescent="0.25">
      <c r="A104" s="75">
        <f>IF(C104="","",COUNTA($C$4:C104))</f>
        <v>101</v>
      </c>
      <c r="B104" s="68" t="str">
        <f t="shared" si="1"/>
        <v>June</v>
      </c>
      <c r="C104" s="45">
        <v>45829</v>
      </c>
      <c r="E104" s="72" t="s">
        <v>213</v>
      </c>
      <c r="F104" t="s">
        <v>865</v>
      </c>
      <c r="G104" s="69">
        <v>400</v>
      </c>
    </row>
    <row r="105" spans="1:7" ht="17.100000000000001" customHeight="1" x14ac:dyDescent="0.25">
      <c r="A105" s="75">
        <f>IF(C105="","",COUNTA($C$4:C105))</f>
        <v>102</v>
      </c>
      <c r="B105" s="68" t="str">
        <f t="shared" si="1"/>
        <v>June</v>
      </c>
      <c r="C105" s="45">
        <v>45832</v>
      </c>
      <c r="E105" s="72" t="s">
        <v>213</v>
      </c>
      <c r="F105" t="s">
        <v>866</v>
      </c>
      <c r="G105" s="69">
        <v>500</v>
      </c>
    </row>
    <row r="106" spans="1:7" ht="17.100000000000001" customHeight="1" x14ac:dyDescent="0.25">
      <c r="A106" s="75">
        <f>IF(C106="","",COUNTA($C$4:C106))</f>
        <v>103</v>
      </c>
      <c r="B106" s="68" t="str">
        <f t="shared" si="1"/>
        <v>June</v>
      </c>
      <c r="C106" s="45">
        <v>45833</v>
      </c>
      <c r="E106" s="72" t="s">
        <v>213</v>
      </c>
      <c r="F106" t="s">
        <v>800</v>
      </c>
      <c r="G106" s="69">
        <v>200</v>
      </c>
    </row>
    <row r="107" spans="1:7" ht="17.100000000000001" customHeight="1" x14ac:dyDescent="0.25">
      <c r="A107" s="75">
        <f>IF(C107="","",COUNTA($C$4:C107))</f>
        <v>104</v>
      </c>
      <c r="B107" s="68" t="str">
        <f t="shared" si="1"/>
        <v>June</v>
      </c>
      <c r="C107" s="45">
        <v>45834</v>
      </c>
      <c r="E107" s="72" t="s">
        <v>213</v>
      </c>
      <c r="F107" t="s">
        <v>867</v>
      </c>
      <c r="G107" s="69">
        <v>4500</v>
      </c>
    </row>
    <row r="108" spans="1:7" ht="17.100000000000001" customHeight="1" x14ac:dyDescent="0.25">
      <c r="A108" s="75">
        <f>IF(C108="","",COUNTA($C$4:C108))</f>
        <v>105</v>
      </c>
      <c r="B108" s="68" t="str">
        <f t="shared" si="1"/>
        <v>June</v>
      </c>
      <c r="C108" s="45">
        <v>45834</v>
      </c>
      <c r="E108" s="72" t="s">
        <v>213</v>
      </c>
      <c r="F108" t="s">
        <v>868</v>
      </c>
      <c r="G108" s="69">
        <v>380</v>
      </c>
    </row>
    <row r="109" spans="1:7" ht="17.100000000000001" customHeight="1" x14ac:dyDescent="0.25">
      <c r="A109" s="75">
        <f>IF(C109="","",COUNTA($C$4:C109))</f>
        <v>106</v>
      </c>
      <c r="B109" s="68" t="str">
        <f t="shared" si="1"/>
        <v>June</v>
      </c>
      <c r="C109" s="45">
        <v>45835</v>
      </c>
      <c r="E109" s="72" t="s">
        <v>213</v>
      </c>
      <c r="F109" t="s">
        <v>869</v>
      </c>
      <c r="G109" s="69">
        <v>700</v>
      </c>
    </row>
    <row r="110" spans="1:7" ht="17.100000000000001" customHeight="1" x14ac:dyDescent="0.25">
      <c r="A110" s="75">
        <f>IF(C110="","",COUNTA($C$4:C110))</f>
        <v>107</v>
      </c>
      <c r="B110" s="68" t="str">
        <f t="shared" si="1"/>
        <v>June</v>
      </c>
      <c r="C110" s="45">
        <v>45835</v>
      </c>
      <c r="E110" s="72" t="s">
        <v>213</v>
      </c>
      <c r="F110" t="s">
        <v>870</v>
      </c>
      <c r="G110" s="69">
        <v>320</v>
      </c>
    </row>
    <row r="111" spans="1:7" ht="17.100000000000001" customHeight="1" x14ac:dyDescent="0.25">
      <c r="A111" s="75">
        <f>IF(C111="","",COUNTA($C$4:C111))</f>
        <v>108</v>
      </c>
      <c r="B111" s="68" t="str">
        <f t="shared" si="1"/>
        <v>June</v>
      </c>
      <c r="C111" s="45">
        <v>45836</v>
      </c>
      <c r="E111" s="72" t="s">
        <v>296</v>
      </c>
      <c r="F111" t="s">
        <v>1057</v>
      </c>
      <c r="G111" s="69">
        <v>2854</v>
      </c>
    </row>
    <row r="112" spans="1:7" ht="17.100000000000001" customHeight="1" x14ac:dyDescent="0.25">
      <c r="A112" s="75">
        <f>IF(C112="","",COUNTA($C$4:C112))</f>
        <v>109</v>
      </c>
      <c r="B112" s="68" t="str">
        <f t="shared" si="1"/>
        <v>June</v>
      </c>
      <c r="C112" s="45">
        <v>45837</v>
      </c>
      <c r="E112" s="72" t="s">
        <v>213</v>
      </c>
      <c r="F112" t="s">
        <v>1058</v>
      </c>
      <c r="G112" s="69">
        <v>650</v>
      </c>
    </row>
    <row r="113" spans="1:7" ht="17.100000000000001" customHeight="1" x14ac:dyDescent="0.25">
      <c r="A113" s="75">
        <f>IF(C113="","",COUNTA($C$4:C113))</f>
        <v>110</v>
      </c>
      <c r="B113" s="68" t="str">
        <f t="shared" si="1"/>
        <v>June</v>
      </c>
      <c r="C113" s="45">
        <v>45838</v>
      </c>
      <c r="E113" s="72" t="s">
        <v>296</v>
      </c>
      <c r="F113" t="s">
        <v>1059</v>
      </c>
      <c r="G113" s="69">
        <v>7494</v>
      </c>
    </row>
    <row r="114" spans="1:7" ht="17.100000000000001" customHeight="1" x14ac:dyDescent="0.25">
      <c r="A114" s="75">
        <f>IF(C114="","",COUNTA($C$4:C114))</f>
        <v>111</v>
      </c>
      <c r="B114" s="68" t="str">
        <f t="shared" si="1"/>
        <v>June</v>
      </c>
      <c r="C114" s="45">
        <v>45838</v>
      </c>
      <c r="E114" s="72" t="s">
        <v>213</v>
      </c>
      <c r="F114" t="s">
        <v>871</v>
      </c>
      <c r="G114" s="69">
        <v>903</v>
      </c>
    </row>
    <row r="115" spans="1:7" ht="17.100000000000001" customHeight="1" x14ac:dyDescent="0.25">
      <c r="A115" s="75">
        <f>IF(C115="","",COUNTA($C$4:C115))</f>
        <v>112</v>
      </c>
      <c r="B115" s="68" t="str">
        <f t="shared" si="1"/>
        <v>June</v>
      </c>
      <c r="C115" s="45">
        <v>45838</v>
      </c>
      <c r="E115" s="72" t="s">
        <v>213</v>
      </c>
      <c r="F115" t="s">
        <v>872</v>
      </c>
      <c r="G115" s="69">
        <v>550</v>
      </c>
    </row>
    <row r="116" spans="1:7" ht="17.100000000000001" customHeight="1" x14ac:dyDescent="0.25">
      <c r="A116" s="75">
        <f>IF(C116="","",COUNTA($C$4:C116))</f>
        <v>113</v>
      </c>
      <c r="B116" s="68" t="str">
        <f t="shared" si="1"/>
        <v>June</v>
      </c>
      <c r="C116" s="45">
        <v>45838</v>
      </c>
      <c r="E116" s="72" t="s">
        <v>296</v>
      </c>
      <c r="F116" t="s">
        <v>1041</v>
      </c>
      <c r="G116" s="69">
        <v>1309</v>
      </c>
    </row>
    <row r="117" spans="1:7" ht="17.100000000000001" customHeight="1" x14ac:dyDescent="0.25">
      <c r="A117" s="75">
        <f>IF(C117="","",COUNTA($C$4:C117))</f>
        <v>114</v>
      </c>
      <c r="B117" s="68" t="str">
        <f t="shared" si="1"/>
        <v>June</v>
      </c>
      <c r="C117" s="45">
        <v>45838</v>
      </c>
      <c r="E117" s="72" t="s">
        <v>296</v>
      </c>
      <c r="F117" t="s">
        <v>1042</v>
      </c>
      <c r="G117" s="69">
        <v>5900</v>
      </c>
    </row>
    <row r="118" spans="1:7" ht="17.100000000000001" customHeight="1" x14ac:dyDescent="0.25">
      <c r="A118" s="75">
        <f>IF(C118="","",COUNTA($C$4:C118))</f>
        <v>115</v>
      </c>
      <c r="B118" s="68" t="str">
        <f t="shared" si="1"/>
        <v>June</v>
      </c>
      <c r="C118" s="45">
        <v>45838</v>
      </c>
      <c r="E118" s="72" t="s">
        <v>296</v>
      </c>
      <c r="F118" t="s">
        <v>1043</v>
      </c>
      <c r="G118" s="69">
        <v>7397</v>
      </c>
    </row>
    <row r="119" spans="1:7" ht="17.100000000000001" customHeight="1" x14ac:dyDescent="0.25">
      <c r="A119" s="75">
        <f>IF(C119="","",COUNTA($C$4:C119))</f>
        <v>116</v>
      </c>
      <c r="B119" s="68" t="str">
        <f t="shared" si="1"/>
        <v>June</v>
      </c>
      <c r="C119" s="45">
        <v>45838</v>
      </c>
      <c r="E119" s="72" t="s">
        <v>296</v>
      </c>
      <c r="F119" t="s">
        <v>1044</v>
      </c>
      <c r="G119" s="69">
        <v>7091</v>
      </c>
    </row>
    <row r="120" spans="1:7" ht="17.100000000000001" customHeight="1" x14ac:dyDescent="0.25">
      <c r="A120" s="75">
        <f>IF(C120="","",COUNTA($C$4:C120))</f>
        <v>117</v>
      </c>
      <c r="B120" s="68" t="str">
        <f t="shared" si="1"/>
        <v>June</v>
      </c>
      <c r="C120" s="45">
        <v>45838</v>
      </c>
      <c r="E120" s="72" t="s">
        <v>296</v>
      </c>
      <c r="F120" t="s">
        <v>1040</v>
      </c>
      <c r="G120" s="69">
        <v>295</v>
      </c>
    </row>
    <row r="121" spans="1:7" ht="17.100000000000001" customHeight="1" x14ac:dyDescent="0.25">
      <c r="A121" s="75">
        <f>IF(C121="","",COUNTA($C$4:C121))</f>
        <v>118</v>
      </c>
      <c r="B121" s="68" t="str">
        <f t="shared" si="1"/>
        <v>June</v>
      </c>
      <c r="C121" s="45">
        <v>45838</v>
      </c>
      <c r="E121" s="72" t="s">
        <v>296</v>
      </c>
      <c r="F121" t="s">
        <v>1045</v>
      </c>
      <c r="G121" s="69">
        <v>1251</v>
      </c>
    </row>
    <row r="122" spans="1:7" ht="17.100000000000001" customHeight="1" x14ac:dyDescent="0.25">
      <c r="A122" s="75">
        <f>IF(C122="","",COUNTA($C$4:C122))</f>
        <v>119</v>
      </c>
      <c r="B122" s="68" t="str">
        <f t="shared" si="1"/>
        <v>June</v>
      </c>
      <c r="C122" s="45">
        <v>45838</v>
      </c>
      <c r="E122" s="72" t="s">
        <v>213</v>
      </c>
      <c r="F122" t="s">
        <v>1154</v>
      </c>
      <c r="G122" s="69">
        <v>1500</v>
      </c>
    </row>
    <row r="123" spans="1:7" ht="17.100000000000001" customHeight="1" x14ac:dyDescent="0.25">
      <c r="A123" s="75">
        <f>IF(C123="","",COUNTA($C$4:C123))</f>
        <v>120</v>
      </c>
      <c r="B123" s="68" t="str">
        <f t="shared" si="1"/>
        <v>July</v>
      </c>
      <c r="C123" s="45">
        <v>45840</v>
      </c>
      <c r="E123" s="72" t="s">
        <v>213</v>
      </c>
      <c r="F123" t="s">
        <v>1155</v>
      </c>
      <c r="G123" s="69">
        <v>500</v>
      </c>
    </row>
    <row r="124" spans="1:7" ht="17.100000000000001" customHeight="1" x14ac:dyDescent="0.25">
      <c r="A124" s="75">
        <f>IF(C124="","",COUNTA($C$4:C124))</f>
        <v>121</v>
      </c>
      <c r="B124" s="68" t="str">
        <f t="shared" si="1"/>
        <v>July</v>
      </c>
      <c r="C124" s="45">
        <v>45841</v>
      </c>
      <c r="E124" s="72" t="s">
        <v>213</v>
      </c>
      <c r="F124" t="s">
        <v>1060</v>
      </c>
      <c r="G124" s="69">
        <v>200</v>
      </c>
    </row>
    <row r="125" spans="1:7" ht="17.100000000000001" customHeight="1" x14ac:dyDescent="0.25">
      <c r="A125" s="75">
        <f>IF(C125="","",COUNTA($C$4:C125))</f>
        <v>122</v>
      </c>
      <c r="B125" s="68" t="str">
        <f t="shared" si="1"/>
        <v>July</v>
      </c>
      <c r="C125" s="45">
        <v>45842</v>
      </c>
      <c r="E125" s="72" t="s">
        <v>213</v>
      </c>
      <c r="F125" t="s">
        <v>873</v>
      </c>
      <c r="G125" s="69">
        <v>700</v>
      </c>
    </row>
    <row r="126" spans="1:7" ht="17.100000000000001" customHeight="1" x14ac:dyDescent="0.25">
      <c r="A126" s="75">
        <f>IF(C126="","",COUNTA($C$4:C126))</f>
        <v>123</v>
      </c>
      <c r="B126" s="68" t="str">
        <f t="shared" si="1"/>
        <v>July</v>
      </c>
      <c r="C126" s="97">
        <v>45842</v>
      </c>
      <c r="E126" s="72" t="s">
        <v>213</v>
      </c>
      <c r="F126" t="s">
        <v>874</v>
      </c>
      <c r="G126" s="69">
        <v>740</v>
      </c>
    </row>
    <row r="127" spans="1:7" ht="17.100000000000001" customHeight="1" x14ac:dyDescent="0.25">
      <c r="A127" s="75">
        <f>IF(C127="","",COUNTA($C$4:C127))</f>
        <v>124</v>
      </c>
      <c r="B127" s="68" t="str">
        <f t="shared" si="1"/>
        <v>July</v>
      </c>
      <c r="C127" s="45">
        <v>45846</v>
      </c>
      <c r="E127" s="72" t="s">
        <v>213</v>
      </c>
      <c r="F127" t="s">
        <v>1046</v>
      </c>
      <c r="G127" s="69">
        <v>400</v>
      </c>
    </row>
    <row r="128" spans="1:7" ht="17.100000000000001" customHeight="1" x14ac:dyDescent="0.25">
      <c r="A128" s="75">
        <f>IF(C128="","",COUNTA($C$4:C128))</f>
        <v>125</v>
      </c>
      <c r="B128" s="68" t="str">
        <f t="shared" si="1"/>
        <v>July</v>
      </c>
      <c r="C128" s="45">
        <v>45847</v>
      </c>
      <c r="E128" s="72" t="s">
        <v>213</v>
      </c>
      <c r="F128" t="s">
        <v>1047</v>
      </c>
      <c r="G128" s="69">
        <v>250</v>
      </c>
    </row>
    <row r="129" spans="1:7" ht="17.100000000000001" customHeight="1" x14ac:dyDescent="0.25">
      <c r="A129" s="75">
        <f>IF(C129="","",COUNTA($C$4:C129))</f>
        <v>126</v>
      </c>
      <c r="B129" s="68" t="str">
        <f t="shared" si="1"/>
        <v>July</v>
      </c>
      <c r="C129" s="45">
        <v>45848</v>
      </c>
      <c r="E129" s="72" t="s">
        <v>213</v>
      </c>
      <c r="F129" t="s">
        <v>797</v>
      </c>
      <c r="G129" s="69">
        <v>4000</v>
      </c>
    </row>
    <row r="130" spans="1:7" ht="17.100000000000001" customHeight="1" x14ac:dyDescent="0.25">
      <c r="A130" s="75">
        <f>IF(C130="","",COUNTA($C$4:C130))</f>
        <v>127</v>
      </c>
      <c r="B130" s="68" t="str">
        <f t="shared" si="1"/>
        <v>July</v>
      </c>
      <c r="C130" s="45">
        <v>45848</v>
      </c>
      <c r="E130" s="72" t="s">
        <v>221</v>
      </c>
      <c r="F130" t="s">
        <v>1048</v>
      </c>
      <c r="G130" s="69">
        <v>4720</v>
      </c>
    </row>
    <row r="131" spans="1:7" ht="17.100000000000001" customHeight="1" x14ac:dyDescent="0.25">
      <c r="A131" s="75">
        <f>IF(C131="","",COUNTA($C$4:C131))</f>
        <v>128</v>
      </c>
      <c r="B131" s="68" t="str">
        <f t="shared" si="1"/>
        <v>July</v>
      </c>
      <c r="C131" s="45">
        <v>45849</v>
      </c>
      <c r="E131" s="72" t="s">
        <v>213</v>
      </c>
      <c r="F131" t="s">
        <v>1049</v>
      </c>
      <c r="G131" s="69">
        <v>550</v>
      </c>
    </row>
    <row r="132" spans="1:7" ht="17.100000000000001" customHeight="1" x14ac:dyDescent="0.25">
      <c r="A132" s="75">
        <f>IF(C132="","",COUNTA($C$4:C132))</f>
        <v>129</v>
      </c>
      <c r="B132" s="68" t="str">
        <f t="shared" si="1"/>
        <v>July</v>
      </c>
      <c r="C132" s="45">
        <v>45849</v>
      </c>
      <c r="E132" s="72" t="s">
        <v>213</v>
      </c>
      <c r="F132" t="s">
        <v>1050</v>
      </c>
      <c r="G132" s="69">
        <v>700</v>
      </c>
    </row>
    <row r="133" spans="1:7" ht="17.100000000000001" customHeight="1" x14ac:dyDescent="0.25">
      <c r="A133" s="75">
        <f>IF(C133="","",COUNTA($C$4:C133))</f>
        <v>130</v>
      </c>
      <c r="B133" s="68" t="str">
        <f t="shared" si="1"/>
        <v>July</v>
      </c>
      <c r="C133" s="45">
        <v>45849</v>
      </c>
      <c r="E133" s="72" t="s">
        <v>213</v>
      </c>
      <c r="F133" t="s">
        <v>1051</v>
      </c>
      <c r="G133" s="69">
        <v>2020</v>
      </c>
    </row>
    <row r="134" spans="1:7" ht="17.100000000000001" customHeight="1" x14ac:dyDescent="0.25">
      <c r="A134" s="75">
        <f>IF(C134="","",COUNTA($C$4:C134))</f>
        <v>131</v>
      </c>
      <c r="B134" s="68" t="str">
        <f t="shared" si="1"/>
        <v>July</v>
      </c>
      <c r="C134" s="45">
        <v>45850</v>
      </c>
      <c r="E134" s="72" t="s">
        <v>296</v>
      </c>
      <c r="F134" t="s">
        <v>1052</v>
      </c>
      <c r="G134" s="69">
        <v>450</v>
      </c>
    </row>
    <row r="135" spans="1:7" ht="17.100000000000001" customHeight="1" x14ac:dyDescent="0.25">
      <c r="A135" s="75">
        <f>IF(C135="","",COUNTA($C$4:C135))</f>
        <v>132</v>
      </c>
      <c r="B135" s="68" t="str">
        <f t="shared" si="1"/>
        <v>July</v>
      </c>
      <c r="C135" s="45">
        <v>45850</v>
      </c>
      <c r="E135" s="72" t="s">
        <v>296</v>
      </c>
      <c r="F135" t="s">
        <v>301</v>
      </c>
      <c r="G135" s="69">
        <v>3225</v>
      </c>
    </row>
    <row r="136" spans="1:7" ht="17.100000000000001" customHeight="1" x14ac:dyDescent="0.25">
      <c r="A136" s="75">
        <f>IF(C136="","",COUNTA($C$4:C136))</f>
        <v>133</v>
      </c>
      <c r="B136" s="68" t="str">
        <f t="shared" si="1"/>
        <v>July</v>
      </c>
      <c r="C136" s="45">
        <v>45851</v>
      </c>
      <c r="E136" s="72" t="s">
        <v>296</v>
      </c>
      <c r="F136" t="s">
        <v>1053</v>
      </c>
      <c r="G136" s="69">
        <v>4100</v>
      </c>
    </row>
    <row r="137" spans="1:7" ht="17.100000000000001" customHeight="1" x14ac:dyDescent="0.25">
      <c r="A137" s="75">
        <f>IF(C137="","",COUNTA($C$4:C137))</f>
        <v>134</v>
      </c>
      <c r="B137" s="68" t="str">
        <f t="shared" si="1"/>
        <v>July</v>
      </c>
      <c r="C137" s="45">
        <v>45852</v>
      </c>
      <c r="E137" s="72" t="s">
        <v>213</v>
      </c>
      <c r="F137" t="s">
        <v>866</v>
      </c>
      <c r="G137" s="69">
        <v>500</v>
      </c>
    </row>
    <row r="138" spans="1:7" ht="17.100000000000001" customHeight="1" x14ac:dyDescent="0.25">
      <c r="A138" s="75">
        <f>IF(C138="","",COUNTA($C$4:C138))</f>
        <v>135</v>
      </c>
      <c r="B138" s="68" t="str">
        <f t="shared" si="1"/>
        <v>July</v>
      </c>
      <c r="C138" s="45">
        <v>45853</v>
      </c>
      <c r="E138" s="72" t="s">
        <v>213</v>
      </c>
      <c r="F138" t="s">
        <v>1054</v>
      </c>
      <c r="G138" s="69">
        <v>3300</v>
      </c>
    </row>
    <row r="139" spans="1:7" ht="17.100000000000001" customHeight="1" x14ac:dyDescent="0.25">
      <c r="A139" s="75">
        <f>IF(C139="","",COUNTA($C$4:C139))</f>
        <v>136</v>
      </c>
      <c r="B139" s="68" t="str">
        <f t="shared" si="1"/>
        <v>July</v>
      </c>
      <c r="C139" s="97">
        <v>45854</v>
      </c>
      <c r="E139" s="72" t="s">
        <v>213</v>
      </c>
      <c r="F139" t="s">
        <v>1055</v>
      </c>
      <c r="G139" s="69">
        <v>460</v>
      </c>
    </row>
    <row r="140" spans="1:7" ht="17.100000000000001" customHeight="1" x14ac:dyDescent="0.25">
      <c r="A140" s="75">
        <f>IF(C140="","",COUNTA($C$4:C140))</f>
        <v>137</v>
      </c>
      <c r="B140" s="68" t="str">
        <f t="shared" si="1"/>
        <v>July</v>
      </c>
      <c r="C140" s="97">
        <v>45854</v>
      </c>
      <c r="E140" s="72" t="s">
        <v>294</v>
      </c>
      <c r="F140" t="s">
        <v>1156</v>
      </c>
      <c r="G140" s="69">
        <v>236</v>
      </c>
    </row>
    <row r="141" spans="1:7" ht="17.100000000000001" customHeight="1" x14ac:dyDescent="0.25">
      <c r="A141" s="75">
        <f>IF(C141="","",COUNTA($C$4:C141))</f>
        <v>138</v>
      </c>
      <c r="B141" s="68" t="str">
        <f t="shared" si="1"/>
        <v>July</v>
      </c>
      <c r="C141" s="97">
        <v>45854</v>
      </c>
      <c r="E141" s="72" t="s">
        <v>213</v>
      </c>
      <c r="F141" t="s">
        <v>1227</v>
      </c>
      <c r="G141" s="69">
        <v>410</v>
      </c>
    </row>
    <row r="142" spans="1:7" ht="17.100000000000001" customHeight="1" x14ac:dyDescent="0.25">
      <c r="A142" s="75">
        <f>IF(C142="","",COUNTA($C$4:C142))</f>
        <v>139</v>
      </c>
      <c r="B142" s="68" t="str">
        <f t="shared" si="1"/>
        <v>July</v>
      </c>
      <c r="C142" s="45">
        <v>45855</v>
      </c>
      <c r="E142" s="72" t="s">
        <v>221</v>
      </c>
      <c r="F142" t="s">
        <v>1061</v>
      </c>
      <c r="G142" s="69">
        <v>1170</v>
      </c>
    </row>
    <row r="143" spans="1:7" ht="17.100000000000001" customHeight="1" x14ac:dyDescent="0.25">
      <c r="A143" s="75">
        <f>IF(C143="","",COUNTA($C$4:C143))</f>
        <v>140</v>
      </c>
      <c r="B143" s="68" t="str">
        <f t="shared" si="1"/>
        <v>July</v>
      </c>
      <c r="C143" s="45">
        <v>45855</v>
      </c>
      <c r="E143" s="72" t="s">
        <v>213</v>
      </c>
      <c r="F143" t="s">
        <v>1062</v>
      </c>
      <c r="G143" s="69">
        <v>752</v>
      </c>
    </row>
    <row r="144" spans="1:7" ht="17.100000000000001" customHeight="1" x14ac:dyDescent="0.25">
      <c r="A144" s="75">
        <f>IF(C144="","",COUNTA($C$4:C144))</f>
        <v>141</v>
      </c>
      <c r="B144" s="68" t="str">
        <f t="shared" si="1"/>
        <v>July</v>
      </c>
      <c r="C144" s="45">
        <v>45856</v>
      </c>
      <c r="E144" s="72" t="s">
        <v>1063</v>
      </c>
      <c r="F144" t="s">
        <v>1064</v>
      </c>
      <c r="G144" s="69">
        <v>5000</v>
      </c>
    </row>
    <row r="145" spans="1:7" ht="17.100000000000001" customHeight="1" x14ac:dyDescent="0.25">
      <c r="A145" s="75">
        <f>IF(C145="","",COUNTA($C$4:C145))</f>
        <v>142</v>
      </c>
      <c r="B145" s="68" t="str">
        <f t="shared" si="1"/>
        <v>July</v>
      </c>
      <c r="C145" s="45">
        <v>45856</v>
      </c>
      <c r="E145" s="72" t="s">
        <v>213</v>
      </c>
      <c r="F145" t="s">
        <v>1065</v>
      </c>
      <c r="G145" s="69">
        <v>700</v>
      </c>
    </row>
    <row r="146" spans="1:7" ht="17.100000000000001" customHeight="1" x14ac:dyDescent="0.25">
      <c r="A146" s="75">
        <f>IF(C146="","",COUNTA($C$4:C146))</f>
        <v>143</v>
      </c>
      <c r="B146" s="68" t="str">
        <f t="shared" si="1"/>
        <v>July</v>
      </c>
      <c r="C146" s="45">
        <v>45859</v>
      </c>
      <c r="E146" s="72" t="s">
        <v>213</v>
      </c>
      <c r="F146" t="s">
        <v>1066</v>
      </c>
      <c r="G146" s="69">
        <v>200</v>
      </c>
    </row>
    <row r="147" spans="1:7" ht="17.100000000000001" customHeight="1" x14ac:dyDescent="0.25">
      <c r="A147" s="75">
        <f>IF(C147="","",COUNTA($C$4:C147))</f>
        <v>144</v>
      </c>
      <c r="B147" s="68" t="str">
        <f t="shared" si="1"/>
        <v>July</v>
      </c>
      <c r="C147" s="45">
        <v>45859</v>
      </c>
      <c r="E147" s="72" t="s">
        <v>213</v>
      </c>
      <c r="F147" t="s">
        <v>1157</v>
      </c>
      <c r="G147" s="69">
        <v>3109</v>
      </c>
    </row>
    <row r="148" spans="1:7" ht="17.100000000000001" customHeight="1" x14ac:dyDescent="0.25">
      <c r="A148" s="75">
        <f>IF(C148="","",COUNTA($C$4:C148))</f>
        <v>145</v>
      </c>
      <c r="B148" s="68" t="str">
        <f t="shared" si="1"/>
        <v>July</v>
      </c>
      <c r="C148" s="45">
        <v>45860</v>
      </c>
      <c r="E148" s="72" t="s">
        <v>213</v>
      </c>
      <c r="F148" t="s">
        <v>1067</v>
      </c>
      <c r="G148" s="69">
        <v>1360</v>
      </c>
    </row>
    <row r="149" spans="1:7" ht="17.100000000000001" customHeight="1" x14ac:dyDescent="0.25">
      <c r="A149" s="75">
        <f>IF(C149="","",COUNTA($C$4:C149))</f>
        <v>146</v>
      </c>
      <c r="B149" s="68" t="str">
        <f t="shared" si="1"/>
        <v>July</v>
      </c>
      <c r="C149" s="45">
        <v>45860</v>
      </c>
      <c r="E149" s="72" t="s">
        <v>221</v>
      </c>
      <c r="F149" t="s">
        <v>1068</v>
      </c>
      <c r="G149" s="69">
        <v>3492</v>
      </c>
    </row>
    <row r="150" spans="1:7" ht="17.100000000000001" customHeight="1" x14ac:dyDescent="0.25">
      <c r="A150" s="75">
        <f>IF(C150="","",COUNTA($C$4:C150))</f>
        <v>147</v>
      </c>
      <c r="B150" s="68" t="str">
        <f t="shared" si="1"/>
        <v>July</v>
      </c>
      <c r="C150" s="45">
        <v>45861</v>
      </c>
      <c r="E150" s="72" t="s">
        <v>213</v>
      </c>
      <c r="F150" t="s">
        <v>1158</v>
      </c>
      <c r="G150" s="69">
        <v>4300</v>
      </c>
    </row>
    <row r="151" spans="1:7" ht="17.100000000000001" customHeight="1" x14ac:dyDescent="0.25">
      <c r="A151" s="75">
        <f>IF(C151="","",COUNTA($C$4:C151))</f>
        <v>148</v>
      </c>
      <c r="B151" s="68" t="str">
        <f t="shared" si="1"/>
        <v>July</v>
      </c>
      <c r="C151" s="45">
        <v>45862</v>
      </c>
      <c r="E151" s="72" t="s">
        <v>213</v>
      </c>
      <c r="F151" t="s">
        <v>1159</v>
      </c>
      <c r="G151" s="69">
        <v>1120</v>
      </c>
    </row>
    <row r="152" spans="1:7" ht="17.100000000000001" customHeight="1" x14ac:dyDescent="0.25">
      <c r="A152" s="75">
        <f>IF(C152="","",COUNTA($C$4:C152))</f>
        <v>149</v>
      </c>
      <c r="B152" s="68" t="str">
        <f t="shared" si="1"/>
        <v>July</v>
      </c>
      <c r="C152" s="45">
        <v>45863</v>
      </c>
      <c r="E152" s="72" t="s">
        <v>213</v>
      </c>
      <c r="F152" t="s">
        <v>1160</v>
      </c>
      <c r="G152" s="69">
        <v>700</v>
      </c>
    </row>
    <row r="153" spans="1:7" ht="17.100000000000001" customHeight="1" x14ac:dyDescent="0.25">
      <c r="A153" s="75">
        <f>IF(C153="","",COUNTA($C$4:C153))</f>
        <v>150</v>
      </c>
      <c r="B153" s="68" t="str">
        <f t="shared" si="1"/>
        <v>July</v>
      </c>
      <c r="C153" s="45">
        <v>45863</v>
      </c>
      <c r="E153" s="72" t="s">
        <v>213</v>
      </c>
      <c r="F153" t="s">
        <v>1161</v>
      </c>
      <c r="G153" s="69">
        <v>450</v>
      </c>
    </row>
    <row r="154" spans="1:7" ht="17.100000000000001" customHeight="1" x14ac:dyDescent="0.25">
      <c r="A154" s="75">
        <f>IF(C154="","",COUNTA($C$4:C154))</f>
        <v>151</v>
      </c>
      <c r="B154" s="68" t="str">
        <f t="shared" si="1"/>
        <v>July</v>
      </c>
      <c r="C154" s="45">
        <v>45863</v>
      </c>
      <c r="E154" s="72" t="s">
        <v>213</v>
      </c>
      <c r="F154" t="s">
        <v>1162</v>
      </c>
      <c r="G154" s="69">
        <v>1300</v>
      </c>
    </row>
    <row r="155" spans="1:7" ht="17.100000000000001" customHeight="1" x14ac:dyDescent="0.25">
      <c r="A155" s="75">
        <f>IF(C155="","",COUNTA($C$4:C155))</f>
        <v>152</v>
      </c>
      <c r="B155" s="68" t="str">
        <f t="shared" si="1"/>
        <v>July</v>
      </c>
      <c r="C155" s="45">
        <v>45863</v>
      </c>
      <c r="E155" s="72" t="s">
        <v>213</v>
      </c>
      <c r="F155" t="s">
        <v>1228</v>
      </c>
      <c r="G155" s="69">
        <v>3500</v>
      </c>
    </row>
    <row r="156" spans="1:7" ht="17.100000000000001" customHeight="1" x14ac:dyDescent="0.25">
      <c r="A156" s="75">
        <f>IF(C156="","",COUNTA($C$4:C156))</f>
        <v>153</v>
      </c>
      <c r="B156" s="68" t="str">
        <f t="shared" si="1"/>
        <v>July</v>
      </c>
      <c r="C156" s="45">
        <v>45864</v>
      </c>
      <c r="E156" s="72" t="s">
        <v>213</v>
      </c>
      <c r="F156" t="s">
        <v>1229</v>
      </c>
      <c r="G156" s="69">
        <v>749</v>
      </c>
    </row>
    <row r="157" spans="1:7" ht="17.100000000000001" customHeight="1" x14ac:dyDescent="0.25">
      <c r="A157" s="75">
        <f>IF(C157="","",COUNTA($C$4:C157))</f>
        <v>154</v>
      </c>
      <c r="B157" s="68" t="str">
        <f t="shared" si="1"/>
        <v>July</v>
      </c>
      <c r="C157" s="45">
        <v>45864</v>
      </c>
      <c r="E157" s="72" t="s">
        <v>213</v>
      </c>
      <c r="F157" t="s">
        <v>1230</v>
      </c>
      <c r="G157" s="69">
        <v>1545</v>
      </c>
    </row>
    <row r="158" spans="1:7" ht="17.100000000000001" customHeight="1" x14ac:dyDescent="0.25">
      <c r="A158" s="75">
        <f>IF(C158="","",COUNTA($C$4:C158))</f>
        <v>155</v>
      </c>
      <c r="B158" s="68" t="str">
        <f t="shared" ref="B158:B222" si="2">IF(C158="","",TEXT(C158,"mmmm"))</f>
        <v>July</v>
      </c>
      <c r="C158" s="45">
        <v>45866</v>
      </c>
      <c r="E158" s="72" t="s">
        <v>213</v>
      </c>
      <c r="F158" t="s">
        <v>1163</v>
      </c>
      <c r="G158" s="69">
        <v>610</v>
      </c>
    </row>
    <row r="159" spans="1:7" ht="17.100000000000001" customHeight="1" x14ac:dyDescent="0.25">
      <c r="A159" s="75">
        <f>IF(C159="","",COUNTA($C$4:C159))</f>
        <v>156</v>
      </c>
      <c r="B159" s="68" t="str">
        <f t="shared" si="2"/>
        <v>July</v>
      </c>
      <c r="C159" s="45">
        <v>45866</v>
      </c>
      <c r="E159" s="72" t="s">
        <v>213</v>
      </c>
      <c r="F159" t="s">
        <v>1280</v>
      </c>
      <c r="G159" s="69">
        <v>300</v>
      </c>
    </row>
    <row r="160" spans="1:7" ht="17.100000000000001" customHeight="1" x14ac:dyDescent="0.25">
      <c r="A160" s="75">
        <f>IF(C160="","",COUNTA($C$4:C160))</f>
        <v>157</v>
      </c>
      <c r="B160" s="68" t="str">
        <f t="shared" si="2"/>
        <v>July</v>
      </c>
      <c r="C160" s="45">
        <v>45867</v>
      </c>
      <c r="E160" s="72" t="s">
        <v>213</v>
      </c>
      <c r="F160" t="s">
        <v>1164</v>
      </c>
      <c r="G160" s="69">
        <v>1844</v>
      </c>
    </row>
    <row r="161" spans="1:7" ht="17.100000000000001" customHeight="1" x14ac:dyDescent="0.25">
      <c r="A161" s="75">
        <f>IF(C161="","",COUNTA($C$4:C161))</f>
        <v>158</v>
      </c>
      <c r="B161" s="68" t="str">
        <f t="shared" si="2"/>
        <v>July</v>
      </c>
      <c r="C161" s="45">
        <v>45867</v>
      </c>
      <c r="E161" s="72" t="s">
        <v>213</v>
      </c>
      <c r="F161" t="s">
        <v>1231</v>
      </c>
      <c r="G161" s="69">
        <v>4200</v>
      </c>
    </row>
    <row r="162" spans="1:7" ht="17.100000000000001" customHeight="1" x14ac:dyDescent="0.25">
      <c r="A162" s="75">
        <f>IF(C162="","",COUNTA($C$4:C162))</f>
        <v>159</v>
      </c>
      <c r="B162" s="68" t="str">
        <f t="shared" si="2"/>
        <v>July</v>
      </c>
      <c r="C162" s="45">
        <v>45867</v>
      </c>
      <c r="E162" s="72" t="s">
        <v>213</v>
      </c>
      <c r="F162" t="s">
        <v>1232</v>
      </c>
      <c r="G162" s="69">
        <v>980</v>
      </c>
    </row>
    <row r="163" spans="1:7" ht="17.100000000000001" customHeight="1" x14ac:dyDescent="0.25">
      <c r="A163" s="75">
        <f>IF(C163="","",COUNTA($C$4:C163))</f>
        <v>160</v>
      </c>
      <c r="B163" s="68" t="str">
        <f t="shared" si="2"/>
        <v>July</v>
      </c>
      <c r="C163" s="45">
        <v>45867</v>
      </c>
      <c r="E163" s="72" t="s">
        <v>213</v>
      </c>
      <c r="F163" t="s">
        <v>1233</v>
      </c>
      <c r="G163" s="69">
        <v>790</v>
      </c>
    </row>
    <row r="164" spans="1:7" ht="17.100000000000001" customHeight="1" x14ac:dyDescent="0.25">
      <c r="A164" s="75">
        <f>IF(C164="","",COUNTA($C$4:C164))</f>
        <v>161</v>
      </c>
      <c r="B164" s="68" t="str">
        <f t="shared" si="2"/>
        <v>July</v>
      </c>
      <c r="C164" s="45">
        <v>45868</v>
      </c>
      <c r="E164" s="72" t="s">
        <v>213</v>
      </c>
      <c r="F164" t="s">
        <v>1234</v>
      </c>
      <c r="G164" s="69">
        <v>6870</v>
      </c>
    </row>
    <row r="165" spans="1:7" ht="17.100000000000001" customHeight="1" x14ac:dyDescent="0.25">
      <c r="A165" s="75">
        <f>IF(C165="","",COUNTA($C$4:C165))</f>
        <v>162</v>
      </c>
      <c r="B165" s="68" t="str">
        <f t="shared" si="2"/>
        <v>July</v>
      </c>
      <c r="C165" s="45">
        <v>45868</v>
      </c>
      <c r="E165" s="72" t="s">
        <v>213</v>
      </c>
      <c r="F165" t="s">
        <v>590</v>
      </c>
      <c r="G165" s="69">
        <v>1820</v>
      </c>
    </row>
    <row r="166" spans="1:7" ht="17.100000000000001" customHeight="1" x14ac:dyDescent="0.25">
      <c r="A166" s="75">
        <f>IF(C166="","",COUNTA($C$4:C166))</f>
        <v>163</v>
      </c>
      <c r="B166" s="68" t="str">
        <f t="shared" si="2"/>
        <v>July</v>
      </c>
      <c r="C166" s="45">
        <v>45868</v>
      </c>
      <c r="E166" s="72" t="s">
        <v>213</v>
      </c>
      <c r="F166" t="s">
        <v>1235</v>
      </c>
      <c r="G166" s="69">
        <v>1508</v>
      </c>
    </row>
    <row r="167" spans="1:7" ht="17.100000000000001" customHeight="1" x14ac:dyDescent="0.25">
      <c r="A167" s="75">
        <f>IF(C167="","",COUNTA($C$4:C167))</f>
        <v>164</v>
      </c>
      <c r="B167" s="68" t="str">
        <f t="shared" si="2"/>
        <v>July</v>
      </c>
      <c r="C167" s="45">
        <v>45869</v>
      </c>
      <c r="E167" s="72" t="s">
        <v>213</v>
      </c>
      <c r="F167" t="s">
        <v>1236</v>
      </c>
      <c r="G167" s="69">
        <v>300</v>
      </c>
    </row>
    <row r="168" spans="1:7" ht="17.100000000000001" customHeight="1" x14ac:dyDescent="0.25">
      <c r="A168" s="75">
        <f>IF(C168="","",COUNTA($C$4:C168))</f>
        <v>165</v>
      </c>
      <c r="B168" s="68" t="str">
        <f t="shared" si="2"/>
        <v>July</v>
      </c>
      <c r="C168" s="45">
        <v>45869</v>
      </c>
      <c r="E168" s="72" t="s">
        <v>296</v>
      </c>
      <c r="F168" t="s">
        <v>1281</v>
      </c>
      <c r="G168" s="69">
        <v>1508</v>
      </c>
    </row>
    <row r="169" spans="1:7" ht="17.100000000000001" customHeight="1" x14ac:dyDescent="0.25">
      <c r="A169" s="75">
        <f>IF(C169="","",COUNTA($C$4:C169))</f>
        <v>166</v>
      </c>
      <c r="B169" s="68" t="str">
        <f t="shared" si="2"/>
        <v>August</v>
      </c>
      <c r="C169" s="45">
        <v>45870</v>
      </c>
      <c r="E169" s="72" t="s">
        <v>213</v>
      </c>
      <c r="F169" t="s">
        <v>1237</v>
      </c>
      <c r="G169" s="69">
        <v>700</v>
      </c>
    </row>
    <row r="170" spans="1:7" ht="17.100000000000001" customHeight="1" x14ac:dyDescent="0.25">
      <c r="A170" s="75">
        <f>IF(C170="","",COUNTA($C$4:C170))</f>
        <v>167</v>
      </c>
      <c r="B170" s="68" t="str">
        <f t="shared" si="2"/>
        <v>August</v>
      </c>
      <c r="C170" s="45">
        <v>45871</v>
      </c>
      <c r="E170" s="72" t="s">
        <v>213</v>
      </c>
      <c r="F170" t="s">
        <v>1282</v>
      </c>
      <c r="G170" s="69">
        <v>2650</v>
      </c>
    </row>
    <row r="171" spans="1:7" ht="17.100000000000001" customHeight="1" x14ac:dyDescent="0.25">
      <c r="A171" s="75">
        <f>IF(C171="","",COUNTA($C$4:C171))</f>
        <v>168</v>
      </c>
      <c r="B171" s="68" t="str">
        <f t="shared" si="2"/>
        <v>August</v>
      </c>
      <c r="C171" s="45">
        <v>45873</v>
      </c>
      <c r="E171" s="72" t="s">
        <v>213</v>
      </c>
      <c r="F171" t="s">
        <v>1283</v>
      </c>
      <c r="G171" s="69">
        <v>500</v>
      </c>
    </row>
    <row r="172" spans="1:7" ht="17.100000000000001" customHeight="1" x14ac:dyDescent="0.25">
      <c r="A172" s="75">
        <f>IF(C172="","",COUNTA($C$4:C172))</f>
        <v>169</v>
      </c>
      <c r="B172" s="68" t="str">
        <f t="shared" si="2"/>
        <v>August</v>
      </c>
      <c r="C172" s="45">
        <v>45875</v>
      </c>
      <c r="E172" s="72" t="s">
        <v>294</v>
      </c>
      <c r="F172" t="s">
        <v>1284</v>
      </c>
      <c r="G172" s="69">
        <v>944</v>
      </c>
    </row>
    <row r="173" spans="1:7" ht="17.100000000000001" customHeight="1" x14ac:dyDescent="0.25">
      <c r="A173" s="75">
        <f>IF(C173="","",COUNTA($C$4:C173))</f>
        <v>170</v>
      </c>
      <c r="B173" s="68" t="str">
        <f t="shared" si="2"/>
        <v>August</v>
      </c>
      <c r="C173" s="45">
        <v>45876</v>
      </c>
      <c r="E173" s="72" t="s">
        <v>213</v>
      </c>
      <c r="F173" t="s">
        <v>1285</v>
      </c>
      <c r="G173" s="69">
        <v>1400</v>
      </c>
    </row>
    <row r="174" spans="1:7" ht="17.100000000000001" customHeight="1" x14ac:dyDescent="0.25">
      <c r="A174" s="75">
        <f>IF(C174="","",COUNTA($C$4:C174))</f>
        <v>171</v>
      </c>
      <c r="B174" s="68" t="str">
        <f t="shared" si="2"/>
        <v>August</v>
      </c>
      <c r="C174" s="45">
        <v>45877</v>
      </c>
      <c r="E174" s="72" t="s">
        <v>213</v>
      </c>
      <c r="F174" t="s">
        <v>1286</v>
      </c>
      <c r="G174" s="69">
        <v>700</v>
      </c>
    </row>
    <row r="175" spans="1:7" ht="17.100000000000001" customHeight="1" x14ac:dyDescent="0.25">
      <c r="A175" s="75">
        <f>IF(C175="","",COUNTA($C$4:C175))</f>
        <v>172</v>
      </c>
      <c r="B175" s="68" t="str">
        <f t="shared" si="2"/>
        <v>August</v>
      </c>
      <c r="C175" s="45">
        <v>45877</v>
      </c>
      <c r="E175" s="72" t="s">
        <v>213</v>
      </c>
      <c r="F175" t="s">
        <v>1287</v>
      </c>
      <c r="G175" s="69">
        <v>610</v>
      </c>
    </row>
    <row r="176" spans="1:7" ht="17.100000000000001" customHeight="1" x14ac:dyDescent="0.25">
      <c r="A176" s="75">
        <f>IF(C176="","",COUNTA($C$4:C176))</f>
        <v>173</v>
      </c>
      <c r="B176" s="68" t="str">
        <f t="shared" si="2"/>
        <v>August</v>
      </c>
      <c r="C176" s="45">
        <v>45877</v>
      </c>
      <c r="E176" s="72" t="s">
        <v>213</v>
      </c>
      <c r="F176" t="s">
        <v>1163</v>
      </c>
      <c r="G176" s="69">
        <v>250</v>
      </c>
    </row>
    <row r="177" spans="1:7" ht="17.100000000000001" customHeight="1" x14ac:dyDescent="0.25">
      <c r="A177" s="75">
        <f>IF(C177="","",COUNTA($C$4:C177))</f>
        <v>174</v>
      </c>
      <c r="B177" s="68" t="str">
        <f t="shared" si="2"/>
        <v>August</v>
      </c>
      <c r="C177" s="45">
        <v>45878</v>
      </c>
      <c r="E177" s="72" t="s">
        <v>213</v>
      </c>
      <c r="F177" t="s">
        <v>1288</v>
      </c>
      <c r="G177" s="69">
        <v>4000</v>
      </c>
    </row>
    <row r="178" spans="1:7" ht="17.100000000000001" customHeight="1" x14ac:dyDescent="0.25">
      <c r="A178" s="75">
        <f>IF(C178="","",COUNTA($C$4:C178))</f>
        <v>175</v>
      </c>
      <c r="B178" s="68" t="str">
        <f t="shared" si="2"/>
        <v>August</v>
      </c>
      <c r="C178" s="45">
        <v>45878</v>
      </c>
      <c r="E178" s="72" t="s">
        <v>296</v>
      </c>
      <c r="F178" t="s">
        <v>1289</v>
      </c>
      <c r="G178" s="69">
        <v>2400</v>
      </c>
    </row>
    <row r="179" spans="1:7" ht="17.100000000000001" customHeight="1" x14ac:dyDescent="0.25">
      <c r="A179" s="75">
        <f>IF(C179="","",COUNTA($C$4:C179))</f>
        <v>176</v>
      </c>
      <c r="B179" s="68" t="str">
        <f t="shared" si="2"/>
        <v>August</v>
      </c>
      <c r="C179" s="45">
        <v>45878</v>
      </c>
      <c r="E179" s="72" t="s">
        <v>296</v>
      </c>
      <c r="F179" t="s">
        <v>1290</v>
      </c>
      <c r="G179" s="69">
        <v>2000</v>
      </c>
    </row>
    <row r="180" spans="1:7" ht="17.100000000000001" customHeight="1" x14ac:dyDescent="0.25">
      <c r="A180" s="75">
        <f>IF(C180="","",COUNTA($C$4:C180))</f>
        <v>177</v>
      </c>
      <c r="B180" s="68" t="str">
        <f t="shared" si="2"/>
        <v>August</v>
      </c>
      <c r="C180" s="45">
        <v>45878</v>
      </c>
      <c r="E180" s="72" t="s">
        <v>296</v>
      </c>
      <c r="F180" t="s">
        <v>1291</v>
      </c>
      <c r="G180" s="69">
        <v>3686</v>
      </c>
    </row>
    <row r="181" spans="1:7" ht="17.100000000000001" customHeight="1" x14ac:dyDescent="0.25">
      <c r="A181" s="75">
        <f>IF(C181="","",COUNTA($C$4:C181))</f>
        <v>178</v>
      </c>
      <c r="B181" s="68" t="str">
        <f t="shared" si="2"/>
        <v>August</v>
      </c>
      <c r="C181" s="45">
        <v>45878</v>
      </c>
      <c r="E181" s="72" t="s">
        <v>296</v>
      </c>
      <c r="F181" t="s">
        <v>1292</v>
      </c>
      <c r="G181" s="69">
        <v>7718</v>
      </c>
    </row>
    <row r="182" spans="1:7" ht="17.100000000000001" customHeight="1" x14ac:dyDescent="0.25">
      <c r="A182" s="75">
        <f>IF(C182="","",COUNTA($C$4:C182))</f>
        <v>179</v>
      </c>
      <c r="B182" s="68" t="str">
        <f t="shared" si="2"/>
        <v>August</v>
      </c>
      <c r="C182" s="45">
        <v>45878</v>
      </c>
      <c r="D182" s="70" t="s">
        <v>1318</v>
      </c>
      <c r="E182" s="72" t="s">
        <v>296</v>
      </c>
      <c r="F182" t="s">
        <v>1293</v>
      </c>
      <c r="G182" s="69">
        <v>534</v>
      </c>
    </row>
    <row r="183" spans="1:7" ht="17.100000000000001" customHeight="1" x14ac:dyDescent="0.25">
      <c r="A183" s="75">
        <f>IF(C183="","",COUNTA($C$4:C183))</f>
        <v>180</v>
      </c>
      <c r="B183" s="68" t="str">
        <f t="shared" si="2"/>
        <v>August</v>
      </c>
      <c r="C183" s="45">
        <v>45879</v>
      </c>
      <c r="E183" s="72" t="s">
        <v>213</v>
      </c>
      <c r="F183" t="s">
        <v>1294</v>
      </c>
      <c r="G183" s="69">
        <v>550</v>
      </c>
    </row>
    <row r="184" spans="1:7" ht="17.100000000000001" customHeight="1" x14ac:dyDescent="0.25">
      <c r="A184" s="75">
        <f>IF(C184="","",COUNTA($C$4:C184))</f>
        <v>181</v>
      </c>
      <c r="B184" s="68" t="str">
        <f t="shared" si="2"/>
        <v>August</v>
      </c>
      <c r="C184" s="45">
        <v>45883</v>
      </c>
      <c r="E184" s="72" t="s">
        <v>213</v>
      </c>
      <c r="F184" t="s">
        <v>1413</v>
      </c>
      <c r="G184" s="69">
        <v>2700</v>
      </c>
    </row>
    <row r="185" spans="1:7" ht="17.100000000000001" customHeight="1" x14ac:dyDescent="0.25">
      <c r="A185" s="75">
        <f>IF(C185="","",COUNTA($C$4:C185))</f>
        <v>182</v>
      </c>
      <c r="B185" s="68" t="str">
        <f t="shared" si="2"/>
        <v>August</v>
      </c>
      <c r="C185" s="45">
        <v>45884</v>
      </c>
      <c r="E185" s="72" t="s">
        <v>213</v>
      </c>
      <c r="F185" t="s">
        <v>1414</v>
      </c>
      <c r="G185" s="69">
        <v>500</v>
      </c>
    </row>
    <row r="186" spans="1:7" ht="17.100000000000001" customHeight="1" x14ac:dyDescent="0.25">
      <c r="A186" s="75">
        <f>IF(C186="","",COUNTA($C$4:C186))</f>
        <v>183</v>
      </c>
      <c r="B186" s="68" t="str">
        <f t="shared" si="2"/>
        <v>August</v>
      </c>
      <c r="C186" s="45">
        <v>45885</v>
      </c>
      <c r="E186" s="72" t="s">
        <v>213</v>
      </c>
      <c r="F186" t="s">
        <v>1415</v>
      </c>
      <c r="G186" s="69">
        <v>700</v>
      </c>
    </row>
    <row r="187" spans="1:7" ht="17.100000000000001" customHeight="1" x14ac:dyDescent="0.25">
      <c r="A187" s="75">
        <f>IF(C187="","",COUNTA($C$4:C187))</f>
        <v>184</v>
      </c>
      <c r="B187" s="68" t="str">
        <f t="shared" si="2"/>
        <v>August</v>
      </c>
      <c r="C187" s="45">
        <v>45885</v>
      </c>
      <c r="E187" s="72" t="s">
        <v>213</v>
      </c>
      <c r="F187" t="s">
        <v>1416</v>
      </c>
      <c r="G187" s="69">
        <v>5300</v>
      </c>
    </row>
    <row r="188" spans="1:7" ht="17.100000000000001" customHeight="1" x14ac:dyDescent="0.25">
      <c r="A188" s="75">
        <f>IF(C188="","",COUNTA($C$4:C188))</f>
        <v>185</v>
      </c>
      <c r="B188" s="68" t="str">
        <f t="shared" si="2"/>
        <v>August</v>
      </c>
      <c r="C188" s="45">
        <v>45885</v>
      </c>
      <c r="E188" s="72" t="s">
        <v>213</v>
      </c>
      <c r="F188" t="s">
        <v>1417</v>
      </c>
      <c r="G188" s="69">
        <v>5000</v>
      </c>
    </row>
    <row r="189" spans="1:7" ht="17.100000000000001" customHeight="1" x14ac:dyDescent="0.25">
      <c r="A189" s="75">
        <f>IF(C189="","",COUNTA($C$4:C189))</f>
        <v>186</v>
      </c>
      <c r="B189" s="68" t="str">
        <f t="shared" si="2"/>
        <v>August</v>
      </c>
      <c r="C189" s="45">
        <v>45886</v>
      </c>
      <c r="E189" s="72" t="s">
        <v>213</v>
      </c>
      <c r="F189" t="s">
        <v>1418</v>
      </c>
      <c r="G189" s="69">
        <v>708</v>
      </c>
    </row>
    <row r="190" spans="1:7" ht="17.100000000000001" customHeight="1" x14ac:dyDescent="0.25">
      <c r="A190" s="75">
        <f>IF(C190="","",COUNTA($C$4:C190))</f>
        <v>187</v>
      </c>
      <c r="B190" s="68" t="str">
        <f t="shared" si="2"/>
        <v>August</v>
      </c>
      <c r="C190" s="45">
        <v>45887</v>
      </c>
      <c r="E190" s="72" t="s">
        <v>213</v>
      </c>
      <c r="F190" t="s">
        <v>1419</v>
      </c>
      <c r="G190" s="69">
        <v>200</v>
      </c>
    </row>
    <row r="191" spans="1:7" ht="17.100000000000001" customHeight="1" x14ac:dyDescent="0.25">
      <c r="A191" s="75">
        <f>IF(C191="","",COUNTA($C$4:C191))</f>
        <v>188</v>
      </c>
      <c r="B191" s="68" t="str">
        <f t="shared" si="2"/>
        <v>August</v>
      </c>
      <c r="C191" s="45">
        <v>45887</v>
      </c>
      <c r="E191" s="72" t="s">
        <v>213</v>
      </c>
      <c r="F191" t="s">
        <v>1420</v>
      </c>
      <c r="G191" s="69">
        <v>3300</v>
      </c>
    </row>
    <row r="192" spans="1:7" ht="17.100000000000001" customHeight="1" x14ac:dyDescent="0.25">
      <c r="A192" s="75">
        <f>IF(C192="","",COUNTA($C$4:C192))</f>
        <v>189</v>
      </c>
      <c r="B192" s="68" t="str">
        <f t="shared" si="2"/>
        <v>August</v>
      </c>
      <c r="C192" s="45">
        <v>45888</v>
      </c>
      <c r="E192" s="72" t="s">
        <v>221</v>
      </c>
      <c r="F192" t="s">
        <v>1421</v>
      </c>
      <c r="G192" s="69">
        <v>1860</v>
      </c>
    </row>
    <row r="193" spans="1:7" ht="17.100000000000001" customHeight="1" x14ac:dyDescent="0.25">
      <c r="A193" s="75">
        <f>IF(C193="","",COUNTA($C$4:C193))</f>
        <v>190</v>
      </c>
      <c r="B193" s="68" t="str">
        <f t="shared" si="2"/>
        <v>August</v>
      </c>
      <c r="C193" s="45">
        <v>45889</v>
      </c>
      <c r="E193" s="72" t="s">
        <v>221</v>
      </c>
      <c r="F193" t="s">
        <v>1422</v>
      </c>
      <c r="G193" s="69">
        <v>2800</v>
      </c>
    </row>
    <row r="194" spans="1:7" ht="17.100000000000001" customHeight="1" x14ac:dyDescent="0.25">
      <c r="A194" s="75">
        <f>IF(C194="","",COUNTA($C$4:C194))</f>
        <v>191</v>
      </c>
      <c r="B194" s="68" t="str">
        <f t="shared" si="2"/>
        <v>August</v>
      </c>
      <c r="C194" s="45">
        <v>45891</v>
      </c>
      <c r="E194" s="72" t="s">
        <v>213</v>
      </c>
      <c r="F194" t="s">
        <v>1423</v>
      </c>
      <c r="G194" s="69">
        <v>700</v>
      </c>
    </row>
    <row r="195" spans="1:7" ht="17.100000000000001" customHeight="1" x14ac:dyDescent="0.25">
      <c r="A195" s="75">
        <f>IF(C195="","",COUNTA($C$4:C195))</f>
        <v>192</v>
      </c>
      <c r="B195" s="68" t="str">
        <f t="shared" si="2"/>
        <v>August</v>
      </c>
      <c r="C195" s="45">
        <v>45891</v>
      </c>
      <c r="E195" s="72" t="s">
        <v>213</v>
      </c>
      <c r="F195" t="s">
        <v>1424</v>
      </c>
      <c r="G195" s="69">
        <v>1600</v>
      </c>
    </row>
    <row r="196" spans="1:7" ht="17.100000000000001" customHeight="1" x14ac:dyDescent="0.25">
      <c r="A196" s="75">
        <f>IF(C196="","",COUNTA($C$4:C196))</f>
        <v>193</v>
      </c>
      <c r="B196" s="68" t="str">
        <f t="shared" si="2"/>
        <v>August</v>
      </c>
      <c r="C196" s="45">
        <v>45891</v>
      </c>
      <c r="E196" s="72" t="s">
        <v>213</v>
      </c>
      <c r="F196" t="s">
        <v>1425</v>
      </c>
      <c r="G196" s="69">
        <v>380</v>
      </c>
    </row>
    <row r="197" spans="1:7" ht="17.100000000000001" customHeight="1" x14ac:dyDescent="0.25">
      <c r="A197" s="75">
        <f>IF(C197="","",COUNTA($C$4:C197))</f>
        <v>194</v>
      </c>
      <c r="B197" s="68" t="str">
        <f t="shared" si="2"/>
        <v>August</v>
      </c>
      <c r="C197" s="45">
        <v>45892</v>
      </c>
      <c r="E197" s="72" t="s">
        <v>213</v>
      </c>
      <c r="F197" t="s">
        <v>1426</v>
      </c>
      <c r="G197" s="69">
        <v>200</v>
      </c>
    </row>
    <row r="198" spans="1:7" ht="17.100000000000001" customHeight="1" x14ac:dyDescent="0.25">
      <c r="A198" s="75">
        <f>IF(C198="","",COUNTA($C$4:C198))</f>
        <v>195</v>
      </c>
      <c r="B198" s="68" t="str">
        <f t="shared" si="2"/>
        <v>August</v>
      </c>
      <c r="C198" s="45">
        <v>45892</v>
      </c>
      <c r="E198" s="72" t="s">
        <v>213</v>
      </c>
      <c r="F198" t="s">
        <v>538</v>
      </c>
      <c r="G198" s="69">
        <v>4300</v>
      </c>
    </row>
    <row r="199" spans="1:7" ht="17.100000000000001" customHeight="1" x14ac:dyDescent="0.25">
      <c r="A199" s="75">
        <f>IF(C199="","",COUNTA($C$4:C199))</f>
        <v>196</v>
      </c>
      <c r="B199" s="68" t="str">
        <f t="shared" si="2"/>
        <v>August</v>
      </c>
      <c r="C199" s="45">
        <v>45894</v>
      </c>
      <c r="E199" s="72" t="s">
        <v>213</v>
      </c>
      <c r="F199" t="s">
        <v>593</v>
      </c>
      <c r="G199" s="69">
        <v>180</v>
      </c>
    </row>
    <row r="200" spans="1:7" ht="17.100000000000001" customHeight="1" x14ac:dyDescent="0.25">
      <c r="A200" s="75">
        <f>IF(C200="","",COUNTA($C$4:C200))</f>
        <v>197</v>
      </c>
      <c r="B200" s="68" t="str">
        <f t="shared" si="2"/>
        <v>August</v>
      </c>
      <c r="C200" s="45">
        <v>45897</v>
      </c>
      <c r="E200" s="72" t="s">
        <v>789</v>
      </c>
      <c r="F200" t="s">
        <v>1427</v>
      </c>
      <c r="G200" s="69">
        <v>350</v>
      </c>
    </row>
    <row r="201" spans="1:7" ht="17.100000000000001" customHeight="1" x14ac:dyDescent="0.25">
      <c r="A201" s="75">
        <f>IF(C201="","",COUNTA($C$4:C201))</f>
        <v>198</v>
      </c>
      <c r="B201" s="68" t="str">
        <f t="shared" si="2"/>
        <v>August</v>
      </c>
      <c r="C201" s="45">
        <v>45897</v>
      </c>
      <c r="E201" s="72" t="s">
        <v>213</v>
      </c>
      <c r="F201" t="s">
        <v>1428</v>
      </c>
      <c r="G201" s="69">
        <v>2000</v>
      </c>
    </row>
    <row r="202" spans="1:7" ht="17.100000000000001" customHeight="1" x14ac:dyDescent="0.25">
      <c r="A202" s="75">
        <f>IF(C202="","",COUNTA($C$4:C202))</f>
        <v>199</v>
      </c>
      <c r="B202" s="68" t="str">
        <f t="shared" si="2"/>
        <v>August</v>
      </c>
      <c r="C202" s="45">
        <v>45897</v>
      </c>
      <c r="E202" s="72" t="s">
        <v>213</v>
      </c>
      <c r="F202" t="s">
        <v>1429</v>
      </c>
      <c r="G202" s="69">
        <v>310</v>
      </c>
    </row>
    <row r="203" spans="1:7" ht="17.100000000000001" customHeight="1" x14ac:dyDescent="0.25">
      <c r="A203" s="75">
        <f>IF(C203="","",COUNTA($C$4:C203))</f>
        <v>200</v>
      </c>
      <c r="B203" s="68" t="str">
        <f t="shared" si="2"/>
        <v>August</v>
      </c>
      <c r="C203" s="45">
        <v>45898</v>
      </c>
      <c r="E203" s="72" t="s">
        <v>213</v>
      </c>
      <c r="F203" t="s">
        <v>1430</v>
      </c>
      <c r="G203" s="69">
        <v>700</v>
      </c>
    </row>
    <row r="204" spans="1:7" ht="17.100000000000001" customHeight="1" x14ac:dyDescent="0.25">
      <c r="A204" s="75">
        <f>IF(C204="","",COUNTA($C$4:C204))</f>
        <v>201</v>
      </c>
      <c r="B204" s="68" t="str">
        <f t="shared" si="2"/>
        <v>August</v>
      </c>
      <c r="C204" s="45">
        <v>45900</v>
      </c>
      <c r="E204" s="72" t="s">
        <v>1665</v>
      </c>
      <c r="F204" t="s">
        <v>1666</v>
      </c>
      <c r="G204" s="69">
        <v>3996</v>
      </c>
    </row>
    <row r="205" spans="1:7" ht="17.100000000000001" customHeight="1" x14ac:dyDescent="0.25">
      <c r="A205" s="75">
        <f>IF(C205="","",COUNTA($C$4:C205))</f>
        <v>202</v>
      </c>
      <c r="B205" s="68" t="str">
        <f t="shared" si="2"/>
        <v>August</v>
      </c>
      <c r="C205" s="45">
        <v>45900</v>
      </c>
      <c r="E205" s="72" t="s">
        <v>213</v>
      </c>
      <c r="F205" t="s">
        <v>593</v>
      </c>
      <c r="G205" s="69">
        <v>380</v>
      </c>
    </row>
    <row r="206" spans="1:7" ht="17.100000000000001" customHeight="1" x14ac:dyDescent="0.25">
      <c r="A206" s="75">
        <f>IF(C206="","",COUNTA($C$4:C206))</f>
        <v>203</v>
      </c>
      <c r="B206" s="68" t="str">
        <f t="shared" si="2"/>
        <v>September</v>
      </c>
      <c r="C206" s="45">
        <v>45901</v>
      </c>
      <c r="E206" s="72" t="s">
        <v>213</v>
      </c>
      <c r="F206" t="s">
        <v>229</v>
      </c>
      <c r="G206" s="69">
        <v>3706</v>
      </c>
    </row>
    <row r="207" spans="1:7" ht="17.100000000000001" customHeight="1" x14ac:dyDescent="0.25">
      <c r="A207" s="75">
        <f>IF(C207="","",COUNTA($C$4:C207))</f>
        <v>204</v>
      </c>
      <c r="B207" s="68" t="str">
        <f t="shared" si="2"/>
        <v>September</v>
      </c>
      <c r="C207" s="45">
        <v>45905</v>
      </c>
      <c r="E207" s="72" t="s">
        <v>213</v>
      </c>
      <c r="F207" t="s">
        <v>1667</v>
      </c>
      <c r="G207" s="69">
        <v>700</v>
      </c>
    </row>
    <row r="208" spans="1:7" ht="17.100000000000001" customHeight="1" x14ac:dyDescent="0.25">
      <c r="A208" s="75">
        <f>IF(C208="","",COUNTA($C$4:C208))</f>
        <v>205</v>
      </c>
      <c r="B208" s="68" t="str">
        <f t="shared" si="2"/>
        <v>September</v>
      </c>
      <c r="C208" s="45">
        <v>45909</v>
      </c>
      <c r="E208" s="72" t="s">
        <v>213</v>
      </c>
      <c r="F208" t="s">
        <v>1668</v>
      </c>
      <c r="G208" s="69">
        <v>350</v>
      </c>
    </row>
    <row r="209" spans="1:7" ht="17.100000000000001" customHeight="1" x14ac:dyDescent="0.25">
      <c r="A209" s="75">
        <f>IF(C209="","",COUNTA($C$4:C209))</f>
        <v>206</v>
      </c>
      <c r="B209" s="68" t="str">
        <f t="shared" si="2"/>
        <v>September</v>
      </c>
      <c r="C209" s="45">
        <v>45909</v>
      </c>
      <c r="E209" s="72" t="s">
        <v>213</v>
      </c>
      <c r="F209" t="s">
        <v>1669</v>
      </c>
      <c r="G209" s="69">
        <v>200</v>
      </c>
    </row>
    <row r="210" spans="1:7" ht="17.100000000000001" customHeight="1" x14ac:dyDescent="0.25">
      <c r="A210" s="75">
        <f>IF(C210="","",COUNTA($C$4:C210))</f>
        <v>207</v>
      </c>
      <c r="B210" s="68" t="str">
        <f t="shared" si="2"/>
        <v>September</v>
      </c>
      <c r="C210" s="45">
        <v>45909</v>
      </c>
      <c r="E210" s="72" t="s">
        <v>213</v>
      </c>
      <c r="F210" t="s">
        <v>1670</v>
      </c>
      <c r="G210" s="69">
        <v>200</v>
      </c>
    </row>
    <row r="211" spans="1:7" ht="17.100000000000001" customHeight="1" x14ac:dyDescent="0.25">
      <c r="A211" s="75">
        <f>IF(C211="","",COUNTA($C$4:C211))</f>
        <v>208</v>
      </c>
      <c r="B211" s="68" t="str">
        <f t="shared" si="2"/>
        <v>September</v>
      </c>
      <c r="C211" s="45">
        <v>45910</v>
      </c>
      <c r="E211" s="72" t="s">
        <v>213</v>
      </c>
      <c r="F211" t="s">
        <v>1671</v>
      </c>
      <c r="G211" s="69">
        <v>550</v>
      </c>
    </row>
    <row r="212" spans="1:7" ht="17.100000000000001" customHeight="1" x14ac:dyDescent="0.25">
      <c r="A212" s="75">
        <f>IF(C212="","",COUNTA($C$4:C212))</f>
        <v>209</v>
      </c>
      <c r="B212" s="68" t="str">
        <f t="shared" si="2"/>
        <v>September</v>
      </c>
      <c r="C212" s="45">
        <v>45910</v>
      </c>
      <c r="E212" s="72" t="s">
        <v>296</v>
      </c>
      <c r="F212" t="s">
        <v>1672</v>
      </c>
      <c r="G212" s="69">
        <v>924</v>
      </c>
    </row>
    <row r="213" spans="1:7" ht="17.100000000000001" customHeight="1" x14ac:dyDescent="0.25">
      <c r="A213" s="75">
        <f>IF(C213="","",COUNTA($C$4:C213))</f>
        <v>210</v>
      </c>
      <c r="B213" s="68" t="str">
        <f t="shared" si="2"/>
        <v>September</v>
      </c>
      <c r="C213" s="45">
        <v>45910</v>
      </c>
      <c r="E213" s="72" t="s">
        <v>296</v>
      </c>
      <c r="F213" t="s">
        <v>1673</v>
      </c>
      <c r="G213" s="69">
        <v>380</v>
      </c>
    </row>
    <row r="214" spans="1:7" ht="17.100000000000001" customHeight="1" x14ac:dyDescent="0.25">
      <c r="A214" s="75">
        <f>IF(C214="","",COUNTA($C$4:C214))</f>
        <v>211</v>
      </c>
      <c r="B214" s="68" t="str">
        <f t="shared" si="2"/>
        <v>September</v>
      </c>
      <c r="C214" s="45">
        <v>45910</v>
      </c>
      <c r="E214" s="72" t="s">
        <v>296</v>
      </c>
      <c r="F214" t="s">
        <v>1674</v>
      </c>
      <c r="G214" s="69">
        <v>500</v>
      </c>
    </row>
    <row r="215" spans="1:7" ht="17.100000000000001" customHeight="1" x14ac:dyDescent="0.25">
      <c r="A215" s="75">
        <f>IF(C215="","",COUNTA($C$4:C215))</f>
        <v>212</v>
      </c>
      <c r="B215" s="68" t="str">
        <f t="shared" si="2"/>
        <v>September</v>
      </c>
      <c r="C215" s="45">
        <v>45910</v>
      </c>
      <c r="E215" s="72" t="s">
        <v>296</v>
      </c>
      <c r="F215" t="s">
        <v>1675</v>
      </c>
      <c r="G215" s="69">
        <v>295</v>
      </c>
    </row>
    <row r="216" spans="1:7" ht="17.100000000000001" customHeight="1" x14ac:dyDescent="0.25">
      <c r="A216" s="75">
        <f>IF(C216="","",COUNTA($C$4:C216))</f>
        <v>213</v>
      </c>
      <c r="B216" s="68" t="str">
        <f t="shared" si="2"/>
        <v>September</v>
      </c>
      <c r="C216" s="45">
        <v>45910</v>
      </c>
      <c r="E216" s="72" t="s">
        <v>296</v>
      </c>
      <c r="F216" t="s">
        <v>1676</v>
      </c>
      <c r="G216" s="69">
        <v>3597</v>
      </c>
    </row>
    <row r="217" spans="1:7" ht="17.100000000000001" customHeight="1" x14ac:dyDescent="0.25">
      <c r="A217" s="75">
        <f>IF(C217="","",COUNTA($C$4:C217))</f>
        <v>214</v>
      </c>
      <c r="B217" s="68" t="str">
        <f t="shared" si="2"/>
        <v>September</v>
      </c>
      <c r="C217" s="45">
        <v>45910</v>
      </c>
      <c r="E217" s="72" t="s">
        <v>296</v>
      </c>
      <c r="F217" t="s">
        <v>1677</v>
      </c>
      <c r="G217" s="69">
        <v>7520</v>
      </c>
    </row>
    <row r="218" spans="1:7" ht="17.100000000000001" customHeight="1" x14ac:dyDescent="0.25">
      <c r="A218" s="75">
        <f>IF(C218="","",COUNTA($C$4:C218))</f>
        <v>215</v>
      </c>
      <c r="B218" s="68" t="str">
        <f t="shared" si="2"/>
        <v>September</v>
      </c>
      <c r="C218" s="45">
        <v>45910</v>
      </c>
      <c r="E218" s="72" t="s">
        <v>296</v>
      </c>
      <c r="F218" t="s">
        <v>1678</v>
      </c>
      <c r="G218" s="69">
        <v>1700</v>
      </c>
    </row>
    <row r="219" spans="1:7" ht="17.100000000000001" customHeight="1" x14ac:dyDescent="0.25">
      <c r="A219" s="75">
        <f>IF(C219="","",COUNTA($C$4:C219))</f>
        <v>216</v>
      </c>
      <c r="B219" s="68" t="str">
        <f t="shared" si="2"/>
        <v>September</v>
      </c>
      <c r="C219" s="45">
        <v>45911</v>
      </c>
      <c r="E219" s="72" t="s">
        <v>213</v>
      </c>
      <c r="F219" t="s">
        <v>1679</v>
      </c>
      <c r="G219" s="69">
        <v>4000</v>
      </c>
    </row>
    <row r="220" spans="1:7" ht="17.100000000000001" customHeight="1" x14ac:dyDescent="0.25">
      <c r="A220" s="75">
        <f>IF(C220="","",COUNTA($C$4:C220))</f>
        <v>217</v>
      </c>
      <c r="B220" s="68" t="str">
        <f t="shared" si="2"/>
        <v>September</v>
      </c>
      <c r="C220" s="45">
        <v>45912</v>
      </c>
      <c r="E220" s="72" t="s">
        <v>213</v>
      </c>
      <c r="F220" t="s">
        <v>1680</v>
      </c>
      <c r="G220" s="69">
        <v>210</v>
      </c>
    </row>
    <row r="221" spans="1:7" ht="17.100000000000001" customHeight="1" x14ac:dyDescent="0.25">
      <c r="A221" s="75">
        <f>IF(C221="","",COUNTA($C$4:C221))</f>
        <v>218</v>
      </c>
      <c r="B221" s="68" t="str">
        <f t="shared" si="2"/>
        <v>September</v>
      </c>
      <c r="C221" s="45">
        <v>45912</v>
      </c>
      <c r="E221" s="72" t="s">
        <v>213</v>
      </c>
      <c r="F221" t="s">
        <v>1681</v>
      </c>
      <c r="G221" s="69">
        <v>3300</v>
      </c>
    </row>
    <row r="222" spans="1:7" ht="17.100000000000001" customHeight="1" x14ac:dyDescent="0.25">
      <c r="A222" s="75">
        <f>IF(C222="","",COUNTA($C$4:C222))</f>
        <v>219</v>
      </c>
      <c r="B222" s="68" t="str">
        <f t="shared" si="2"/>
        <v>September</v>
      </c>
      <c r="C222" s="45">
        <v>45912</v>
      </c>
      <c r="E222" s="72" t="s">
        <v>213</v>
      </c>
      <c r="F222" t="s">
        <v>1682</v>
      </c>
      <c r="G222" s="69">
        <v>700</v>
      </c>
    </row>
    <row r="223" spans="1:7" ht="17.100000000000001" customHeight="1" x14ac:dyDescent="0.25">
      <c r="A223" s="75">
        <f>IF(C223="","",COUNTA($C$4:C223))</f>
        <v>220</v>
      </c>
      <c r="B223" s="68" t="str">
        <f t="shared" ref="B223:B296" si="3">IF(C223="","",TEXT(C223,"mmmm"))</f>
        <v>September</v>
      </c>
      <c r="C223" s="45">
        <v>45912</v>
      </c>
      <c r="E223" s="72" t="s">
        <v>213</v>
      </c>
      <c r="F223" t="s">
        <v>1683</v>
      </c>
      <c r="G223" s="69">
        <v>200</v>
      </c>
    </row>
    <row r="224" spans="1:7" ht="17.100000000000001" customHeight="1" x14ac:dyDescent="0.25">
      <c r="A224" s="75">
        <f>IF(C224="","",COUNTA($C$4:C224))</f>
        <v>221</v>
      </c>
      <c r="B224" s="68" t="str">
        <f t="shared" si="3"/>
        <v>September</v>
      </c>
      <c r="C224" s="45">
        <v>45912</v>
      </c>
      <c r="E224" s="72" t="s">
        <v>213</v>
      </c>
      <c r="F224" t="s">
        <v>1684</v>
      </c>
      <c r="G224" s="69">
        <v>2000</v>
      </c>
    </row>
    <row r="225" spans="1:7" ht="17.100000000000001" customHeight="1" x14ac:dyDescent="0.25">
      <c r="A225" s="75">
        <f>IF(C225="","",COUNTA($C$4:C225))</f>
        <v>222</v>
      </c>
      <c r="B225" s="68" t="str">
        <f t="shared" si="3"/>
        <v>September</v>
      </c>
      <c r="C225" s="45">
        <v>45913</v>
      </c>
      <c r="E225" s="72" t="s">
        <v>213</v>
      </c>
      <c r="F225" t="s">
        <v>1685</v>
      </c>
      <c r="G225" s="69">
        <v>1380</v>
      </c>
    </row>
    <row r="226" spans="1:7" ht="17.100000000000001" customHeight="1" x14ac:dyDescent="0.25">
      <c r="A226" s="75">
        <f>IF(C226="","",COUNTA($C$4:C226))</f>
        <v>223</v>
      </c>
      <c r="B226" s="68" t="str">
        <f t="shared" si="3"/>
        <v>September</v>
      </c>
      <c r="C226" s="45">
        <v>45913</v>
      </c>
      <c r="E226" s="72" t="s">
        <v>213</v>
      </c>
      <c r="F226" t="s">
        <v>1686</v>
      </c>
      <c r="G226" s="69">
        <v>1623</v>
      </c>
    </row>
    <row r="227" spans="1:7" ht="17.100000000000001" customHeight="1" x14ac:dyDescent="0.25">
      <c r="A227" s="75">
        <f>IF(C227="","",COUNTA($C$4:C227))</f>
        <v>224</v>
      </c>
      <c r="B227" s="68" t="str">
        <f t="shared" si="3"/>
        <v>September</v>
      </c>
      <c r="C227" s="45">
        <v>45916</v>
      </c>
      <c r="E227" s="72" t="s">
        <v>296</v>
      </c>
      <c r="F227" t="s">
        <v>1985</v>
      </c>
      <c r="G227" s="69">
        <v>7005</v>
      </c>
    </row>
    <row r="228" spans="1:7" ht="17.100000000000001" customHeight="1" x14ac:dyDescent="0.25">
      <c r="A228" s="75">
        <f>IF(C228="","",COUNTA($C$4:C228))</f>
        <v>225</v>
      </c>
      <c r="B228" s="68" t="str">
        <f t="shared" si="3"/>
        <v>September</v>
      </c>
      <c r="C228" s="45">
        <v>45918</v>
      </c>
      <c r="E228" s="72" t="s">
        <v>213</v>
      </c>
      <c r="F228" t="s">
        <v>1687</v>
      </c>
      <c r="G228" s="69">
        <v>962</v>
      </c>
    </row>
    <row r="229" spans="1:7" ht="17.100000000000001" customHeight="1" x14ac:dyDescent="0.25">
      <c r="A229" s="75">
        <f>IF(C229="","",COUNTA($C$4:C229))</f>
        <v>226</v>
      </c>
      <c r="B229" s="68" t="str">
        <f t="shared" si="3"/>
        <v>September</v>
      </c>
      <c r="C229" s="45">
        <v>45919</v>
      </c>
      <c r="E229" s="72" t="s">
        <v>213</v>
      </c>
      <c r="F229" t="s">
        <v>1688</v>
      </c>
      <c r="G229" s="69">
        <v>700</v>
      </c>
    </row>
    <row r="230" spans="1:7" ht="17.100000000000001" customHeight="1" x14ac:dyDescent="0.25">
      <c r="A230" s="75">
        <f>IF(C230="","",COUNTA($C$4:C230))</f>
        <v>227</v>
      </c>
      <c r="B230" s="68" t="str">
        <f t="shared" si="3"/>
        <v>September</v>
      </c>
      <c r="C230" s="45">
        <v>45923</v>
      </c>
      <c r="E230" s="72" t="s">
        <v>789</v>
      </c>
      <c r="F230" t="s">
        <v>1689</v>
      </c>
      <c r="G230" s="69">
        <v>350</v>
      </c>
    </row>
    <row r="231" spans="1:7" ht="17.100000000000001" customHeight="1" x14ac:dyDescent="0.25">
      <c r="A231" s="75">
        <f>IF(C231="","",COUNTA($C$4:C231))</f>
        <v>228</v>
      </c>
      <c r="B231" s="68" t="str">
        <f t="shared" si="3"/>
        <v>September</v>
      </c>
      <c r="C231" s="45">
        <v>45926</v>
      </c>
      <c r="E231" s="72" t="s">
        <v>213</v>
      </c>
      <c r="F231" t="s">
        <v>1690</v>
      </c>
      <c r="G231" s="69">
        <v>700</v>
      </c>
    </row>
    <row r="232" spans="1:7" ht="17.100000000000001" customHeight="1" x14ac:dyDescent="0.25">
      <c r="A232" s="75">
        <f>IF(C232="","",COUNTA($C$4:C232))</f>
        <v>229</v>
      </c>
      <c r="B232" s="68" t="str">
        <f t="shared" si="3"/>
        <v>September</v>
      </c>
      <c r="C232" s="45">
        <v>45927</v>
      </c>
      <c r="E232" s="72" t="s">
        <v>1691</v>
      </c>
      <c r="F232" t="s">
        <v>1692</v>
      </c>
      <c r="G232" s="69">
        <v>350</v>
      </c>
    </row>
    <row r="233" spans="1:7" ht="17.100000000000001" customHeight="1" x14ac:dyDescent="0.25">
      <c r="A233" s="75">
        <f>IF(C233="","",COUNTA($C$4:C233))</f>
        <v>230</v>
      </c>
      <c r="B233" s="68" t="str">
        <f t="shared" si="3"/>
        <v>September</v>
      </c>
      <c r="C233" s="45">
        <v>45929</v>
      </c>
      <c r="E233" s="72" t="s">
        <v>213</v>
      </c>
      <c r="F233" t="s">
        <v>1693</v>
      </c>
      <c r="G233" s="69">
        <v>1430</v>
      </c>
    </row>
    <row r="234" spans="1:7" ht="17.100000000000001" customHeight="1" x14ac:dyDescent="0.25">
      <c r="A234" s="75">
        <f>IF(C234="","",COUNTA($C$4:C234))</f>
        <v>231</v>
      </c>
      <c r="B234" s="68" t="str">
        <f t="shared" si="3"/>
        <v>September</v>
      </c>
      <c r="C234" s="45">
        <v>45929</v>
      </c>
      <c r="E234" s="72" t="s">
        <v>213</v>
      </c>
      <c r="F234" t="s">
        <v>1694</v>
      </c>
      <c r="G234" s="69">
        <v>150</v>
      </c>
    </row>
    <row r="235" spans="1:7" ht="17.100000000000001" customHeight="1" x14ac:dyDescent="0.25">
      <c r="A235" s="75">
        <f>IF(C235="","",COUNTA($C$4:C235))</f>
        <v>232</v>
      </c>
      <c r="B235" s="68" t="str">
        <f t="shared" si="3"/>
        <v>September</v>
      </c>
      <c r="C235" s="45">
        <v>45929</v>
      </c>
      <c r="E235" s="72" t="s">
        <v>213</v>
      </c>
      <c r="F235" t="s">
        <v>1695</v>
      </c>
      <c r="G235" s="69">
        <v>200</v>
      </c>
    </row>
    <row r="236" spans="1:7" ht="17.100000000000001" customHeight="1" x14ac:dyDescent="0.25">
      <c r="A236" s="75">
        <f>IF(C236="","",COUNTA($C$4:C236))</f>
        <v>233</v>
      </c>
      <c r="B236" s="68" t="str">
        <f t="shared" si="3"/>
        <v>September</v>
      </c>
      <c r="C236" s="45">
        <v>45929</v>
      </c>
      <c r="E236" s="72" t="s">
        <v>213</v>
      </c>
      <c r="F236" t="s">
        <v>1907</v>
      </c>
      <c r="G236" s="69">
        <v>6800</v>
      </c>
    </row>
    <row r="237" spans="1:7" ht="17.100000000000001" customHeight="1" x14ac:dyDescent="0.25">
      <c r="A237" s="75">
        <f>IF(C237="","",COUNTA($C$4:C237))</f>
        <v>234</v>
      </c>
      <c r="B237" s="68" t="str">
        <f t="shared" si="3"/>
        <v>September</v>
      </c>
      <c r="C237" s="45">
        <v>45930</v>
      </c>
      <c r="E237" s="72" t="s">
        <v>296</v>
      </c>
      <c r="F237" t="s">
        <v>1985</v>
      </c>
      <c r="G237" s="69">
        <v>7206</v>
      </c>
    </row>
    <row r="238" spans="1:7" ht="17.100000000000001" customHeight="1" x14ac:dyDescent="0.25">
      <c r="A238" s="75">
        <f>IF(C238="","",COUNTA($C$4:C238))</f>
        <v>235</v>
      </c>
      <c r="B238" s="68" t="str">
        <f t="shared" si="3"/>
        <v>September</v>
      </c>
      <c r="C238" s="45">
        <v>45930</v>
      </c>
      <c r="E238" s="72" t="s">
        <v>213</v>
      </c>
      <c r="F238" t="s">
        <v>1908</v>
      </c>
      <c r="G238" s="69">
        <v>6250</v>
      </c>
    </row>
    <row r="239" spans="1:7" ht="17.100000000000001" customHeight="1" x14ac:dyDescent="0.25">
      <c r="A239" s="75">
        <f>IF(C239="","",COUNTA($C$4:C239))</f>
        <v>236</v>
      </c>
      <c r="B239" s="68" t="str">
        <f t="shared" si="3"/>
        <v>September</v>
      </c>
      <c r="C239" s="45">
        <v>45930</v>
      </c>
      <c r="E239" s="72" t="s">
        <v>213</v>
      </c>
      <c r="F239" t="s">
        <v>1909</v>
      </c>
      <c r="G239" s="69">
        <v>5560</v>
      </c>
    </row>
    <row r="240" spans="1:7" ht="17.100000000000001" customHeight="1" x14ac:dyDescent="0.25">
      <c r="A240" s="75">
        <f>IF(C240="","",COUNTA($C$4:C240))</f>
        <v>237</v>
      </c>
      <c r="B240" s="68" t="str">
        <f t="shared" si="3"/>
        <v>September</v>
      </c>
      <c r="C240" s="45">
        <v>45930</v>
      </c>
      <c r="E240" s="72" t="s">
        <v>213</v>
      </c>
      <c r="F240" t="s">
        <v>1910</v>
      </c>
      <c r="G240" s="69">
        <v>4800</v>
      </c>
    </row>
    <row r="241" spans="1:7" ht="17.100000000000001" customHeight="1" x14ac:dyDescent="0.25">
      <c r="A241" s="75">
        <f>IF(C241="","",COUNTA($C$4:C241))</f>
        <v>238</v>
      </c>
      <c r="B241" s="68" t="str">
        <f t="shared" si="3"/>
        <v>September</v>
      </c>
      <c r="C241" s="45">
        <v>45930</v>
      </c>
      <c r="E241" s="72" t="s">
        <v>213</v>
      </c>
      <c r="F241" t="s">
        <v>1911</v>
      </c>
      <c r="G241" s="69">
        <v>6110</v>
      </c>
    </row>
    <row r="242" spans="1:7" ht="17.100000000000001" customHeight="1" x14ac:dyDescent="0.25">
      <c r="A242" s="75">
        <f>IF(C242="","",COUNTA($C$4:C242))</f>
        <v>239</v>
      </c>
      <c r="B242" s="68" t="str">
        <f t="shared" si="3"/>
        <v>October</v>
      </c>
      <c r="C242" s="45">
        <v>45933</v>
      </c>
      <c r="E242" s="72" t="s">
        <v>213</v>
      </c>
      <c r="F242" t="s">
        <v>1912</v>
      </c>
      <c r="G242" s="69">
        <v>700</v>
      </c>
    </row>
    <row r="243" spans="1:7" ht="17.100000000000001" customHeight="1" x14ac:dyDescent="0.25">
      <c r="A243" s="75">
        <f>IF(C243="","",COUNTA($C$4:C243))</f>
        <v>240</v>
      </c>
      <c r="B243" s="68" t="str">
        <f t="shared" si="3"/>
        <v>October</v>
      </c>
      <c r="C243" s="45">
        <v>45933</v>
      </c>
      <c r="E243" s="72" t="s">
        <v>221</v>
      </c>
      <c r="F243" t="s">
        <v>1913</v>
      </c>
      <c r="G243" s="69">
        <v>2742</v>
      </c>
    </row>
    <row r="244" spans="1:7" ht="17.100000000000001" customHeight="1" x14ac:dyDescent="0.25">
      <c r="A244" s="75">
        <f>IF(C244="","",COUNTA($C$4:C244))</f>
        <v>241</v>
      </c>
      <c r="B244" s="68" t="str">
        <f t="shared" si="3"/>
        <v>October</v>
      </c>
      <c r="C244" s="45">
        <v>45934</v>
      </c>
      <c r="E244" s="72" t="s">
        <v>213</v>
      </c>
      <c r="F244" t="s">
        <v>1914</v>
      </c>
      <c r="G244" s="69">
        <v>2240</v>
      </c>
    </row>
    <row r="245" spans="1:7" ht="17.100000000000001" customHeight="1" x14ac:dyDescent="0.25">
      <c r="A245" s="75">
        <f>IF(C245="","",COUNTA($C$4:C245))</f>
        <v>242</v>
      </c>
      <c r="B245" s="68" t="str">
        <f t="shared" si="3"/>
        <v>October</v>
      </c>
      <c r="C245" s="45">
        <v>45936</v>
      </c>
      <c r="E245" s="72" t="s">
        <v>213</v>
      </c>
      <c r="F245" t="s">
        <v>1915</v>
      </c>
      <c r="G245" s="69">
        <v>1290</v>
      </c>
    </row>
    <row r="246" spans="1:7" ht="17.100000000000001" customHeight="1" x14ac:dyDescent="0.25">
      <c r="A246" s="75">
        <f>IF(C246="","",COUNTA($C$4:C246))</f>
        <v>243</v>
      </c>
      <c r="B246" s="68" t="str">
        <f t="shared" si="3"/>
        <v>October</v>
      </c>
      <c r="C246" s="45">
        <v>45938</v>
      </c>
      <c r="E246" s="72" t="s">
        <v>213</v>
      </c>
      <c r="F246" t="s">
        <v>1916</v>
      </c>
      <c r="G246" s="69">
        <v>290</v>
      </c>
    </row>
    <row r="247" spans="1:7" ht="17.100000000000001" customHeight="1" x14ac:dyDescent="0.25">
      <c r="A247" s="75">
        <f>IF(C247="","",COUNTA($C$4:C247))</f>
        <v>244</v>
      </c>
      <c r="B247" s="68" t="str">
        <f t="shared" si="3"/>
        <v>October</v>
      </c>
      <c r="C247" s="45">
        <v>45938</v>
      </c>
      <c r="E247" s="72" t="s">
        <v>213</v>
      </c>
      <c r="F247" t="s">
        <v>1917</v>
      </c>
      <c r="G247" s="69">
        <v>550</v>
      </c>
    </row>
    <row r="248" spans="1:7" ht="17.100000000000001" customHeight="1" x14ac:dyDescent="0.25">
      <c r="A248" s="75">
        <f>IF(C248="","",COUNTA($C$4:C248))</f>
        <v>245</v>
      </c>
      <c r="B248" s="68" t="str">
        <f t="shared" si="3"/>
        <v>October</v>
      </c>
      <c r="C248" s="45">
        <v>45939</v>
      </c>
      <c r="E248" s="72" t="s">
        <v>213</v>
      </c>
      <c r="F248" t="s">
        <v>1918</v>
      </c>
      <c r="G248" s="69">
        <v>4000</v>
      </c>
    </row>
    <row r="249" spans="1:7" ht="17.100000000000001" customHeight="1" x14ac:dyDescent="0.25">
      <c r="A249" s="75">
        <f>IF(C249="","",COUNTA($C$4:C249))</f>
        <v>246</v>
      </c>
      <c r="B249" s="68" t="str">
        <f t="shared" si="3"/>
        <v>October</v>
      </c>
      <c r="C249" s="45">
        <v>45939</v>
      </c>
      <c r="E249" s="72" t="s">
        <v>213</v>
      </c>
      <c r="F249" t="s">
        <v>1919</v>
      </c>
      <c r="G249" s="69">
        <v>1610</v>
      </c>
    </row>
    <row r="250" spans="1:7" ht="17.100000000000001" customHeight="1" x14ac:dyDescent="0.25">
      <c r="A250" s="75">
        <f>IF(C250="","",COUNTA($C$4:C250))</f>
        <v>247</v>
      </c>
      <c r="B250" s="68" t="str">
        <f t="shared" si="3"/>
        <v>October</v>
      </c>
      <c r="C250" s="45">
        <v>45940</v>
      </c>
      <c r="E250" s="72" t="s">
        <v>213</v>
      </c>
      <c r="F250" t="s">
        <v>1920</v>
      </c>
      <c r="G250" s="69">
        <v>700</v>
      </c>
    </row>
    <row r="251" spans="1:7" ht="17.100000000000001" customHeight="1" x14ac:dyDescent="0.25">
      <c r="A251" s="75">
        <f>IF(C251="","",COUNTA($C$4:C251))</f>
        <v>248</v>
      </c>
      <c r="B251" s="68" t="str">
        <f t="shared" si="3"/>
        <v>October</v>
      </c>
      <c r="C251" s="45">
        <v>45940</v>
      </c>
      <c r="E251" s="72" t="s">
        <v>213</v>
      </c>
      <c r="F251" t="s">
        <v>1921</v>
      </c>
      <c r="G251" s="69">
        <v>150</v>
      </c>
    </row>
    <row r="252" spans="1:7" ht="17.100000000000001" customHeight="1" x14ac:dyDescent="0.25">
      <c r="A252" s="75">
        <f>IF(C252="","",COUNTA($C$4:C252))</f>
        <v>249</v>
      </c>
      <c r="B252" s="68" t="str">
        <f t="shared" si="3"/>
        <v>October</v>
      </c>
      <c r="C252" s="45">
        <v>45940</v>
      </c>
      <c r="E252" s="72" t="s">
        <v>213</v>
      </c>
      <c r="F252" t="s">
        <v>1922</v>
      </c>
      <c r="G252" s="69">
        <v>3300</v>
      </c>
    </row>
    <row r="253" spans="1:7" ht="17.100000000000001" customHeight="1" x14ac:dyDescent="0.25">
      <c r="A253" s="75">
        <f>IF(C253="","",COUNTA($C$4:C253))</f>
        <v>250</v>
      </c>
      <c r="B253" s="68" t="str">
        <f t="shared" si="3"/>
        <v>October</v>
      </c>
      <c r="C253" s="45">
        <v>45941</v>
      </c>
      <c r="E253" s="72" t="s">
        <v>213</v>
      </c>
      <c r="F253" t="s">
        <v>1923</v>
      </c>
      <c r="G253" s="69">
        <v>3570</v>
      </c>
    </row>
    <row r="254" spans="1:7" ht="17.100000000000001" customHeight="1" x14ac:dyDescent="0.25">
      <c r="A254" s="75">
        <f>IF(C254="","",COUNTA($C$4:C254))</f>
        <v>251</v>
      </c>
      <c r="B254" s="68" t="str">
        <f t="shared" si="3"/>
        <v>October</v>
      </c>
      <c r="C254" s="45">
        <v>45943</v>
      </c>
      <c r="E254" s="72" t="s">
        <v>213</v>
      </c>
      <c r="F254" t="s">
        <v>1924</v>
      </c>
      <c r="G254" s="69">
        <v>840</v>
      </c>
    </row>
    <row r="255" spans="1:7" ht="17.100000000000001" customHeight="1" x14ac:dyDescent="0.25">
      <c r="A255" s="75">
        <f>IF(C255="","",COUNTA($C$4:C255))</f>
        <v>252</v>
      </c>
      <c r="B255" s="68" t="str">
        <f t="shared" si="3"/>
        <v>October</v>
      </c>
      <c r="C255" s="45">
        <v>45944</v>
      </c>
      <c r="E255" s="72" t="s">
        <v>213</v>
      </c>
      <c r="F255" t="s">
        <v>1921</v>
      </c>
      <c r="G255" s="69">
        <v>150</v>
      </c>
    </row>
    <row r="256" spans="1:7" ht="17.100000000000001" customHeight="1" x14ac:dyDescent="0.25">
      <c r="A256" s="75">
        <f>IF(C256="","",COUNTA($C$4:C256))</f>
        <v>253</v>
      </c>
      <c r="B256" s="68" t="str">
        <f t="shared" si="3"/>
        <v>October</v>
      </c>
      <c r="C256" s="45">
        <v>45945</v>
      </c>
      <c r="E256" s="72" t="s">
        <v>213</v>
      </c>
      <c r="F256" t="s">
        <v>1986</v>
      </c>
      <c r="G256" s="69">
        <v>1107</v>
      </c>
    </row>
    <row r="257" spans="1:7" ht="17.100000000000001" customHeight="1" x14ac:dyDescent="0.25">
      <c r="A257" s="75">
        <f>IF(C257="","",COUNTA($C$4:C257))</f>
        <v>254</v>
      </c>
      <c r="B257" s="68" t="str">
        <f t="shared" si="3"/>
        <v>October</v>
      </c>
      <c r="C257" s="45">
        <v>45947</v>
      </c>
      <c r="E257" s="72" t="s">
        <v>296</v>
      </c>
      <c r="F257" t="s">
        <v>1987</v>
      </c>
      <c r="G257" s="69">
        <v>6148</v>
      </c>
    </row>
    <row r="258" spans="1:7" ht="17.100000000000001" customHeight="1" x14ac:dyDescent="0.25">
      <c r="A258" s="75">
        <f>IF(C258="","",COUNTA($C$4:C258))</f>
        <v>255</v>
      </c>
      <c r="B258" s="68" t="str">
        <f t="shared" si="3"/>
        <v>October</v>
      </c>
      <c r="C258" s="45">
        <v>45947</v>
      </c>
      <c r="E258" s="72" t="s">
        <v>296</v>
      </c>
      <c r="F258" t="s">
        <v>1988</v>
      </c>
      <c r="G258" s="69">
        <v>3554</v>
      </c>
    </row>
    <row r="259" spans="1:7" ht="17.100000000000001" customHeight="1" x14ac:dyDescent="0.25">
      <c r="A259" s="75">
        <f>IF(C259="","",COUNTA($C$4:C259))</f>
        <v>256</v>
      </c>
      <c r="B259" s="68" t="str">
        <f t="shared" si="3"/>
        <v>October</v>
      </c>
      <c r="C259" s="45">
        <v>45947</v>
      </c>
      <c r="E259" s="72" t="s">
        <v>213</v>
      </c>
      <c r="F259" t="s">
        <v>1989</v>
      </c>
      <c r="G259" s="69">
        <v>700</v>
      </c>
    </row>
    <row r="260" spans="1:7" ht="17.100000000000001" customHeight="1" x14ac:dyDescent="0.25">
      <c r="A260" s="75">
        <f>IF(C260="","",COUNTA($C$4:C260))</f>
        <v>257</v>
      </c>
      <c r="B260" s="68" t="str">
        <f t="shared" si="3"/>
        <v>October</v>
      </c>
      <c r="C260" s="45">
        <v>45948</v>
      </c>
      <c r="E260" s="72" t="s">
        <v>213</v>
      </c>
      <c r="F260" t="s">
        <v>1990</v>
      </c>
      <c r="G260" s="69">
        <v>1680</v>
      </c>
    </row>
    <row r="261" spans="1:7" ht="17.100000000000001" customHeight="1" x14ac:dyDescent="0.25">
      <c r="A261" s="75">
        <f>IF(C261="","",COUNTA($C$4:C261))</f>
        <v>258</v>
      </c>
      <c r="B261" s="68" t="str">
        <f t="shared" si="3"/>
        <v>October</v>
      </c>
      <c r="C261" s="45">
        <v>45952</v>
      </c>
      <c r="E261" s="72" t="s">
        <v>213</v>
      </c>
      <c r="F261" t="s">
        <v>1991</v>
      </c>
      <c r="G261" s="69">
        <v>850</v>
      </c>
    </row>
    <row r="262" spans="1:7" ht="17.100000000000001" customHeight="1" x14ac:dyDescent="0.25">
      <c r="A262" s="75">
        <f>IF(C262="","",COUNTA($C$4:C262))</f>
        <v>259</v>
      </c>
      <c r="B262" s="68" t="str">
        <f t="shared" si="3"/>
        <v>October</v>
      </c>
      <c r="C262" s="45">
        <v>45954</v>
      </c>
      <c r="E262" s="72" t="s">
        <v>213</v>
      </c>
      <c r="F262" t="s">
        <v>1992</v>
      </c>
      <c r="G262" s="69">
        <v>700</v>
      </c>
    </row>
    <row r="263" spans="1:7" ht="17.100000000000001" customHeight="1" x14ac:dyDescent="0.25">
      <c r="A263" s="75">
        <f>IF(C263="","",COUNTA($C$4:C263))</f>
        <v>260</v>
      </c>
      <c r="B263" s="68" t="str">
        <f t="shared" si="3"/>
        <v>October</v>
      </c>
      <c r="C263" s="45">
        <v>45954</v>
      </c>
      <c r="E263" s="72" t="s">
        <v>213</v>
      </c>
      <c r="F263" t="s">
        <v>2052</v>
      </c>
      <c r="G263" s="69">
        <v>2540</v>
      </c>
    </row>
    <row r="264" spans="1:7" ht="17.100000000000001" customHeight="1" x14ac:dyDescent="0.25">
      <c r="A264" s="75">
        <f>IF(C264="","",COUNTA($C$4:C264))</f>
        <v>261</v>
      </c>
      <c r="B264" s="68" t="str">
        <f t="shared" si="3"/>
        <v>October</v>
      </c>
      <c r="C264" s="45">
        <v>45954</v>
      </c>
      <c r="E264" s="72" t="s">
        <v>213</v>
      </c>
      <c r="F264" t="s">
        <v>2053</v>
      </c>
      <c r="G264" s="69">
        <v>3244</v>
      </c>
    </row>
    <row r="265" spans="1:7" ht="17.100000000000001" customHeight="1" x14ac:dyDescent="0.25">
      <c r="A265" s="75">
        <f>IF(C265="","",COUNTA($C$4:C265))</f>
        <v>262</v>
      </c>
      <c r="B265" s="68" t="str">
        <f t="shared" si="3"/>
        <v>October</v>
      </c>
      <c r="C265" s="45">
        <v>45955</v>
      </c>
      <c r="E265" s="72" t="s">
        <v>213</v>
      </c>
      <c r="F265" t="s">
        <v>2054</v>
      </c>
      <c r="G265" s="69">
        <v>300</v>
      </c>
    </row>
    <row r="266" spans="1:7" ht="17.100000000000001" customHeight="1" x14ac:dyDescent="0.25">
      <c r="A266" s="75">
        <f>IF(C266="","",COUNTA($C$4:C266))</f>
        <v>263</v>
      </c>
      <c r="B266" s="68" t="str">
        <f t="shared" si="3"/>
        <v>October</v>
      </c>
      <c r="C266" s="45">
        <v>45956</v>
      </c>
      <c r="E266" s="72" t="s">
        <v>213</v>
      </c>
      <c r="F266" t="s">
        <v>2055</v>
      </c>
      <c r="G266" s="69">
        <v>600</v>
      </c>
    </row>
    <row r="267" spans="1:7" ht="17.100000000000001" customHeight="1" x14ac:dyDescent="0.25">
      <c r="A267" s="75">
        <f>IF(C267="","",COUNTA($C$4:C267))</f>
        <v>264</v>
      </c>
      <c r="B267" s="68" t="str">
        <f t="shared" si="3"/>
        <v>October</v>
      </c>
      <c r="C267" s="45">
        <v>45956</v>
      </c>
      <c r="E267" s="72" t="s">
        <v>213</v>
      </c>
      <c r="F267" t="s">
        <v>2056</v>
      </c>
      <c r="G267" s="69">
        <v>1350</v>
      </c>
    </row>
    <row r="268" spans="1:7" ht="17.100000000000001" customHeight="1" x14ac:dyDescent="0.25">
      <c r="A268" s="75">
        <f>IF(C268="","",COUNTA($C$4:C268))</f>
        <v>265</v>
      </c>
      <c r="B268" s="68" t="str">
        <f t="shared" si="3"/>
        <v>October</v>
      </c>
      <c r="C268" s="45">
        <v>45957</v>
      </c>
      <c r="E268" s="72" t="s">
        <v>213</v>
      </c>
      <c r="F268" t="s">
        <v>2057</v>
      </c>
      <c r="G268" s="69">
        <v>7200</v>
      </c>
    </row>
    <row r="269" spans="1:7" ht="17.100000000000001" customHeight="1" x14ac:dyDescent="0.25">
      <c r="A269" s="75">
        <f>IF(C269="","",COUNTA($C$4:C269))</f>
        <v>266</v>
      </c>
      <c r="B269" s="68" t="str">
        <f t="shared" si="3"/>
        <v>October</v>
      </c>
      <c r="C269" s="45">
        <v>45957</v>
      </c>
      <c r="E269" s="72" t="s">
        <v>213</v>
      </c>
      <c r="F269" t="s">
        <v>2058</v>
      </c>
      <c r="G269" s="69">
        <v>300</v>
      </c>
    </row>
    <row r="270" spans="1:7" ht="17.100000000000001" customHeight="1" x14ac:dyDescent="0.25">
      <c r="A270" s="75">
        <f>IF(C270="","",COUNTA($C$4:C270))</f>
        <v>267</v>
      </c>
      <c r="B270" s="68" t="str">
        <f t="shared" si="3"/>
        <v>October</v>
      </c>
      <c r="C270" s="45">
        <v>45957</v>
      </c>
      <c r="E270" s="72" t="s">
        <v>213</v>
      </c>
      <c r="F270" t="s">
        <v>2059</v>
      </c>
      <c r="G270" s="69">
        <v>200</v>
      </c>
    </row>
    <row r="271" spans="1:7" ht="17.100000000000001" customHeight="1" x14ac:dyDescent="0.25">
      <c r="A271" s="75">
        <f>IF(C271="","",COUNTA($C$4:C271))</f>
        <v>268</v>
      </c>
      <c r="B271" s="68" t="str">
        <f t="shared" si="3"/>
        <v>October</v>
      </c>
      <c r="C271" s="45">
        <v>45958</v>
      </c>
      <c r="E271" s="72" t="s">
        <v>213</v>
      </c>
      <c r="F271" t="s">
        <v>2060</v>
      </c>
      <c r="G271" s="69">
        <v>700</v>
      </c>
    </row>
    <row r="272" spans="1:7" ht="17.100000000000001" customHeight="1" x14ac:dyDescent="0.25">
      <c r="A272" s="75">
        <f>IF(C272="","",COUNTA($C$4:C272))</f>
        <v>269</v>
      </c>
      <c r="B272" s="68" t="str">
        <f t="shared" si="3"/>
        <v>October</v>
      </c>
      <c r="C272" s="45">
        <v>45958</v>
      </c>
      <c r="E272" s="72" t="s">
        <v>213</v>
      </c>
      <c r="F272" t="s">
        <v>2061</v>
      </c>
      <c r="G272" s="69">
        <v>6000</v>
      </c>
    </row>
    <row r="273" spans="1:7" ht="17.100000000000001" customHeight="1" x14ac:dyDescent="0.25">
      <c r="A273" s="75">
        <f>IF(C273="","",COUNTA($C$4:C273))</f>
        <v>270</v>
      </c>
      <c r="B273" s="68" t="str">
        <f t="shared" si="3"/>
        <v>October</v>
      </c>
      <c r="C273" s="45">
        <v>45959</v>
      </c>
      <c r="E273" s="72" t="s">
        <v>213</v>
      </c>
      <c r="F273" t="s">
        <v>2062</v>
      </c>
      <c r="G273" s="69">
        <v>270</v>
      </c>
    </row>
    <row r="274" spans="1:7" ht="17.100000000000001" customHeight="1" x14ac:dyDescent="0.25">
      <c r="A274" s="75">
        <f>IF(C274="","",COUNTA($C$4:C274))</f>
        <v>271</v>
      </c>
      <c r="B274" s="68" t="str">
        <f t="shared" si="3"/>
        <v>October</v>
      </c>
      <c r="C274" s="45">
        <v>45960</v>
      </c>
      <c r="E274" s="72" t="s">
        <v>213</v>
      </c>
      <c r="F274" t="s">
        <v>1923</v>
      </c>
      <c r="G274" s="69">
        <v>1125</v>
      </c>
    </row>
    <row r="275" spans="1:7" ht="17.100000000000001" customHeight="1" x14ac:dyDescent="0.25">
      <c r="A275" s="75">
        <f>IF(C275="","",COUNTA($C$4:C275))</f>
        <v>272</v>
      </c>
      <c r="B275" s="68" t="str">
        <f t="shared" si="3"/>
        <v>October</v>
      </c>
      <c r="C275" s="45">
        <v>45960</v>
      </c>
      <c r="E275" s="72" t="s">
        <v>213</v>
      </c>
      <c r="F275" t="s">
        <v>2063</v>
      </c>
      <c r="G275" s="69">
        <v>6000</v>
      </c>
    </row>
    <row r="276" spans="1:7" ht="17.100000000000001" customHeight="1" x14ac:dyDescent="0.25">
      <c r="A276" s="75">
        <f>IF(C276="","",COUNTA($C$4:C276))</f>
        <v>273</v>
      </c>
      <c r="B276" s="68" t="str">
        <f t="shared" si="3"/>
        <v>October</v>
      </c>
      <c r="C276" s="45">
        <v>45960</v>
      </c>
      <c r="E276" s="72" t="s">
        <v>213</v>
      </c>
      <c r="F276" t="s">
        <v>2065</v>
      </c>
      <c r="G276" s="69">
        <v>690</v>
      </c>
    </row>
    <row r="277" spans="1:7" ht="17.100000000000001" customHeight="1" x14ac:dyDescent="0.25">
      <c r="A277" s="75">
        <f>IF(C277="","",COUNTA($C$4:C277))</f>
        <v>274</v>
      </c>
      <c r="B277" s="68" t="str">
        <f t="shared" si="3"/>
        <v>October</v>
      </c>
      <c r="C277" s="45">
        <v>45960</v>
      </c>
      <c r="E277" s="72" t="s">
        <v>213</v>
      </c>
      <c r="F277" t="s">
        <v>2128</v>
      </c>
      <c r="G277" s="69">
        <v>800</v>
      </c>
    </row>
    <row r="278" spans="1:7" ht="17.100000000000001" customHeight="1" x14ac:dyDescent="0.25">
      <c r="A278" s="75">
        <f>IF(C278="","",COUNTA($C$4:C278))</f>
        <v>275</v>
      </c>
      <c r="B278" s="68" t="str">
        <f t="shared" si="3"/>
        <v>October</v>
      </c>
      <c r="C278" s="45">
        <v>45960</v>
      </c>
      <c r="E278" s="72" t="s">
        <v>296</v>
      </c>
      <c r="F278" t="s">
        <v>2184</v>
      </c>
      <c r="G278" s="69">
        <v>1351</v>
      </c>
    </row>
    <row r="279" spans="1:7" ht="17.100000000000001" customHeight="1" x14ac:dyDescent="0.25">
      <c r="A279" s="75">
        <f>IF(C279="","",COUNTA($C$4:C279))</f>
        <v>276</v>
      </c>
      <c r="B279" s="68" t="str">
        <f t="shared" si="3"/>
        <v>October</v>
      </c>
      <c r="C279" s="45">
        <v>45960</v>
      </c>
      <c r="E279" s="72" t="s">
        <v>296</v>
      </c>
      <c r="F279" t="s">
        <v>2185</v>
      </c>
      <c r="G279" s="69">
        <v>900</v>
      </c>
    </row>
    <row r="280" spans="1:7" ht="17.100000000000001" customHeight="1" x14ac:dyDescent="0.25">
      <c r="A280" s="75">
        <f>IF(C280="","",COUNTA($C$4:C280))</f>
        <v>277</v>
      </c>
      <c r="B280" s="68" t="str">
        <f t="shared" si="3"/>
        <v>October</v>
      </c>
      <c r="C280" s="45">
        <v>45960</v>
      </c>
      <c r="E280" s="72" t="s">
        <v>296</v>
      </c>
      <c r="F280" t="s">
        <v>2186</v>
      </c>
      <c r="G280" s="69">
        <v>1015</v>
      </c>
    </row>
    <row r="281" spans="1:7" ht="17.100000000000001" customHeight="1" x14ac:dyDescent="0.25">
      <c r="A281" s="75">
        <f>IF(C281="","",COUNTA($C$4:C281))</f>
        <v>278</v>
      </c>
      <c r="B281" s="68" t="str">
        <f t="shared" si="3"/>
        <v>October</v>
      </c>
      <c r="C281" s="45">
        <v>45960</v>
      </c>
      <c r="E281" s="72" t="s">
        <v>296</v>
      </c>
      <c r="F281" t="s">
        <v>2187</v>
      </c>
      <c r="G281" s="69">
        <v>6404</v>
      </c>
    </row>
    <row r="282" spans="1:7" ht="17.100000000000001" customHeight="1" x14ac:dyDescent="0.25">
      <c r="A282" s="75">
        <f>IF(C282="","",COUNTA($C$4:C282))</f>
        <v>279</v>
      </c>
      <c r="B282" s="68" t="str">
        <f t="shared" si="3"/>
        <v>October</v>
      </c>
      <c r="C282" s="45">
        <v>45960</v>
      </c>
      <c r="E282" s="72" t="s">
        <v>296</v>
      </c>
      <c r="F282" t="s">
        <v>2188</v>
      </c>
      <c r="G282" s="69">
        <v>3918</v>
      </c>
    </row>
    <row r="283" spans="1:7" ht="17.100000000000001" customHeight="1" x14ac:dyDescent="0.25">
      <c r="A283" s="75">
        <f>IF(C283="","",COUNTA($C$4:C283))</f>
        <v>280</v>
      </c>
      <c r="B283" s="68" t="str">
        <f t="shared" si="3"/>
        <v>October</v>
      </c>
      <c r="C283" s="45">
        <v>45961</v>
      </c>
      <c r="E283" s="72" t="s">
        <v>213</v>
      </c>
      <c r="F283" t="s">
        <v>2064</v>
      </c>
      <c r="G283" s="69">
        <v>500</v>
      </c>
    </row>
    <row r="284" spans="1:7" ht="17.100000000000001" customHeight="1" x14ac:dyDescent="0.25">
      <c r="A284" s="75">
        <f>IF(C284="","",COUNTA($C$4:C284))</f>
        <v>281</v>
      </c>
      <c r="B284" s="68" t="str">
        <f t="shared" si="3"/>
        <v>October</v>
      </c>
      <c r="C284" s="45">
        <v>45961</v>
      </c>
      <c r="E284" s="72" t="s">
        <v>789</v>
      </c>
      <c r="F284" t="s">
        <v>2066</v>
      </c>
      <c r="G284" s="69">
        <v>350</v>
      </c>
    </row>
    <row r="285" spans="1:7" ht="17.100000000000001" customHeight="1" x14ac:dyDescent="0.25">
      <c r="A285" s="75">
        <f>IF(C285="","",COUNTA($C$4:C285))</f>
        <v>282</v>
      </c>
      <c r="B285" s="68" t="str">
        <f t="shared" si="3"/>
        <v>October</v>
      </c>
      <c r="C285" s="45">
        <v>45961</v>
      </c>
      <c r="E285" s="72" t="s">
        <v>213</v>
      </c>
      <c r="F285" t="s">
        <v>2067</v>
      </c>
      <c r="G285" s="69">
        <v>700</v>
      </c>
    </row>
    <row r="286" spans="1:7" ht="17.100000000000001" customHeight="1" x14ac:dyDescent="0.25">
      <c r="A286" s="75">
        <f>IF(C286="","",COUNTA($C$4:C286))</f>
        <v>283</v>
      </c>
      <c r="B286" s="68" t="str">
        <f t="shared" si="3"/>
        <v>November</v>
      </c>
      <c r="C286" s="45">
        <v>45963</v>
      </c>
      <c r="E286" s="72" t="s">
        <v>213</v>
      </c>
      <c r="F286" t="s">
        <v>2084</v>
      </c>
      <c r="G286" s="69">
        <v>900</v>
      </c>
    </row>
    <row r="287" spans="1:7" ht="17.100000000000001" customHeight="1" x14ac:dyDescent="0.25">
      <c r="A287" s="75">
        <f>IF(C287="","",COUNTA($C$4:C287))</f>
        <v>284</v>
      </c>
      <c r="B287" s="68" t="str">
        <f t="shared" si="3"/>
        <v>November</v>
      </c>
      <c r="C287" s="45">
        <v>45964</v>
      </c>
      <c r="E287" s="72" t="s">
        <v>213</v>
      </c>
      <c r="F287" t="s">
        <v>2068</v>
      </c>
      <c r="G287" s="69">
        <v>1500</v>
      </c>
    </row>
    <row r="288" spans="1:7" ht="17.100000000000001" customHeight="1" x14ac:dyDescent="0.25">
      <c r="A288" s="75">
        <f>IF(C288="","",COUNTA($C$4:C288))</f>
        <v>285</v>
      </c>
      <c r="B288" s="68" t="str">
        <f t="shared" si="3"/>
        <v>November</v>
      </c>
      <c r="C288" s="45">
        <v>45965</v>
      </c>
      <c r="E288" s="72" t="s">
        <v>213</v>
      </c>
      <c r="F288" t="s">
        <v>2069</v>
      </c>
      <c r="G288" s="69">
        <v>380</v>
      </c>
    </row>
    <row r="289" spans="1:7" ht="17.100000000000001" customHeight="1" x14ac:dyDescent="0.25">
      <c r="A289" s="75">
        <f>IF(C289="","",COUNTA($C$4:C289))</f>
        <v>286</v>
      </c>
      <c r="B289" s="68" t="str">
        <f t="shared" si="3"/>
        <v>November</v>
      </c>
      <c r="C289" s="45">
        <v>45965</v>
      </c>
      <c r="E289" s="72" t="s">
        <v>213</v>
      </c>
      <c r="F289" t="s">
        <v>2070</v>
      </c>
      <c r="G289" s="69">
        <v>1300</v>
      </c>
    </row>
    <row r="290" spans="1:7" ht="17.100000000000001" customHeight="1" x14ac:dyDescent="0.25">
      <c r="A290" s="75">
        <f>IF(C290="","",COUNTA($C$4:C290))</f>
        <v>287</v>
      </c>
      <c r="B290" s="68" t="str">
        <f t="shared" si="3"/>
        <v>November</v>
      </c>
      <c r="C290" s="45">
        <v>45965</v>
      </c>
      <c r="E290" s="72" t="s">
        <v>789</v>
      </c>
      <c r="F290" t="s">
        <v>2085</v>
      </c>
      <c r="G290" s="69">
        <v>350</v>
      </c>
    </row>
    <row r="291" spans="1:7" ht="17.100000000000001" customHeight="1" x14ac:dyDescent="0.25">
      <c r="A291" s="75">
        <f>IF(C291="","",COUNTA($C$4:C291))</f>
        <v>288</v>
      </c>
      <c r="B291" s="68" t="str">
        <f t="shared" si="3"/>
        <v>November</v>
      </c>
      <c r="C291" s="45">
        <v>45968</v>
      </c>
      <c r="E291" s="72" t="s">
        <v>213</v>
      </c>
      <c r="F291" t="s">
        <v>2086</v>
      </c>
      <c r="G291" s="69">
        <v>1065</v>
      </c>
    </row>
    <row r="292" spans="1:7" ht="17.100000000000001" customHeight="1" x14ac:dyDescent="0.25">
      <c r="A292" s="75">
        <f>IF(C292="","",COUNTA($C$4:C292))</f>
        <v>289</v>
      </c>
      <c r="B292" s="68" t="str">
        <f t="shared" si="3"/>
        <v>November</v>
      </c>
      <c r="C292" s="45">
        <v>45968</v>
      </c>
      <c r="E292" s="72" t="s">
        <v>213</v>
      </c>
      <c r="F292" t="s">
        <v>2087</v>
      </c>
      <c r="G292" s="69">
        <v>700</v>
      </c>
    </row>
    <row r="293" spans="1:7" ht="17.100000000000001" customHeight="1" x14ac:dyDescent="0.25">
      <c r="A293" s="75">
        <f>IF(C293="","",COUNTA($C$4:C293))</f>
        <v>290</v>
      </c>
      <c r="B293" s="68" t="str">
        <f t="shared" si="3"/>
        <v>November</v>
      </c>
      <c r="C293" s="45">
        <v>45969</v>
      </c>
      <c r="E293" s="72" t="s">
        <v>2088</v>
      </c>
      <c r="F293" t="s">
        <v>2089</v>
      </c>
      <c r="G293" s="69">
        <v>1405</v>
      </c>
    </row>
    <row r="294" spans="1:7" ht="17.100000000000001" customHeight="1" x14ac:dyDescent="0.25">
      <c r="A294" s="75">
        <f>IF(C294="","",COUNTA($C$4:C294))</f>
        <v>291</v>
      </c>
      <c r="B294" s="68" t="str">
        <f t="shared" si="3"/>
        <v>November</v>
      </c>
      <c r="C294" s="45">
        <v>45969</v>
      </c>
      <c r="E294" s="72" t="s">
        <v>213</v>
      </c>
      <c r="F294" t="s">
        <v>2090</v>
      </c>
      <c r="G294" s="69">
        <v>880</v>
      </c>
    </row>
    <row r="295" spans="1:7" ht="17.100000000000001" customHeight="1" x14ac:dyDescent="0.25">
      <c r="A295" s="75">
        <f>IF(C295="","",COUNTA($C$4:C295))</f>
        <v>292</v>
      </c>
      <c r="B295" s="68" t="str">
        <f t="shared" si="3"/>
        <v>November</v>
      </c>
      <c r="C295" s="45">
        <v>45969</v>
      </c>
      <c r="E295" s="72" t="s">
        <v>2088</v>
      </c>
      <c r="F295" t="s">
        <v>2094</v>
      </c>
      <c r="G295" s="69">
        <v>3800</v>
      </c>
    </row>
    <row r="296" spans="1:7" ht="17.100000000000001" customHeight="1" x14ac:dyDescent="0.25">
      <c r="A296" s="75">
        <f>IF(C296="","",COUNTA($C$4:C296))</f>
        <v>293</v>
      </c>
      <c r="B296" s="68" t="str">
        <f t="shared" si="3"/>
        <v>November</v>
      </c>
      <c r="C296" s="45">
        <v>45971</v>
      </c>
      <c r="E296" s="72" t="s">
        <v>213</v>
      </c>
      <c r="F296" t="s">
        <v>2091</v>
      </c>
      <c r="G296" s="69">
        <v>500</v>
      </c>
    </row>
    <row r="297" spans="1:7" ht="17.100000000000001" customHeight="1" x14ac:dyDescent="0.25">
      <c r="A297" s="75">
        <f>IF(C297="","",COUNTA($C$4:C297))</f>
        <v>294</v>
      </c>
      <c r="B297" s="68" t="str">
        <f t="shared" ref="B297:B377" si="4">IF(C297="","",TEXT(C297,"mmmm"))</f>
        <v>November</v>
      </c>
      <c r="C297" s="45">
        <v>45972</v>
      </c>
      <c r="E297" s="72" t="s">
        <v>213</v>
      </c>
      <c r="F297" t="s">
        <v>2092</v>
      </c>
      <c r="G297" s="69">
        <v>550</v>
      </c>
    </row>
    <row r="298" spans="1:7" ht="17.100000000000001" customHeight="1" x14ac:dyDescent="0.25">
      <c r="A298" s="75">
        <f>IF(C298="","",COUNTA($C$4:C298))</f>
        <v>295</v>
      </c>
      <c r="B298" s="68" t="str">
        <f t="shared" si="4"/>
        <v>November</v>
      </c>
      <c r="C298" s="45">
        <v>45972</v>
      </c>
      <c r="E298" s="72" t="s">
        <v>213</v>
      </c>
      <c r="F298" t="s">
        <v>2093</v>
      </c>
      <c r="G298" s="69">
        <v>3300</v>
      </c>
    </row>
    <row r="299" spans="1:7" ht="17.100000000000001" customHeight="1" x14ac:dyDescent="0.25">
      <c r="A299" s="75">
        <f>IF(C299="","",COUNTA($C$4:C299))</f>
        <v>296</v>
      </c>
      <c r="B299" s="68" t="str">
        <f t="shared" si="4"/>
        <v>November</v>
      </c>
      <c r="C299" s="45">
        <v>45972</v>
      </c>
      <c r="E299" s="72" t="s">
        <v>213</v>
      </c>
      <c r="F299" t="s">
        <v>2189</v>
      </c>
      <c r="G299" s="69">
        <v>800</v>
      </c>
    </row>
    <row r="300" spans="1:7" ht="17.100000000000001" customHeight="1" x14ac:dyDescent="0.25">
      <c r="A300" s="75">
        <f>IF(C300="","",COUNTA($C$4:C300))</f>
        <v>297</v>
      </c>
      <c r="B300" s="68" t="str">
        <f t="shared" si="4"/>
        <v>November</v>
      </c>
      <c r="C300" s="45">
        <v>45974</v>
      </c>
      <c r="E300" s="72" t="s">
        <v>296</v>
      </c>
      <c r="F300" t="s">
        <v>2190</v>
      </c>
      <c r="G300" s="69">
        <v>2500</v>
      </c>
    </row>
    <row r="301" spans="1:7" ht="17.100000000000001" customHeight="1" x14ac:dyDescent="0.25">
      <c r="A301" s="75">
        <f>IF(C301="","",COUNTA($C$4:C301))</f>
        <v>298</v>
      </c>
      <c r="B301" s="68" t="str">
        <f t="shared" si="4"/>
        <v>November</v>
      </c>
      <c r="C301" s="45">
        <v>45974</v>
      </c>
      <c r="E301" s="72" t="s">
        <v>213</v>
      </c>
      <c r="F301" t="s">
        <v>2191</v>
      </c>
      <c r="G301" s="69">
        <v>4668</v>
      </c>
    </row>
    <row r="302" spans="1:7" ht="17.100000000000001" customHeight="1" x14ac:dyDescent="0.25">
      <c r="A302" s="75">
        <f>IF(C302="","",COUNTA($C$4:C302))</f>
        <v>299</v>
      </c>
      <c r="B302" s="68" t="str">
        <f t="shared" si="4"/>
        <v>November</v>
      </c>
      <c r="C302" s="45">
        <v>45975</v>
      </c>
      <c r="E302" s="72" t="s">
        <v>213</v>
      </c>
      <c r="F302" t="s">
        <v>2192</v>
      </c>
      <c r="G302" s="69">
        <v>700</v>
      </c>
    </row>
    <row r="303" spans="1:7" ht="17.100000000000001" customHeight="1" x14ac:dyDescent="0.25">
      <c r="A303" s="75">
        <f>IF(C303="","",COUNTA($C$4:C303))</f>
        <v>300</v>
      </c>
      <c r="B303" s="68" t="str">
        <f t="shared" si="4"/>
        <v>November</v>
      </c>
      <c r="C303" s="45">
        <v>45976</v>
      </c>
      <c r="E303" s="72" t="s">
        <v>213</v>
      </c>
      <c r="F303" t="s">
        <v>2193</v>
      </c>
      <c r="G303" s="69">
        <v>4000</v>
      </c>
    </row>
    <row r="304" spans="1:7" ht="17.100000000000001" customHeight="1" x14ac:dyDescent="0.25">
      <c r="A304" s="75">
        <f>IF(C304="","",COUNTA($C$4:C304))</f>
        <v>301</v>
      </c>
      <c r="B304" s="143" t="str">
        <f t="shared" si="4"/>
        <v>November</v>
      </c>
      <c r="C304" s="45">
        <v>45981</v>
      </c>
      <c r="E304" s="72" t="s">
        <v>213</v>
      </c>
      <c r="F304" t="s">
        <v>2194</v>
      </c>
      <c r="G304" s="69">
        <v>450</v>
      </c>
    </row>
    <row r="305" spans="1:7" ht="17.100000000000001" customHeight="1" x14ac:dyDescent="0.25">
      <c r="A305" s="75">
        <f>IF(C305="","",COUNTA($C$4:C305))</f>
        <v>302</v>
      </c>
      <c r="B305" s="68" t="str">
        <f t="shared" si="4"/>
        <v>November</v>
      </c>
      <c r="C305" s="45">
        <v>45982</v>
      </c>
      <c r="E305" s="72" t="s">
        <v>213</v>
      </c>
      <c r="F305" t="s">
        <v>2195</v>
      </c>
      <c r="G305" s="69">
        <v>150</v>
      </c>
    </row>
    <row r="306" spans="1:7" ht="17.100000000000001" customHeight="1" x14ac:dyDescent="0.25">
      <c r="A306" s="75">
        <f>IF(C306="","",COUNTA($C$4:C306))</f>
        <v>303</v>
      </c>
      <c r="B306" s="68" t="str">
        <f t="shared" si="4"/>
        <v>November</v>
      </c>
      <c r="C306" s="45">
        <v>45982</v>
      </c>
      <c r="E306" s="72" t="s">
        <v>213</v>
      </c>
      <c r="F306" t="s">
        <v>2196</v>
      </c>
      <c r="G306" s="69">
        <v>700</v>
      </c>
    </row>
    <row r="307" spans="1:7" ht="17.100000000000001" customHeight="1" x14ac:dyDescent="0.25">
      <c r="A307" s="75">
        <f>IF(C307="","",COUNTA($C$4:C307))</f>
        <v>304</v>
      </c>
      <c r="B307" s="68" t="str">
        <f t="shared" si="4"/>
        <v>November</v>
      </c>
      <c r="C307" s="45">
        <v>45987</v>
      </c>
      <c r="E307" s="72" t="s">
        <v>221</v>
      </c>
      <c r="F307" t="s">
        <v>2197</v>
      </c>
      <c r="G307" s="69">
        <v>4290</v>
      </c>
    </row>
    <row r="308" spans="1:7" ht="17.100000000000001" customHeight="1" x14ac:dyDescent="0.25">
      <c r="A308" s="75">
        <f>IF(C308="","",COUNTA($C$4:C308))</f>
        <v>305</v>
      </c>
      <c r="B308" s="68" t="str">
        <f t="shared" si="4"/>
        <v>November</v>
      </c>
      <c r="C308" s="45">
        <v>45987</v>
      </c>
      <c r="E308" s="72" t="s">
        <v>296</v>
      </c>
      <c r="F308" t="s">
        <v>2198</v>
      </c>
      <c r="G308" s="69">
        <v>6369</v>
      </c>
    </row>
    <row r="309" spans="1:7" ht="17.100000000000001" customHeight="1" x14ac:dyDescent="0.25">
      <c r="A309" s="75">
        <f>IF(C309="","",COUNTA($C$4:C309))</f>
        <v>306</v>
      </c>
      <c r="B309" s="68" t="str">
        <f t="shared" si="4"/>
        <v>November</v>
      </c>
      <c r="C309" s="45">
        <v>45987</v>
      </c>
      <c r="E309" s="72" t="s">
        <v>213</v>
      </c>
      <c r="F309" t="s">
        <v>2199</v>
      </c>
      <c r="G309" s="69">
        <v>2791</v>
      </c>
    </row>
    <row r="310" spans="1:7" ht="17.100000000000001" customHeight="1" x14ac:dyDescent="0.25">
      <c r="A310" s="75">
        <f>IF(C310="","",COUNTA($C$4:C310))</f>
        <v>307</v>
      </c>
      <c r="B310" s="68" t="str">
        <f t="shared" si="4"/>
        <v>November</v>
      </c>
      <c r="C310" s="45">
        <v>45987</v>
      </c>
      <c r="E310" s="72" t="s">
        <v>213</v>
      </c>
      <c r="F310" t="s">
        <v>2200</v>
      </c>
      <c r="G310" s="69">
        <v>2180</v>
      </c>
    </row>
    <row r="311" spans="1:7" ht="17.100000000000001" customHeight="1" x14ac:dyDescent="0.25">
      <c r="A311" s="75">
        <f>IF(C311="","",COUNTA($C$4:C311))</f>
        <v>308</v>
      </c>
      <c r="B311" s="68" t="str">
        <f t="shared" si="4"/>
        <v>November</v>
      </c>
      <c r="C311" s="45">
        <v>45987</v>
      </c>
      <c r="E311" s="72" t="s">
        <v>213</v>
      </c>
      <c r="F311" t="s">
        <v>2201</v>
      </c>
      <c r="G311" s="69">
        <v>280</v>
      </c>
    </row>
    <row r="312" spans="1:7" ht="17.100000000000001" customHeight="1" x14ac:dyDescent="0.25">
      <c r="A312" s="75">
        <f>IF(C312="","",COUNTA($C$4:C312))</f>
        <v>309</v>
      </c>
      <c r="B312" s="68" t="str">
        <f t="shared" si="4"/>
        <v>November</v>
      </c>
      <c r="C312" s="45">
        <v>45987</v>
      </c>
      <c r="E312" s="72" t="s">
        <v>789</v>
      </c>
      <c r="F312" t="s">
        <v>2202</v>
      </c>
      <c r="G312" s="69">
        <v>350</v>
      </c>
    </row>
    <row r="313" spans="1:7" ht="17.100000000000001" customHeight="1" x14ac:dyDescent="0.25">
      <c r="A313" s="75">
        <f>IF(C313="","",COUNTA($C$4:C313))</f>
        <v>310</v>
      </c>
      <c r="B313" s="68" t="str">
        <f t="shared" si="4"/>
        <v>November</v>
      </c>
      <c r="C313" s="45">
        <v>45988</v>
      </c>
      <c r="E313" s="72" t="s">
        <v>213</v>
      </c>
      <c r="F313" t="s">
        <v>2203</v>
      </c>
      <c r="G313" s="69">
        <v>2200</v>
      </c>
    </row>
    <row r="314" spans="1:7" ht="17.100000000000001" customHeight="1" x14ac:dyDescent="0.25">
      <c r="A314" s="75">
        <f>IF(C314="","",COUNTA($C$4:C314))</f>
        <v>311</v>
      </c>
      <c r="B314" s="68" t="str">
        <f t="shared" si="4"/>
        <v>November</v>
      </c>
      <c r="C314" s="45">
        <v>45989</v>
      </c>
      <c r="E314" s="72" t="s">
        <v>213</v>
      </c>
      <c r="F314" t="s">
        <v>2204</v>
      </c>
      <c r="G314" s="69">
        <v>700</v>
      </c>
    </row>
    <row r="315" spans="1:7" ht="17.100000000000001" customHeight="1" x14ac:dyDescent="0.25">
      <c r="A315" s="75">
        <f>IF(C315="","",COUNTA($C$4:C315))</f>
        <v>312</v>
      </c>
      <c r="B315" s="68" t="str">
        <f t="shared" si="4"/>
        <v>November</v>
      </c>
      <c r="C315" s="45">
        <v>45989</v>
      </c>
      <c r="E315" s="72" t="s">
        <v>296</v>
      </c>
      <c r="F315" t="s">
        <v>2279</v>
      </c>
      <c r="G315" s="69">
        <v>2006</v>
      </c>
    </row>
    <row r="316" spans="1:7" ht="17.100000000000001" customHeight="1" x14ac:dyDescent="0.25">
      <c r="A316" s="75">
        <f>IF(C316="","",COUNTA($C$4:C316))</f>
        <v>313</v>
      </c>
      <c r="B316" s="68" t="str">
        <f t="shared" si="4"/>
        <v>November</v>
      </c>
      <c r="C316" s="45">
        <v>45991</v>
      </c>
      <c r="E316" s="72" t="s">
        <v>296</v>
      </c>
      <c r="F316" t="s">
        <v>2280</v>
      </c>
      <c r="G316" s="69">
        <v>2350</v>
      </c>
    </row>
    <row r="317" spans="1:7" ht="17.100000000000001" customHeight="1" x14ac:dyDescent="0.25">
      <c r="A317" s="75">
        <f>IF(C317="","",COUNTA($C$4:C317))</f>
        <v>314</v>
      </c>
      <c r="B317" s="68" t="str">
        <f t="shared" si="4"/>
        <v>November</v>
      </c>
      <c r="C317" s="45">
        <v>45991</v>
      </c>
      <c r="E317" s="72" t="s">
        <v>213</v>
      </c>
      <c r="F317" t="s">
        <v>2281</v>
      </c>
      <c r="G317" s="69">
        <v>300</v>
      </c>
    </row>
    <row r="318" spans="1:7" ht="17.100000000000001" customHeight="1" x14ac:dyDescent="0.25">
      <c r="A318" s="75">
        <f>IF(C318="","",COUNTA($C$4:C318))</f>
        <v>315</v>
      </c>
      <c r="B318" s="68" t="str">
        <f t="shared" si="4"/>
        <v>November</v>
      </c>
      <c r="C318" s="45">
        <v>45991</v>
      </c>
      <c r="E318" s="72" t="s">
        <v>296</v>
      </c>
      <c r="F318" t="s">
        <v>2703</v>
      </c>
      <c r="G318" s="69">
        <v>2890</v>
      </c>
    </row>
    <row r="319" spans="1:7" ht="17.100000000000001" customHeight="1" x14ac:dyDescent="0.25">
      <c r="A319" s="75">
        <f>IF(C319="","",COUNTA($C$4:C319))</f>
        <v>316</v>
      </c>
      <c r="B319" s="68" t="str">
        <f t="shared" si="4"/>
        <v>November</v>
      </c>
      <c r="C319" s="45">
        <v>45991</v>
      </c>
      <c r="E319" s="72" t="s">
        <v>296</v>
      </c>
      <c r="F319" t="s">
        <v>2704</v>
      </c>
      <c r="G319" s="69">
        <v>1526</v>
      </c>
    </row>
    <row r="320" spans="1:7" ht="17.100000000000001" customHeight="1" x14ac:dyDescent="0.25">
      <c r="A320" s="75">
        <f>IF(C320="","",COUNTA($C$4:C320))</f>
        <v>317</v>
      </c>
      <c r="B320" s="68" t="str">
        <f t="shared" si="4"/>
        <v>November</v>
      </c>
      <c r="C320" s="45">
        <v>45991</v>
      </c>
      <c r="E320" s="72" t="s">
        <v>296</v>
      </c>
      <c r="F320" t="s">
        <v>2704</v>
      </c>
      <c r="G320" s="69">
        <v>3418</v>
      </c>
    </row>
    <row r="321" spans="1:7" ht="17.100000000000001" customHeight="1" x14ac:dyDescent="0.25">
      <c r="A321" s="75">
        <f>IF(C321="","",COUNTA($C$4:C321))</f>
        <v>318</v>
      </c>
      <c r="B321" s="68" t="str">
        <f t="shared" si="4"/>
        <v>November</v>
      </c>
      <c r="C321" s="45">
        <v>45991</v>
      </c>
      <c r="E321" s="72" t="s">
        <v>296</v>
      </c>
      <c r="F321" t="s">
        <v>2704</v>
      </c>
      <c r="G321" s="69">
        <v>6718</v>
      </c>
    </row>
    <row r="322" spans="1:7" ht="17.100000000000001" customHeight="1" x14ac:dyDescent="0.25">
      <c r="A322" s="75">
        <f>IF(C322="","",COUNTA($C$4:C322))</f>
        <v>319</v>
      </c>
      <c r="B322" s="68" t="str">
        <f t="shared" si="4"/>
        <v>November</v>
      </c>
      <c r="C322" s="45">
        <v>45991</v>
      </c>
      <c r="E322" s="72" t="s">
        <v>296</v>
      </c>
      <c r="F322" t="s">
        <v>2705</v>
      </c>
      <c r="G322" s="69">
        <v>1888</v>
      </c>
    </row>
    <row r="323" spans="1:7" ht="17.100000000000001" customHeight="1" x14ac:dyDescent="0.25">
      <c r="A323" s="75">
        <f>IF(C323="","",COUNTA($C$4:C323))</f>
        <v>320</v>
      </c>
      <c r="B323" s="68" t="str">
        <f t="shared" si="4"/>
        <v>December</v>
      </c>
      <c r="C323" s="45">
        <v>45993</v>
      </c>
      <c r="E323" s="72" t="s">
        <v>213</v>
      </c>
      <c r="F323" t="s">
        <v>2205</v>
      </c>
      <c r="G323" s="69">
        <v>180</v>
      </c>
    </row>
    <row r="324" spans="1:7" ht="17.100000000000001" customHeight="1" x14ac:dyDescent="0.25">
      <c r="A324" s="75">
        <f>IF(C324="","",COUNTA($C$4:C324))</f>
        <v>321</v>
      </c>
      <c r="B324" s="68" t="str">
        <f t="shared" si="4"/>
        <v>December</v>
      </c>
      <c r="C324" s="45">
        <v>45995</v>
      </c>
      <c r="E324" s="72" t="s">
        <v>213</v>
      </c>
      <c r="F324" t="s">
        <v>2282</v>
      </c>
      <c r="G324" s="69">
        <v>1100</v>
      </c>
    </row>
    <row r="325" spans="1:7" ht="17.100000000000001" customHeight="1" x14ac:dyDescent="0.25">
      <c r="A325" s="75">
        <f>IF(C325="","",COUNTA($C$4:C325))</f>
        <v>322</v>
      </c>
      <c r="B325" s="68" t="str">
        <f t="shared" si="4"/>
        <v>December</v>
      </c>
      <c r="C325" s="45">
        <v>45995</v>
      </c>
      <c r="E325" s="72" t="s">
        <v>213</v>
      </c>
      <c r="F325" t="s">
        <v>2283</v>
      </c>
      <c r="G325" s="69">
        <v>200</v>
      </c>
    </row>
    <row r="326" spans="1:7" ht="17.100000000000001" customHeight="1" x14ac:dyDescent="0.25">
      <c r="A326" s="75">
        <f>IF(C326="","",COUNTA($C$4:C326))</f>
        <v>323</v>
      </c>
      <c r="B326" s="68" t="str">
        <f t="shared" si="4"/>
        <v>December</v>
      </c>
      <c r="C326" s="45">
        <v>45995</v>
      </c>
      <c r="E326" s="72" t="s">
        <v>213</v>
      </c>
      <c r="F326" t="s">
        <v>2284</v>
      </c>
      <c r="G326" s="69">
        <v>600</v>
      </c>
    </row>
    <row r="327" spans="1:7" ht="17.100000000000001" customHeight="1" x14ac:dyDescent="0.25">
      <c r="A327" s="75">
        <f>IF(C327="","",COUNTA($C$4:C327))</f>
        <v>324</v>
      </c>
      <c r="B327" s="68" t="str">
        <f t="shared" si="4"/>
        <v>December</v>
      </c>
      <c r="C327" s="45">
        <v>45996</v>
      </c>
      <c r="E327" s="72" t="s">
        <v>213</v>
      </c>
      <c r="F327" t="s">
        <v>2286</v>
      </c>
      <c r="G327" s="69">
        <v>700</v>
      </c>
    </row>
    <row r="328" spans="1:7" ht="17.100000000000001" customHeight="1" x14ac:dyDescent="0.25">
      <c r="A328" s="75">
        <f>IF(C328="","",COUNTA($C$4:C328))</f>
        <v>325</v>
      </c>
      <c r="B328" s="68" t="str">
        <f t="shared" si="4"/>
        <v>December</v>
      </c>
      <c r="C328" s="45">
        <v>45997</v>
      </c>
      <c r="E328" s="72" t="s">
        <v>213</v>
      </c>
      <c r="F328" t="s">
        <v>2285</v>
      </c>
      <c r="G328" s="69">
        <v>850</v>
      </c>
    </row>
    <row r="329" spans="1:7" ht="17.100000000000001" customHeight="1" x14ac:dyDescent="0.25">
      <c r="A329" s="75">
        <f>IF(C329="","",COUNTA($C$4:C329))</f>
        <v>326</v>
      </c>
      <c r="B329" s="68" t="str">
        <f t="shared" si="4"/>
        <v>December</v>
      </c>
      <c r="C329" s="45">
        <v>46000</v>
      </c>
      <c r="E329" s="72" t="s">
        <v>213</v>
      </c>
      <c r="F329" t="s">
        <v>2287</v>
      </c>
      <c r="G329" s="69">
        <v>550</v>
      </c>
    </row>
    <row r="330" spans="1:7" ht="17.100000000000001" customHeight="1" x14ac:dyDescent="0.25">
      <c r="A330" s="75">
        <f>IF(C330="","",COUNTA($C$4:C330))</f>
        <v>327</v>
      </c>
      <c r="B330" s="68" t="str">
        <f t="shared" si="4"/>
        <v>December</v>
      </c>
      <c r="C330" s="45">
        <v>46001</v>
      </c>
      <c r="E330" s="72" t="s">
        <v>213</v>
      </c>
      <c r="F330" t="s">
        <v>2288</v>
      </c>
      <c r="G330" s="69">
        <v>310</v>
      </c>
    </row>
    <row r="331" spans="1:7" ht="17.100000000000001" customHeight="1" x14ac:dyDescent="0.25">
      <c r="A331" s="75">
        <f>IF(C331="","",COUNTA($C$4:C331))</f>
        <v>328</v>
      </c>
      <c r="B331" s="68" t="str">
        <f t="shared" si="4"/>
        <v>December</v>
      </c>
      <c r="C331" s="45">
        <v>46001</v>
      </c>
      <c r="E331" s="72" t="s">
        <v>213</v>
      </c>
      <c r="F331" t="s">
        <v>2289</v>
      </c>
      <c r="G331" s="69">
        <v>4000</v>
      </c>
    </row>
    <row r="332" spans="1:7" ht="17.100000000000001" customHeight="1" x14ac:dyDescent="0.25">
      <c r="A332" s="75">
        <f>IF(C332="","",COUNTA($C$4:C332))</f>
        <v>329</v>
      </c>
      <c r="B332" s="68" t="str">
        <f t="shared" si="4"/>
        <v>December</v>
      </c>
      <c r="C332" s="45">
        <v>46003</v>
      </c>
      <c r="E332" s="72" t="s">
        <v>213</v>
      </c>
      <c r="F332" t="s">
        <v>2290</v>
      </c>
      <c r="G332" s="69">
        <v>700</v>
      </c>
    </row>
    <row r="333" spans="1:7" ht="17.100000000000001" customHeight="1" x14ac:dyDescent="0.25">
      <c r="A333" s="75">
        <f>IF(C333="","",COUNTA($C$4:C333))</f>
        <v>330</v>
      </c>
      <c r="B333" s="68" t="str">
        <f t="shared" si="4"/>
        <v>December</v>
      </c>
      <c r="C333" s="45">
        <v>46003</v>
      </c>
      <c r="E333" s="72" t="s">
        <v>213</v>
      </c>
      <c r="F333" t="s">
        <v>2291</v>
      </c>
      <c r="G333" s="69">
        <v>100</v>
      </c>
    </row>
    <row r="334" spans="1:7" ht="17.100000000000001" customHeight="1" x14ac:dyDescent="0.25">
      <c r="A334" s="75">
        <f>IF(C334="","",COUNTA($C$4:C334))</f>
        <v>331</v>
      </c>
      <c r="B334" s="68" t="str">
        <f t="shared" si="4"/>
        <v>December</v>
      </c>
      <c r="C334" s="45">
        <v>46004</v>
      </c>
      <c r="E334" s="72" t="s">
        <v>213</v>
      </c>
      <c r="F334" t="s">
        <v>2292</v>
      </c>
      <c r="G334" s="69">
        <v>2075</v>
      </c>
    </row>
    <row r="335" spans="1:7" ht="17.100000000000001" customHeight="1" x14ac:dyDescent="0.25">
      <c r="A335" s="75">
        <f>IF(C335="","",COUNTA($C$4:C335))</f>
        <v>332</v>
      </c>
      <c r="B335" s="68" t="str">
        <f t="shared" si="4"/>
        <v>December</v>
      </c>
      <c r="C335" s="45">
        <v>46004</v>
      </c>
      <c r="E335" s="72" t="s">
        <v>213</v>
      </c>
      <c r="F335" t="s">
        <v>2293</v>
      </c>
      <c r="G335" s="69">
        <v>2939</v>
      </c>
    </row>
    <row r="336" spans="1:7" ht="17.100000000000001" customHeight="1" x14ac:dyDescent="0.25">
      <c r="A336" s="75">
        <f>IF(C336="","",COUNTA($C$4:C336))</f>
        <v>333</v>
      </c>
      <c r="B336" s="68" t="str">
        <f t="shared" si="4"/>
        <v>December</v>
      </c>
      <c r="C336" s="45">
        <v>46004</v>
      </c>
      <c r="E336" s="72" t="s">
        <v>213</v>
      </c>
      <c r="F336" t="s">
        <v>2294</v>
      </c>
      <c r="G336" s="69">
        <v>220</v>
      </c>
    </row>
    <row r="337" spans="1:7" ht="17.100000000000001" customHeight="1" x14ac:dyDescent="0.25">
      <c r="A337" s="75">
        <f>IF(C337="","",COUNTA($C$4:C337))</f>
        <v>334</v>
      </c>
      <c r="B337" s="68" t="str">
        <f t="shared" si="4"/>
        <v>December</v>
      </c>
      <c r="C337" s="45">
        <v>46005</v>
      </c>
      <c r="E337" s="72" t="s">
        <v>221</v>
      </c>
      <c r="F337" t="s">
        <v>2295</v>
      </c>
      <c r="G337" s="69">
        <v>1200</v>
      </c>
    </row>
    <row r="338" spans="1:7" ht="17.100000000000001" customHeight="1" x14ac:dyDescent="0.25">
      <c r="A338" s="75">
        <f>IF(C338="","",COUNTA($C$4:C338))</f>
        <v>335</v>
      </c>
      <c r="B338" s="68" t="str">
        <f t="shared" si="4"/>
        <v>December</v>
      </c>
      <c r="C338" s="45">
        <v>46006</v>
      </c>
      <c r="E338" s="72" t="s">
        <v>213</v>
      </c>
      <c r="F338" t="s">
        <v>2296</v>
      </c>
      <c r="G338" s="69">
        <v>3300</v>
      </c>
    </row>
    <row r="339" spans="1:7" ht="17.100000000000001" customHeight="1" x14ac:dyDescent="0.25">
      <c r="A339" s="75">
        <f>IF(C339="","",COUNTA($C$4:C339))</f>
        <v>336</v>
      </c>
      <c r="B339" s="68" t="str">
        <f t="shared" si="4"/>
        <v>December</v>
      </c>
      <c r="C339" s="45">
        <v>46006</v>
      </c>
      <c r="E339" s="72" t="s">
        <v>213</v>
      </c>
      <c r="F339" t="s">
        <v>2297</v>
      </c>
      <c r="G339" s="69">
        <v>2100</v>
      </c>
    </row>
    <row r="340" spans="1:7" ht="17.100000000000001" customHeight="1" x14ac:dyDescent="0.25">
      <c r="A340" s="75">
        <f>IF(C340="","",COUNTA($C$4:C340))</f>
        <v>337</v>
      </c>
      <c r="B340" s="68" t="str">
        <f t="shared" si="4"/>
        <v>December</v>
      </c>
      <c r="C340" s="45">
        <v>46006</v>
      </c>
      <c r="E340" s="72" t="s">
        <v>213</v>
      </c>
      <c r="F340" t="s">
        <v>2298</v>
      </c>
      <c r="G340" s="69">
        <v>1800</v>
      </c>
    </row>
    <row r="341" spans="1:7" ht="17.100000000000001" customHeight="1" x14ac:dyDescent="0.25">
      <c r="A341" s="75">
        <f>IF(C341="","",COUNTA($C$4:C341))</f>
        <v>338</v>
      </c>
      <c r="B341" s="68" t="str">
        <f t="shared" si="4"/>
        <v>December</v>
      </c>
      <c r="C341" s="45">
        <v>46006</v>
      </c>
      <c r="E341" s="72" t="s">
        <v>213</v>
      </c>
      <c r="F341" t="s">
        <v>2299</v>
      </c>
      <c r="G341" s="69">
        <v>160</v>
      </c>
    </row>
    <row r="342" spans="1:7" ht="17.100000000000001" customHeight="1" x14ac:dyDescent="0.25">
      <c r="A342" s="75">
        <f>IF(C342="","",COUNTA($C$4:C342))</f>
        <v>339</v>
      </c>
      <c r="B342" s="68" t="str">
        <f t="shared" si="4"/>
        <v>December</v>
      </c>
      <c r="C342" s="45">
        <v>46007</v>
      </c>
      <c r="E342" s="72" t="s">
        <v>213</v>
      </c>
      <c r="F342" t="s">
        <v>2300</v>
      </c>
      <c r="G342" s="69">
        <v>300</v>
      </c>
    </row>
    <row r="343" spans="1:7" ht="17.100000000000001" customHeight="1" x14ac:dyDescent="0.25">
      <c r="A343" s="75">
        <f>IF(C343="","",COUNTA($C$4:C343))</f>
        <v>340</v>
      </c>
      <c r="B343" s="68" t="str">
        <f t="shared" si="4"/>
        <v>December</v>
      </c>
      <c r="C343" s="45">
        <v>46008</v>
      </c>
      <c r="E343" s="72" t="s">
        <v>213</v>
      </c>
      <c r="F343" t="s">
        <v>2301</v>
      </c>
      <c r="G343" s="69">
        <v>680</v>
      </c>
    </row>
    <row r="344" spans="1:7" ht="17.100000000000001" customHeight="1" x14ac:dyDescent="0.25">
      <c r="A344" s="75">
        <f>IF(C344="","",COUNTA($C$4:C344))</f>
        <v>341</v>
      </c>
      <c r="B344" s="68" t="str">
        <f t="shared" si="4"/>
        <v>December</v>
      </c>
      <c r="C344" s="45">
        <v>46009</v>
      </c>
      <c r="E344" s="72" t="s">
        <v>213</v>
      </c>
      <c r="F344" t="s">
        <v>2302</v>
      </c>
      <c r="G344" s="69">
        <v>1410</v>
      </c>
    </row>
    <row r="345" spans="1:7" ht="17.100000000000001" customHeight="1" x14ac:dyDescent="0.25">
      <c r="A345" s="75">
        <f>IF(C345="","",COUNTA($C$4:C345))</f>
        <v>342</v>
      </c>
      <c r="B345" s="68" t="str">
        <f t="shared" si="4"/>
        <v>December</v>
      </c>
      <c r="C345" s="45">
        <v>46010</v>
      </c>
      <c r="E345" s="72" t="s">
        <v>213</v>
      </c>
      <c r="F345" t="s">
        <v>2303</v>
      </c>
      <c r="G345" s="69">
        <v>700</v>
      </c>
    </row>
    <row r="346" spans="1:7" ht="17.100000000000001" customHeight="1" x14ac:dyDescent="0.25">
      <c r="A346" s="75">
        <f>IF(C346="","",COUNTA($C$4:C346))</f>
        <v>343</v>
      </c>
      <c r="B346" s="68" t="str">
        <f t="shared" si="4"/>
        <v>December</v>
      </c>
      <c r="C346" s="45">
        <v>46011</v>
      </c>
      <c r="E346" s="72" t="s">
        <v>213</v>
      </c>
      <c r="F346" t="s">
        <v>2304</v>
      </c>
      <c r="G346" s="69">
        <v>394</v>
      </c>
    </row>
    <row r="347" spans="1:7" ht="17.100000000000001" customHeight="1" x14ac:dyDescent="0.25">
      <c r="A347" s="75">
        <f>IF(C347="","",COUNTA($C$4:C347))</f>
        <v>344</v>
      </c>
      <c r="B347" s="68" t="str">
        <f t="shared" si="4"/>
        <v>December</v>
      </c>
      <c r="C347" s="45">
        <v>46011</v>
      </c>
      <c r="E347" s="72" t="s">
        <v>213</v>
      </c>
      <c r="F347" t="s">
        <v>2305</v>
      </c>
      <c r="G347" s="69">
        <v>4095</v>
      </c>
    </row>
    <row r="348" spans="1:7" ht="17.100000000000001" customHeight="1" x14ac:dyDescent="0.25">
      <c r="A348" s="75">
        <f>IF(C348="","",COUNTA($C$4:C348))</f>
        <v>345</v>
      </c>
      <c r="B348" s="68" t="str">
        <f t="shared" si="4"/>
        <v>December</v>
      </c>
      <c r="C348" s="45">
        <v>46015</v>
      </c>
      <c r="E348" s="72" t="s">
        <v>213</v>
      </c>
      <c r="F348" t="s">
        <v>2547</v>
      </c>
      <c r="G348" s="69">
        <v>500</v>
      </c>
    </row>
    <row r="349" spans="1:7" ht="17.100000000000001" customHeight="1" x14ac:dyDescent="0.25">
      <c r="A349" s="75">
        <f>IF(C349="","",COUNTA($C$4:C349))</f>
        <v>346</v>
      </c>
      <c r="B349" s="68" t="str">
        <f t="shared" si="4"/>
        <v>December</v>
      </c>
      <c r="C349" s="45">
        <v>46015</v>
      </c>
      <c r="E349" s="72" t="s">
        <v>789</v>
      </c>
      <c r="F349" t="s">
        <v>2548</v>
      </c>
      <c r="G349" s="69">
        <v>350</v>
      </c>
    </row>
    <row r="350" spans="1:7" ht="17.100000000000001" customHeight="1" x14ac:dyDescent="0.25">
      <c r="A350" s="75">
        <f>IF(C350="","",COUNTA($C$4:C350))</f>
        <v>347</v>
      </c>
      <c r="B350" s="68" t="str">
        <f t="shared" si="4"/>
        <v>December</v>
      </c>
      <c r="C350" s="45">
        <v>46016</v>
      </c>
      <c r="E350" s="72" t="s">
        <v>213</v>
      </c>
      <c r="F350" t="s">
        <v>2549</v>
      </c>
      <c r="G350" s="69">
        <v>2100</v>
      </c>
    </row>
    <row r="351" spans="1:7" ht="17.100000000000001" customHeight="1" x14ac:dyDescent="0.25">
      <c r="A351" s="75">
        <f>IF(C351="","",COUNTA($C$4:C351))</f>
        <v>348</v>
      </c>
      <c r="B351" s="68" t="str">
        <f t="shared" si="4"/>
        <v>December</v>
      </c>
      <c r="C351" s="45">
        <v>46017</v>
      </c>
      <c r="E351" s="72" t="s">
        <v>213</v>
      </c>
      <c r="F351" t="s">
        <v>2550</v>
      </c>
      <c r="G351" s="69">
        <v>700</v>
      </c>
    </row>
    <row r="352" spans="1:7" ht="17.100000000000001" customHeight="1" x14ac:dyDescent="0.25">
      <c r="A352" s="75">
        <f>IF(C352="","",COUNTA($C$4:C352))</f>
        <v>349</v>
      </c>
      <c r="B352" s="68" t="str">
        <f t="shared" si="4"/>
        <v>December</v>
      </c>
      <c r="C352" s="45">
        <v>46018</v>
      </c>
      <c r="E352" s="72" t="s">
        <v>213</v>
      </c>
      <c r="F352" t="s">
        <v>2551</v>
      </c>
      <c r="G352" s="69">
        <v>100</v>
      </c>
    </row>
    <row r="353" spans="1:7" ht="17.100000000000001" customHeight="1" x14ac:dyDescent="0.25">
      <c r="A353" s="75">
        <f>IF(C353="","",COUNTA($C$4:C353))</f>
        <v>350</v>
      </c>
      <c r="B353" s="68" t="str">
        <f t="shared" si="4"/>
        <v>December</v>
      </c>
      <c r="C353" s="45">
        <v>46021</v>
      </c>
      <c r="E353" s="72" t="s">
        <v>296</v>
      </c>
      <c r="F353" t="s">
        <v>2706</v>
      </c>
      <c r="G353" s="69">
        <v>2100</v>
      </c>
    </row>
    <row r="354" spans="1:7" ht="17.100000000000001" customHeight="1" x14ac:dyDescent="0.25">
      <c r="A354" s="75">
        <f>IF(C354="","",COUNTA($C$4:C354))</f>
        <v>351</v>
      </c>
      <c r="B354" s="68" t="str">
        <f t="shared" si="4"/>
        <v>December</v>
      </c>
      <c r="C354" s="45">
        <v>46022</v>
      </c>
      <c r="E354" s="72" t="s">
        <v>296</v>
      </c>
      <c r="F354" t="s">
        <v>2707</v>
      </c>
      <c r="G354" s="69">
        <v>300</v>
      </c>
    </row>
    <row r="355" spans="1:7" ht="17.100000000000001" customHeight="1" x14ac:dyDescent="0.25">
      <c r="A355" s="75">
        <f>IF(C355="","",COUNTA($C$4:C355))</f>
        <v>352</v>
      </c>
      <c r="B355" s="68" t="str">
        <f t="shared" si="4"/>
        <v>December</v>
      </c>
      <c r="C355" s="45">
        <v>46022</v>
      </c>
      <c r="E355" s="72" t="s">
        <v>296</v>
      </c>
      <c r="F355" t="s">
        <v>2708</v>
      </c>
      <c r="G355" s="69">
        <v>3452</v>
      </c>
    </row>
    <row r="356" spans="1:7" ht="17.100000000000001" customHeight="1" x14ac:dyDescent="0.25">
      <c r="A356" s="75">
        <f>IF(C356="","",COUNTA($C$4:C356))</f>
        <v>353</v>
      </c>
      <c r="B356" s="68" t="str">
        <f t="shared" si="4"/>
        <v>December</v>
      </c>
      <c r="C356" s="45">
        <v>46022</v>
      </c>
      <c r="E356" s="72" t="s">
        <v>296</v>
      </c>
      <c r="F356" t="s">
        <v>2709</v>
      </c>
      <c r="G356" s="69">
        <v>4042</v>
      </c>
    </row>
    <row r="357" spans="1:7" ht="17.100000000000001" customHeight="1" x14ac:dyDescent="0.25">
      <c r="A357" s="75">
        <f>IF(C357="","",COUNTA($C$4:C357))</f>
        <v>354</v>
      </c>
      <c r="B357" s="68" t="str">
        <f t="shared" si="4"/>
        <v>December</v>
      </c>
      <c r="C357" s="45">
        <v>46022</v>
      </c>
      <c r="E357" s="72" t="s">
        <v>296</v>
      </c>
      <c r="F357" t="s">
        <v>2710</v>
      </c>
      <c r="G357" s="69">
        <v>362</v>
      </c>
    </row>
    <row r="358" spans="1:7" ht="17.100000000000001" customHeight="1" x14ac:dyDescent="0.25">
      <c r="A358" s="75">
        <f>IF(C358="","",COUNTA($C$4:C358))</f>
        <v>355</v>
      </c>
      <c r="B358" s="68" t="str">
        <f t="shared" si="4"/>
        <v>December</v>
      </c>
      <c r="C358" s="45">
        <v>46022</v>
      </c>
      <c r="E358" s="72" t="s">
        <v>296</v>
      </c>
      <c r="F358" t="s">
        <v>2711</v>
      </c>
      <c r="G358" s="69">
        <v>7530</v>
      </c>
    </row>
    <row r="359" spans="1:7" ht="17.100000000000001" customHeight="1" x14ac:dyDescent="0.25">
      <c r="A359" s="75">
        <f>IF(C359="","",COUNTA($C$4:C359))</f>
        <v>356</v>
      </c>
      <c r="B359" s="68" t="str">
        <f t="shared" si="4"/>
        <v>December</v>
      </c>
      <c r="C359" s="45">
        <v>46022</v>
      </c>
      <c r="E359" s="72" t="s">
        <v>296</v>
      </c>
      <c r="F359" t="s">
        <v>2711</v>
      </c>
      <c r="G359" s="69">
        <v>7414</v>
      </c>
    </row>
    <row r="360" spans="1:7" ht="17.100000000000001" customHeight="1" x14ac:dyDescent="0.25">
      <c r="A360" s="75">
        <f>IF(C360="","",COUNTA($C$4:C360))</f>
        <v>357</v>
      </c>
      <c r="B360" s="68" t="str">
        <f t="shared" si="4"/>
        <v>December</v>
      </c>
      <c r="C360" s="45">
        <v>46022</v>
      </c>
      <c r="E360" s="72" t="s">
        <v>296</v>
      </c>
      <c r="F360" t="s">
        <v>2711</v>
      </c>
      <c r="G360" s="69">
        <v>4016</v>
      </c>
    </row>
    <row r="361" spans="1:7" ht="17.100000000000001" customHeight="1" x14ac:dyDescent="0.25">
      <c r="A361" s="75">
        <f>IF(C361="","",COUNTA($C$4:C361))</f>
        <v>358</v>
      </c>
      <c r="B361" s="68" t="str">
        <f t="shared" si="4"/>
        <v>December</v>
      </c>
      <c r="C361" s="45">
        <v>46022</v>
      </c>
      <c r="E361" s="72" t="s">
        <v>296</v>
      </c>
      <c r="F361" t="s">
        <v>2712</v>
      </c>
      <c r="G361" s="69">
        <v>1715</v>
      </c>
    </row>
    <row r="362" spans="1:7" ht="17.100000000000001" customHeight="1" x14ac:dyDescent="0.25">
      <c r="A362" s="75">
        <f>IF(C362="","",COUNTA($C$4:C362))</f>
        <v>359</v>
      </c>
      <c r="B362" s="68" t="str">
        <f t="shared" si="4"/>
        <v>December</v>
      </c>
      <c r="C362" s="45">
        <v>46022</v>
      </c>
      <c r="E362" s="72" t="s">
        <v>213</v>
      </c>
      <c r="F362" t="s">
        <v>2552</v>
      </c>
      <c r="G362" s="69">
        <v>100</v>
      </c>
    </row>
    <row r="363" spans="1:7" ht="17.100000000000001" customHeight="1" x14ac:dyDescent="0.25">
      <c r="A363" s="75">
        <f>IF(C363="","",COUNTA($C$4:C363))</f>
        <v>360</v>
      </c>
      <c r="B363" s="68" t="str">
        <f t="shared" si="4"/>
        <v>January</v>
      </c>
      <c r="C363" s="45">
        <v>46024</v>
      </c>
      <c r="E363" s="72" t="s">
        <v>213</v>
      </c>
      <c r="F363" t="s">
        <v>2553</v>
      </c>
      <c r="G363" s="69">
        <v>700</v>
      </c>
    </row>
    <row r="364" spans="1:7" ht="17.100000000000001" customHeight="1" x14ac:dyDescent="0.25">
      <c r="A364" s="75">
        <f>IF(C364="","",COUNTA($C$4:C364))</f>
        <v>361</v>
      </c>
      <c r="B364" s="68" t="str">
        <f t="shared" si="4"/>
        <v>January</v>
      </c>
      <c r="C364" s="45">
        <v>46024</v>
      </c>
      <c r="E364" s="72" t="s">
        <v>213</v>
      </c>
      <c r="F364" t="s">
        <v>2554</v>
      </c>
      <c r="G364" s="69">
        <v>1681</v>
      </c>
    </row>
    <row r="365" spans="1:7" ht="17.100000000000001" customHeight="1" x14ac:dyDescent="0.25">
      <c r="A365" s="75">
        <f>IF(C365="","",COUNTA($C$4:C365))</f>
        <v>362</v>
      </c>
      <c r="B365" s="68" t="str">
        <f t="shared" si="4"/>
        <v>January</v>
      </c>
      <c r="C365" s="45">
        <v>46024</v>
      </c>
      <c r="E365" s="72" t="s">
        <v>213</v>
      </c>
      <c r="F365" t="s">
        <v>2555</v>
      </c>
      <c r="G365" s="69">
        <v>2850</v>
      </c>
    </row>
    <row r="366" spans="1:7" ht="17.100000000000001" customHeight="1" x14ac:dyDescent="0.25">
      <c r="A366" s="75">
        <f>IF(C366="","",COUNTA($C$4:C366))</f>
        <v>363</v>
      </c>
      <c r="B366" s="68" t="str">
        <f t="shared" si="4"/>
        <v>January</v>
      </c>
      <c r="C366" s="45">
        <v>46024</v>
      </c>
      <c r="E366" s="72" t="s">
        <v>296</v>
      </c>
      <c r="F366" t="s">
        <v>2713</v>
      </c>
      <c r="G366" s="69">
        <v>276</v>
      </c>
    </row>
    <row r="367" spans="1:7" ht="17.100000000000001" customHeight="1" x14ac:dyDescent="0.25">
      <c r="A367" s="75">
        <f>IF(C367="","",COUNTA($C$4:C367))</f>
        <v>364</v>
      </c>
      <c r="B367" s="68" t="str">
        <f t="shared" si="4"/>
        <v>January</v>
      </c>
      <c r="C367" s="45">
        <v>46027</v>
      </c>
      <c r="E367" s="72" t="s">
        <v>213</v>
      </c>
      <c r="F367" s="87" t="s">
        <v>2556</v>
      </c>
      <c r="G367" s="69">
        <v>200</v>
      </c>
    </row>
    <row r="368" spans="1:7" ht="17.100000000000001" customHeight="1" x14ac:dyDescent="0.25">
      <c r="A368" s="75">
        <f>IF(C368="","",COUNTA($C$4:C368))</f>
        <v>365</v>
      </c>
      <c r="B368" s="68" t="str">
        <f t="shared" si="4"/>
        <v>January</v>
      </c>
      <c r="C368" s="45">
        <v>46028</v>
      </c>
      <c r="E368" s="72" t="s">
        <v>213</v>
      </c>
      <c r="F368" t="s">
        <v>2557</v>
      </c>
      <c r="G368" s="69">
        <v>1603</v>
      </c>
    </row>
    <row r="369" spans="1:7" ht="17.100000000000001" customHeight="1" x14ac:dyDescent="0.25">
      <c r="A369" s="75">
        <f>IF(C369="","",COUNTA($C$4:C369))</f>
        <v>366</v>
      </c>
      <c r="B369" s="68" t="str">
        <f t="shared" si="4"/>
        <v>January</v>
      </c>
      <c r="C369" s="45">
        <v>46031</v>
      </c>
      <c r="E369" s="72" t="s">
        <v>213</v>
      </c>
      <c r="F369" t="s">
        <v>2558</v>
      </c>
      <c r="G369" s="69">
        <v>3300</v>
      </c>
    </row>
    <row r="370" spans="1:7" ht="17.100000000000001" customHeight="1" x14ac:dyDescent="0.25">
      <c r="A370" s="75">
        <f>IF(C378="","",COUNTA($C$4:C378))</f>
        <v>375</v>
      </c>
      <c r="B370" s="68" t="str">
        <f t="shared" si="4"/>
        <v>January</v>
      </c>
      <c r="C370" s="45">
        <v>46031</v>
      </c>
      <c r="E370" s="72" t="s">
        <v>213</v>
      </c>
      <c r="F370" t="s">
        <v>2559</v>
      </c>
      <c r="G370" s="69">
        <v>1265</v>
      </c>
    </row>
    <row r="371" spans="1:7" ht="17.100000000000001" customHeight="1" x14ac:dyDescent="0.25">
      <c r="A371" s="75">
        <f>IF(C371="","",COUNTA($C$4:C371))</f>
        <v>368</v>
      </c>
      <c r="B371" s="68" t="str">
        <f t="shared" si="4"/>
        <v>January</v>
      </c>
      <c r="C371" s="45">
        <v>46031</v>
      </c>
      <c r="E371" s="72" t="s">
        <v>213</v>
      </c>
      <c r="F371" t="s">
        <v>2560</v>
      </c>
      <c r="G371" s="69">
        <v>2800</v>
      </c>
    </row>
    <row r="372" spans="1:7" ht="17.100000000000001" customHeight="1" x14ac:dyDescent="0.25">
      <c r="A372" s="75">
        <f>IF(C372="","",COUNTA($C$4:C372))</f>
        <v>369</v>
      </c>
      <c r="B372" s="68" t="str">
        <f t="shared" si="4"/>
        <v>January</v>
      </c>
      <c r="C372" s="45">
        <v>46031</v>
      </c>
      <c r="E372" s="72" t="s">
        <v>213</v>
      </c>
      <c r="F372" t="s">
        <v>2561</v>
      </c>
      <c r="G372" s="69">
        <v>700</v>
      </c>
    </row>
    <row r="373" spans="1:7" ht="17.100000000000001" customHeight="1" x14ac:dyDescent="0.25">
      <c r="A373" s="75">
        <f>IF(C373="","",COUNTA($C$4:C373))</f>
        <v>370</v>
      </c>
      <c r="B373" s="68" t="str">
        <f t="shared" si="4"/>
        <v>January</v>
      </c>
      <c r="C373" s="45">
        <v>46032</v>
      </c>
      <c r="E373" s="72" t="s">
        <v>213</v>
      </c>
      <c r="F373" t="s">
        <v>2562</v>
      </c>
      <c r="G373" s="69">
        <v>550</v>
      </c>
    </row>
    <row r="374" spans="1:7" ht="17.100000000000001" customHeight="1" x14ac:dyDescent="0.25">
      <c r="A374" s="75">
        <f>IF(C374="","",COUNTA($C$4:C374))</f>
        <v>371</v>
      </c>
      <c r="B374" s="68" t="str">
        <f t="shared" si="4"/>
        <v>January</v>
      </c>
      <c r="C374" s="45">
        <v>46032</v>
      </c>
      <c r="E374" s="72" t="s">
        <v>213</v>
      </c>
      <c r="F374" t="s">
        <v>2563</v>
      </c>
      <c r="G374" s="69">
        <v>4000</v>
      </c>
    </row>
    <row r="375" spans="1:7" ht="17.100000000000001" customHeight="1" x14ac:dyDescent="0.25">
      <c r="A375" s="75">
        <f>IF(C375="","",COUNTA($C$4:C375))</f>
        <v>372</v>
      </c>
      <c r="B375" s="68" t="str">
        <f t="shared" si="4"/>
        <v>January</v>
      </c>
      <c r="C375" s="45">
        <v>46032</v>
      </c>
      <c r="E375" s="72" t="s">
        <v>213</v>
      </c>
      <c r="F375" t="s">
        <v>2564</v>
      </c>
      <c r="G375" s="69">
        <v>4720</v>
      </c>
    </row>
    <row r="376" spans="1:7" ht="17.100000000000001" customHeight="1" x14ac:dyDescent="0.25">
      <c r="A376" s="75">
        <f>IF(C376="","",COUNTA($C$4:C376))</f>
        <v>373</v>
      </c>
      <c r="B376" s="68" t="str">
        <f t="shared" si="4"/>
        <v>January</v>
      </c>
      <c r="C376" s="45">
        <v>46034</v>
      </c>
      <c r="E376" s="72" t="s">
        <v>213</v>
      </c>
      <c r="F376" t="s">
        <v>2565</v>
      </c>
      <c r="G376" s="69">
        <v>1470</v>
      </c>
    </row>
    <row r="377" spans="1:7" ht="17.100000000000001" customHeight="1" x14ac:dyDescent="0.25">
      <c r="A377" s="75">
        <f>IF(C377="","",COUNTA($C$4:C377))</f>
        <v>374</v>
      </c>
      <c r="B377" s="68" t="str">
        <f t="shared" si="4"/>
        <v>January</v>
      </c>
      <c r="C377" s="45">
        <v>46035</v>
      </c>
      <c r="E377" s="72" t="s">
        <v>213</v>
      </c>
      <c r="F377" t="s">
        <v>2566</v>
      </c>
      <c r="G377" s="69">
        <v>5000</v>
      </c>
    </row>
    <row r="378" spans="1:7" ht="17.100000000000001" customHeight="1" x14ac:dyDescent="0.25">
      <c r="A378" s="75">
        <f>IF(C378="","",COUNTA($C$4:C378))</f>
        <v>375</v>
      </c>
      <c r="B378" s="68" t="str">
        <f>IF(C378="","",TEXT(C378,"mmmm"))</f>
        <v>January</v>
      </c>
      <c r="C378" s="45">
        <v>46035</v>
      </c>
      <c r="E378" s="72" t="s">
        <v>213</v>
      </c>
      <c r="F378" t="s">
        <v>1921</v>
      </c>
      <c r="G378" s="69">
        <v>200</v>
      </c>
    </row>
    <row r="379" spans="1:7" ht="17.100000000000001" customHeight="1" x14ac:dyDescent="0.25">
      <c r="A379" s="75">
        <f>IF(C379="","",COUNTA($C$4:C379))</f>
        <v>376</v>
      </c>
      <c r="B379" s="68" t="str">
        <f t="shared" ref="B379:B399" si="5">IF(C379="","",TEXT(C379,"mmmm"))</f>
        <v>January</v>
      </c>
      <c r="C379" s="45">
        <v>46038</v>
      </c>
      <c r="E379" s="72" t="s">
        <v>213</v>
      </c>
      <c r="F379" t="s">
        <v>2714</v>
      </c>
      <c r="G379" s="69">
        <v>700</v>
      </c>
    </row>
    <row r="380" spans="1:7" ht="17.100000000000001" customHeight="1" x14ac:dyDescent="0.25">
      <c r="A380" s="75">
        <f>IF(C380="","",COUNTA($C$4:C380))</f>
        <v>377</v>
      </c>
      <c r="B380" s="68" t="str">
        <f t="shared" si="5"/>
        <v>January</v>
      </c>
      <c r="C380" s="45">
        <v>46039</v>
      </c>
      <c r="E380" s="72" t="s">
        <v>213</v>
      </c>
      <c r="F380" t="s">
        <v>2715</v>
      </c>
      <c r="G380" s="69">
        <v>180</v>
      </c>
    </row>
    <row r="381" spans="1:7" ht="17.100000000000001" customHeight="1" x14ac:dyDescent="0.25">
      <c r="A381" s="75">
        <f>IF(C381="","",COUNTA($C$4:C381))</f>
        <v>378</v>
      </c>
      <c r="B381" s="68" t="str">
        <f t="shared" si="5"/>
        <v>January</v>
      </c>
      <c r="C381" s="45">
        <v>46044</v>
      </c>
      <c r="E381" s="72" t="s">
        <v>213</v>
      </c>
      <c r="F381" t="s">
        <v>2716</v>
      </c>
      <c r="G381" s="69">
        <v>3220</v>
      </c>
    </row>
    <row r="382" spans="1:7" ht="17.100000000000001" customHeight="1" x14ac:dyDescent="0.25">
      <c r="A382" s="75">
        <f>IF(C382="","",COUNTA($C$4:C382))</f>
        <v>379</v>
      </c>
      <c r="B382" s="68" t="str">
        <f t="shared" si="5"/>
        <v>January</v>
      </c>
      <c r="C382" s="45">
        <v>46044</v>
      </c>
      <c r="E382" s="72" t="s">
        <v>213</v>
      </c>
      <c r="F382" t="s">
        <v>2717</v>
      </c>
      <c r="G382" s="69">
        <v>440</v>
      </c>
    </row>
    <row r="383" spans="1:7" ht="17.100000000000001" customHeight="1" x14ac:dyDescent="0.25">
      <c r="A383" s="75">
        <f>IF(C383="","",COUNTA($C$4:C383))</f>
        <v>380</v>
      </c>
      <c r="B383" s="68" t="str">
        <f t="shared" si="5"/>
        <v>January</v>
      </c>
      <c r="C383" s="45">
        <v>46044</v>
      </c>
      <c r="E383" s="72" t="s">
        <v>213</v>
      </c>
      <c r="F383" t="s">
        <v>2718</v>
      </c>
      <c r="G383" s="69">
        <v>500</v>
      </c>
    </row>
    <row r="384" spans="1:7" ht="17.100000000000001" customHeight="1" x14ac:dyDescent="0.25">
      <c r="A384" s="75">
        <f>IF(C384="","",COUNTA($C$4:C384))</f>
        <v>381</v>
      </c>
      <c r="B384" s="68" t="str">
        <f t="shared" si="5"/>
        <v>January</v>
      </c>
      <c r="C384" s="45">
        <v>46044</v>
      </c>
      <c r="E384" s="72" t="s">
        <v>213</v>
      </c>
      <c r="F384" t="s">
        <v>2719</v>
      </c>
      <c r="G384" s="69">
        <v>2375</v>
      </c>
    </row>
    <row r="385" spans="1:7" ht="17.100000000000001" customHeight="1" x14ac:dyDescent="0.25">
      <c r="A385" s="75">
        <f>IF(C385="","",COUNTA($C$4:C385))</f>
        <v>382</v>
      </c>
      <c r="B385" s="68" t="str">
        <f t="shared" si="5"/>
        <v>January</v>
      </c>
      <c r="C385" s="45">
        <v>46045</v>
      </c>
      <c r="E385" s="72" t="s">
        <v>213</v>
      </c>
      <c r="F385" t="s">
        <v>2720</v>
      </c>
      <c r="G385" s="69">
        <v>700</v>
      </c>
    </row>
    <row r="386" spans="1:7" ht="17.100000000000001" customHeight="1" x14ac:dyDescent="0.25">
      <c r="A386" s="75">
        <f>IF(C386="","",COUNTA($C$4:C386))</f>
        <v>383</v>
      </c>
      <c r="B386" s="68" t="str">
        <f t="shared" si="5"/>
        <v>January</v>
      </c>
      <c r="C386" s="45">
        <v>46045</v>
      </c>
      <c r="E386" s="72" t="s">
        <v>213</v>
      </c>
      <c r="F386" t="s">
        <v>2721</v>
      </c>
      <c r="G386" s="69">
        <v>790</v>
      </c>
    </row>
    <row r="387" spans="1:7" ht="17.100000000000001" customHeight="1" x14ac:dyDescent="0.25">
      <c r="A387" s="75">
        <f>IF(C387="","",COUNTA($C$4:C387))</f>
        <v>384</v>
      </c>
      <c r="B387" s="68" t="str">
        <f t="shared" si="5"/>
        <v>January</v>
      </c>
      <c r="C387" s="45">
        <v>46045</v>
      </c>
      <c r="E387" s="72" t="s">
        <v>213</v>
      </c>
      <c r="F387" t="s">
        <v>2722</v>
      </c>
      <c r="G387" s="69">
        <v>1430</v>
      </c>
    </row>
    <row r="388" spans="1:7" ht="17.100000000000001" customHeight="1" x14ac:dyDescent="0.25">
      <c r="A388" s="75">
        <f>IF(C388="","",COUNTA($C$4:C388))</f>
        <v>385</v>
      </c>
      <c r="B388" s="68" t="str">
        <f t="shared" si="5"/>
        <v>January</v>
      </c>
      <c r="C388" s="45">
        <v>46045</v>
      </c>
      <c r="E388" s="72" t="s">
        <v>213</v>
      </c>
      <c r="F388" t="s">
        <v>2723</v>
      </c>
      <c r="G388" s="69">
        <v>1950</v>
      </c>
    </row>
    <row r="389" spans="1:7" ht="17.100000000000001" customHeight="1" x14ac:dyDescent="0.25">
      <c r="A389" s="75">
        <f>IF(C389="","",COUNTA($C$4:C389))</f>
        <v>386</v>
      </c>
      <c r="B389" s="68" t="str">
        <f t="shared" si="5"/>
        <v>January</v>
      </c>
      <c r="C389" s="45">
        <v>46046</v>
      </c>
      <c r="E389" s="72" t="s">
        <v>213</v>
      </c>
      <c r="F389" t="s">
        <v>2724</v>
      </c>
      <c r="G389" s="69">
        <v>4800</v>
      </c>
    </row>
    <row r="390" spans="1:7" ht="17.100000000000001" customHeight="1" x14ac:dyDescent="0.25">
      <c r="A390" s="75">
        <f>IF(C390="","",COUNTA($C$4:C390))</f>
        <v>387</v>
      </c>
      <c r="B390" s="68" t="str">
        <f t="shared" si="5"/>
        <v>January</v>
      </c>
      <c r="C390" s="45">
        <v>46051</v>
      </c>
      <c r="E390" s="72" t="s">
        <v>213</v>
      </c>
      <c r="F390" t="s">
        <v>2053</v>
      </c>
      <c r="G390" s="69">
        <v>4211</v>
      </c>
    </row>
    <row r="391" spans="1:7" ht="17.100000000000001" customHeight="1" x14ac:dyDescent="0.25">
      <c r="A391" s="75">
        <f>IF(C391="","",COUNTA($C$4:C391))</f>
        <v>388</v>
      </c>
      <c r="B391" s="68" t="str">
        <f t="shared" si="5"/>
        <v>January</v>
      </c>
      <c r="C391" s="45">
        <v>46052</v>
      </c>
      <c r="E391" s="72" t="s">
        <v>213</v>
      </c>
      <c r="F391" t="s">
        <v>2725</v>
      </c>
      <c r="G391" s="69">
        <v>700</v>
      </c>
    </row>
    <row r="392" spans="1:7" ht="17.100000000000001" customHeight="1" x14ac:dyDescent="0.25">
      <c r="A392" s="75">
        <f>IF(C392="","",COUNTA($C$4:C392))</f>
        <v>389</v>
      </c>
      <c r="B392" s="68" t="str">
        <f t="shared" si="5"/>
        <v>January</v>
      </c>
      <c r="C392" s="45">
        <v>46052</v>
      </c>
      <c r="E392" s="72" t="s">
        <v>296</v>
      </c>
      <c r="F392" t="s">
        <v>2837</v>
      </c>
      <c r="G392" s="69">
        <v>3650</v>
      </c>
    </row>
    <row r="393" spans="1:7" ht="17.100000000000001" customHeight="1" x14ac:dyDescent="0.25">
      <c r="A393" s="75">
        <f>IF(C393="","",COUNTA($C$4:C393))</f>
        <v>390</v>
      </c>
      <c r="B393" s="68" t="str">
        <f t="shared" si="5"/>
        <v>January</v>
      </c>
      <c r="C393" s="45">
        <v>46052</v>
      </c>
      <c r="E393" s="72" t="s">
        <v>296</v>
      </c>
      <c r="F393" t="s">
        <v>2838</v>
      </c>
      <c r="G393" s="69">
        <v>1530</v>
      </c>
    </row>
    <row r="394" spans="1:7" ht="17.100000000000001" customHeight="1" x14ac:dyDescent="0.25">
      <c r="A394" s="75">
        <f>IF(C394="","",COUNTA($C$4:C394))</f>
        <v>391</v>
      </c>
      <c r="B394" s="68" t="str">
        <f t="shared" si="5"/>
        <v>February</v>
      </c>
      <c r="C394" s="45">
        <v>46055</v>
      </c>
      <c r="E394" s="72" t="s">
        <v>213</v>
      </c>
      <c r="F394" t="s">
        <v>2726</v>
      </c>
      <c r="G394" s="69">
        <v>1200</v>
      </c>
    </row>
    <row r="395" spans="1:7" ht="17.100000000000001" customHeight="1" x14ac:dyDescent="0.25">
      <c r="A395" s="75">
        <f>IF(C395="","",COUNTA($C$4:C395))</f>
        <v>392</v>
      </c>
      <c r="B395" s="68" t="str">
        <f t="shared" si="5"/>
        <v>February</v>
      </c>
      <c r="C395" s="45">
        <v>46056</v>
      </c>
      <c r="E395" s="72" t="s">
        <v>213</v>
      </c>
      <c r="F395" t="s">
        <v>2727</v>
      </c>
      <c r="G395" s="69">
        <v>300</v>
      </c>
    </row>
    <row r="396" spans="1:7" ht="17.100000000000001" customHeight="1" x14ac:dyDescent="0.25">
      <c r="A396" s="75">
        <f>IF(C396="","",COUNTA($C$4:C396))</f>
        <v>393</v>
      </c>
      <c r="B396" s="68" t="str">
        <f t="shared" si="5"/>
        <v>February</v>
      </c>
      <c r="C396" s="45">
        <v>46057</v>
      </c>
      <c r="E396" s="72" t="s">
        <v>213</v>
      </c>
      <c r="F396" t="s">
        <v>2686</v>
      </c>
      <c r="G396" s="69">
        <v>3200</v>
      </c>
    </row>
    <row r="397" spans="1:7" ht="17.100000000000001" customHeight="1" x14ac:dyDescent="0.25">
      <c r="A397" s="75">
        <f>IF(C397="","",COUNTA($C$4:C397))</f>
        <v>394</v>
      </c>
      <c r="B397" s="68" t="str">
        <f t="shared" si="5"/>
        <v>February</v>
      </c>
      <c r="C397" s="45">
        <v>46059</v>
      </c>
      <c r="E397" s="72" t="s">
        <v>213</v>
      </c>
      <c r="F397" t="s">
        <v>2687</v>
      </c>
      <c r="G397" s="69">
        <v>700</v>
      </c>
    </row>
    <row r="398" spans="1:7" ht="17.100000000000001" customHeight="1" x14ac:dyDescent="0.25">
      <c r="A398" s="75">
        <f>IF(C398="","",COUNTA($C$4:C398))</f>
        <v>395</v>
      </c>
      <c r="B398" s="68" t="str">
        <f t="shared" si="5"/>
        <v>February</v>
      </c>
      <c r="C398" s="45">
        <v>46060</v>
      </c>
      <c r="E398" s="72" t="s">
        <v>213</v>
      </c>
      <c r="F398" t="s">
        <v>2688</v>
      </c>
      <c r="G398" s="69">
        <v>300</v>
      </c>
    </row>
    <row r="399" spans="1:7" ht="17.100000000000001" customHeight="1" x14ac:dyDescent="0.25">
      <c r="A399" s="75">
        <f>IF(C399="","",COUNTA($C$4:C399))</f>
        <v>396</v>
      </c>
      <c r="B399" s="68" t="str">
        <f t="shared" si="5"/>
        <v>February</v>
      </c>
      <c r="C399" s="45">
        <v>46063</v>
      </c>
      <c r="E399" s="72" t="s">
        <v>213</v>
      </c>
      <c r="F399" t="s">
        <v>2689</v>
      </c>
      <c r="G399" s="69">
        <v>550</v>
      </c>
    </row>
    <row r="400" spans="1:7" ht="17.100000000000001" customHeight="1" x14ac:dyDescent="0.25">
      <c r="A400" s="75">
        <f>IF(C400="","",COUNTA($C$4:C400))</f>
        <v>397</v>
      </c>
      <c r="B400" s="68" t="str">
        <f t="shared" ref="B400:B457" si="6">IF(C400="","",TEXT(C400,"mmmm"))</f>
        <v>February</v>
      </c>
      <c r="C400" s="45">
        <v>46063</v>
      </c>
      <c r="E400" s="72" t="s">
        <v>213</v>
      </c>
      <c r="F400" t="s">
        <v>2690</v>
      </c>
      <c r="G400" s="69">
        <v>1200</v>
      </c>
    </row>
    <row r="401" spans="1:7" ht="17.100000000000001" customHeight="1" x14ac:dyDescent="0.25">
      <c r="A401" s="75">
        <f>IF(C401="","",COUNTA($C$4:C401))</f>
        <v>398</v>
      </c>
      <c r="B401" s="68" t="str">
        <f t="shared" si="6"/>
        <v>February</v>
      </c>
      <c r="C401" s="45">
        <v>46064</v>
      </c>
      <c r="E401" s="72" t="s">
        <v>213</v>
      </c>
      <c r="F401" t="s">
        <v>2691</v>
      </c>
      <c r="G401" s="69">
        <v>4000</v>
      </c>
    </row>
    <row r="402" spans="1:7" ht="17.100000000000001" customHeight="1" x14ac:dyDescent="0.25">
      <c r="A402" s="75">
        <f>IF(C402="","",COUNTA($C$4:C402))</f>
        <v>399</v>
      </c>
      <c r="B402" s="68" t="str">
        <f t="shared" si="6"/>
        <v>February</v>
      </c>
      <c r="C402" s="45">
        <v>46064</v>
      </c>
      <c r="E402" s="72" t="s">
        <v>213</v>
      </c>
      <c r="F402" t="s">
        <v>2692</v>
      </c>
      <c r="G402" s="69">
        <v>1806</v>
      </c>
    </row>
    <row r="403" spans="1:7" ht="17.100000000000001" customHeight="1" x14ac:dyDescent="0.25">
      <c r="A403" s="75">
        <f>IF(C403="","",COUNTA($C$4:C403))</f>
        <v>400</v>
      </c>
      <c r="B403" s="68" t="str">
        <f t="shared" si="6"/>
        <v>February</v>
      </c>
      <c r="C403" s="45">
        <v>46065</v>
      </c>
      <c r="E403" s="72" t="s">
        <v>213</v>
      </c>
      <c r="F403" t="s">
        <v>2693</v>
      </c>
      <c r="G403" s="69">
        <v>820</v>
      </c>
    </row>
    <row r="404" spans="1:7" ht="17.100000000000001" customHeight="1" x14ac:dyDescent="0.25">
      <c r="A404" s="75">
        <f>IF(C404="","",COUNTA($C$4:C404))</f>
        <v>401</v>
      </c>
      <c r="B404" s="68" t="str">
        <f t="shared" si="6"/>
        <v>February</v>
      </c>
      <c r="C404" s="45">
        <v>46066</v>
      </c>
      <c r="E404" s="72" t="s">
        <v>213</v>
      </c>
      <c r="F404" t="s">
        <v>2694</v>
      </c>
      <c r="G404" s="69">
        <v>700</v>
      </c>
    </row>
    <row r="405" spans="1:7" ht="17.100000000000001" customHeight="1" x14ac:dyDescent="0.25">
      <c r="A405" s="75">
        <f>IF(C405="","",COUNTA($C$4:C405))</f>
        <v>402</v>
      </c>
      <c r="B405" s="68" t="str">
        <f t="shared" si="6"/>
        <v>February</v>
      </c>
      <c r="C405" s="45">
        <v>46066</v>
      </c>
      <c r="E405" s="72" t="s">
        <v>213</v>
      </c>
      <c r="F405" t="s">
        <v>2695</v>
      </c>
      <c r="G405" s="69">
        <v>460</v>
      </c>
    </row>
    <row r="406" spans="1:7" ht="17.100000000000001" customHeight="1" x14ac:dyDescent="0.25">
      <c r="A406" s="75">
        <f>IF(C406="","",COUNTA($C$4:C406))</f>
        <v>403</v>
      </c>
      <c r="B406" s="68" t="str">
        <f t="shared" si="6"/>
        <v>February</v>
      </c>
      <c r="C406" s="45">
        <v>46066</v>
      </c>
      <c r="E406" s="72" t="s">
        <v>213</v>
      </c>
      <c r="F406" t="s">
        <v>2696</v>
      </c>
      <c r="G406" s="69">
        <v>810</v>
      </c>
    </row>
    <row r="407" spans="1:7" ht="17.100000000000001" customHeight="1" x14ac:dyDescent="0.25">
      <c r="A407" s="75">
        <f>IF(C407="","",COUNTA($C$4:C407))</f>
        <v>404</v>
      </c>
      <c r="B407" s="68" t="str">
        <f t="shared" si="6"/>
        <v>February</v>
      </c>
      <c r="C407" s="45">
        <v>46066</v>
      </c>
      <c r="E407" s="72" t="s">
        <v>213</v>
      </c>
      <c r="F407" t="s">
        <v>2697</v>
      </c>
      <c r="G407" s="69">
        <v>1702</v>
      </c>
    </row>
    <row r="408" spans="1:7" ht="17.100000000000001" customHeight="1" x14ac:dyDescent="0.25">
      <c r="A408" s="75">
        <f>IF(C408="","",COUNTA($C$4:C408))</f>
        <v>405</v>
      </c>
      <c r="B408" s="68" t="str">
        <f t="shared" si="6"/>
        <v>February</v>
      </c>
      <c r="C408" s="45">
        <v>46067</v>
      </c>
      <c r="E408" s="72" t="s">
        <v>213</v>
      </c>
      <c r="F408" t="s">
        <v>2698</v>
      </c>
      <c r="G408" s="69">
        <v>2940</v>
      </c>
    </row>
    <row r="409" spans="1:7" ht="17.100000000000001" customHeight="1" x14ac:dyDescent="0.25">
      <c r="A409" s="75">
        <f>IF(C409="","",COUNTA($C$4:C409))</f>
        <v>406</v>
      </c>
      <c r="B409" s="68" t="str">
        <f t="shared" si="6"/>
        <v>February</v>
      </c>
      <c r="C409" s="45">
        <v>46069</v>
      </c>
      <c r="E409" s="72" t="s">
        <v>213</v>
      </c>
      <c r="F409" t="s">
        <v>2699</v>
      </c>
      <c r="G409" s="69">
        <v>3300</v>
      </c>
    </row>
    <row r="410" spans="1:7" ht="17.100000000000001" customHeight="1" x14ac:dyDescent="0.25">
      <c r="A410" s="75">
        <f>IF(C410="","",COUNTA($C$4:C410))</f>
        <v>407</v>
      </c>
      <c r="B410" s="68" t="str">
        <f t="shared" si="6"/>
        <v>February</v>
      </c>
      <c r="C410" s="45">
        <v>46070</v>
      </c>
      <c r="E410" s="72" t="s">
        <v>213</v>
      </c>
      <c r="F410" t="s">
        <v>2700</v>
      </c>
      <c r="G410" s="69">
        <v>5000</v>
      </c>
    </row>
    <row r="411" spans="1:7" ht="17.100000000000001" customHeight="1" x14ac:dyDescent="0.25">
      <c r="A411" s="75">
        <f>IF(C411="","",COUNTA($C$4:C411))</f>
        <v>408</v>
      </c>
      <c r="B411" s="68" t="str">
        <f t="shared" si="6"/>
        <v>February</v>
      </c>
      <c r="C411" s="45">
        <v>46070</v>
      </c>
      <c r="E411" s="72" t="s">
        <v>213</v>
      </c>
      <c r="F411" t="s">
        <v>2701</v>
      </c>
      <c r="G411" s="69">
        <v>1640</v>
      </c>
    </row>
    <row r="412" spans="1:7" ht="17.100000000000001" customHeight="1" x14ac:dyDescent="0.25">
      <c r="A412" s="75">
        <f>IF(C412="","",COUNTA($C$4:C412))</f>
        <v>409</v>
      </c>
      <c r="B412" s="68" t="str">
        <f t="shared" si="6"/>
        <v>February</v>
      </c>
      <c r="C412" s="45">
        <v>46073</v>
      </c>
      <c r="E412" s="72" t="s">
        <v>213</v>
      </c>
      <c r="F412" t="s">
        <v>2839</v>
      </c>
      <c r="G412" s="69">
        <v>700</v>
      </c>
    </row>
    <row r="413" spans="1:7" ht="17.100000000000001" customHeight="1" x14ac:dyDescent="0.25">
      <c r="A413" s="75">
        <f>IF(C413="","",COUNTA($C$4:C413))</f>
        <v>410</v>
      </c>
      <c r="B413" s="68" t="str">
        <f t="shared" si="6"/>
        <v>February</v>
      </c>
      <c r="C413" s="45">
        <v>46073</v>
      </c>
      <c r="E413" s="72" t="s">
        <v>213</v>
      </c>
      <c r="F413" t="s">
        <v>2840</v>
      </c>
      <c r="G413" s="69">
        <v>1355</v>
      </c>
    </row>
    <row r="414" spans="1:7" ht="17.100000000000001" customHeight="1" x14ac:dyDescent="0.25">
      <c r="A414" s="75">
        <f>IF(C414="","",COUNTA($C$4:C414))</f>
        <v>411</v>
      </c>
      <c r="B414" s="68" t="str">
        <f t="shared" si="6"/>
        <v>February</v>
      </c>
      <c r="C414" s="45">
        <v>46073</v>
      </c>
      <c r="E414" s="72" t="s">
        <v>213</v>
      </c>
      <c r="F414" t="s">
        <v>2841</v>
      </c>
      <c r="G414" s="69">
        <v>300</v>
      </c>
    </row>
    <row r="415" spans="1:7" ht="17.100000000000001" customHeight="1" x14ac:dyDescent="0.25">
      <c r="A415" s="75">
        <f>IF(C415="","",COUNTA($C$4:C415))</f>
        <v>412</v>
      </c>
      <c r="B415" s="68" t="str">
        <f t="shared" si="6"/>
        <v>February</v>
      </c>
      <c r="C415" s="45">
        <v>46073</v>
      </c>
      <c r="E415" s="72" t="s">
        <v>213</v>
      </c>
      <c r="F415" t="s">
        <v>2842</v>
      </c>
      <c r="G415" s="69">
        <v>2255</v>
      </c>
    </row>
    <row r="416" spans="1:7" ht="17.100000000000001" customHeight="1" x14ac:dyDescent="0.25">
      <c r="A416" s="75">
        <f>IF(C416="","",COUNTA($C$4:C416))</f>
        <v>413</v>
      </c>
      <c r="B416" s="68" t="str">
        <f t="shared" si="6"/>
        <v>February</v>
      </c>
      <c r="C416" s="45">
        <v>46073</v>
      </c>
      <c r="E416" s="72" t="s">
        <v>296</v>
      </c>
      <c r="F416" t="s">
        <v>2843</v>
      </c>
      <c r="G416" s="69">
        <v>6815</v>
      </c>
    </row>
    <row r="417" spans="1:7" ht="17.100000000000001" customHeight="1" x14ac:dyDescent="0.25">
      <c r="A417" s="75">
        <f>IF(C417="","",COUNTA($C$4:C417))</f>
        <v>414</v>
      </c>
      <c r="B417" s="68" t="str">
        <f t="shared" si="6"/>
        <v>February</v>
      </c>
      <c r="C417" s="45">
        <v>46074</v>
      </c>
      <c r="E417" s="72" t="s">
        <v>221</v>
      </c>
      <c r="F417" t="s">
        <v>2844</v>
      </c>
      <c r="G417" s="69">
        <v>1880</v>
      </c>
    </row>
    <row r="418" spans="1:7" ht="17.100000000000001" customHeight="1" x14ac:dyDescent="0.25">
      <c r="A418" s="75">
        <f>IF(C418="","",COUNTA($C$4:C418))</f>
        <v>415</v>
      </c>
      <c r="B418" s="68" t="str">
        <f t="shared" si="6"/>
        <v>February</v>
      </c>
      <c r="C418" s="45">
        <v>46076</v>
      </c>
      <c r="E418" s="72" t="s">
        <v>213</v>
      </c>
      <c r="F418" t="s">
        <v>2845</v>
      </c>
      <c r="G418" s="69">
        <v>500</v>
      </c>
    </row>
    <row r="419" spans="1:7" ht="17.100000000000001" customHeight="1" x14ac:dyDescent="0.25">
      <c r="A419" s="75">
        <f>IF(C419="","",COUNTA($C$4:C419))</f>
        <v>416</v>
      </c>
      <c r="B419" s="68" t="str">
        <f t="shared" si="6"/>
        <v>February</v>
      </c>
      <c r="C419" s="45">
        <v>46077</v>
      </c>
      <c r="E419" s="72" t="s">
        <v>296</v>
      </c>
      <c r="F419" t="s">
        <v>2843</v>
      </c>
      <c r="G419" s="69">
        <v>3838</v>
      </c>
    </row>
    <row r="420" spans="1:7" ht="17.100000000000001" customHeight="1" x14ac:dyDescent="0.25">
      <c r="A420" s="75">
        <f>IF(C420="","",COUNTA($C$4:C420))</f>
        <v>417</v>
      </c>
      <c r="B420" s="68" t="str">
        <f t="shared" si="6"/>
        <v>February</v>
      </c>
      <c r="C420" s="45">
        <v>46077</v>
      </c>
      <c r="E420" s="72" t="s">
        <v>296</v>
      </c>
      <c r="F420" t="s">
        <v>2846</v>
      </c>
      <c r="G420" s="69">
        <v>2744</v>
      </c>
    </row>
    <row r="421" spans="1:7" ht="17.100000000000001" customHeight="1" x14ac:dyDescent="0.25">
      <c r="A421" s="75">
        <f>IF(C421="","",COUNTA($C$4:C421))</f>
        <v>418</v>
      </c>
      <c r="B421" s="68" t="str">
        <f t="shared" si="6"/>
        <v>February</v>
      </c>
      <c r="C421" s="45">
        <v>46077</v>
      </c>
      <c r="E421" s="72" t="s">
        <v>296</v>
      </c>
      <c r="F421" t="s">
        <v>2847</v>
      </c>
      <c r="G421" s="69">
        <v>1356</v>
      </c>
    </row>
    <row r="422" spans="1:7" ht="17.100000000000001" customHeight="1" x14ac:dyDescent="0.25">
      <c r="A422" s="75">
        <f>IF(C422="","",COUNTA($C$4:C422))</f>
        <v>419</v>
      </c>
      <c r="B422" s="68" t="str">
        <f t="shared" si="6"/>
        <v>February</v>
      </c>
      <c r="C422" s="45">
        <v>46078</v>
      </c>
      <c r="E422" s="72" t="s">
        <v>213</v>
      </c>
      <c r="F422" t="s">
        <v>2848</v>
      </c>
      <c r="G422" s="69">
        <v>300</v>
      </c>
    </row>
    <row r="423" spans="1:7" ht="17.100000000000001" customHeight="1" x14ac:dyDescent="0.25">
      <c r="A423" s="75">
        <f>IF(C423="","",COUNTA($C$4:C423))</f>
        <v>420</v>
      </c>
      <c r="B423" s="68" t="str">
        <f t="shared" si="6"/>
        <v>February</v>
      </c>
      <c r="C423" s="45">
        <v>46078</v>
      </c>
      <c r="E423" s="72" t="s">
        <v>213</v>
      </c>
      <c r="F423" t="s">
        <v>2849</v>
      </c>
      <c r="G423" s="69">
        <v>1005</v>
      </c>
    </row>
    <row r="424" spans="1:7" ht="17.100000000000001" customHeight="1" x14ac:dyDescent="0.25">
      <c r="A424" s="75">
        <f>IF(C424="","",COUNTA($C$4:C424))</f>
        <v>421</v>
      </c>
      <c r="B424" s="68" t="str">
        <f t="shared" si="6"/>
        <v>February</v>
      </c>
      <c r="C424" s="45">
        <v>46079</v>
      </c>
      <c r="E424" s="72" t="s">
        <v>213</v>
      </c>
      <c r="F424" t="s">
        <v>2894</v>
      </c>
      <c r="G424" s="69">
        <v>2040</v>
      </c>
    </row>
    <row r="425" spans="1:7" ht="17.100000000000001" customHeight="1" x14ac:dyDescent="0.25">
      <c r="A425" s="75">
        <f>IF(C425="","",COUNTA($C$4:C425))</f>
        <v>422</v>
      </c>
      <c r="B425" s="68" t="str">
        <f t="shared" si="6"/>
        <v>February</v>
      </c>
      <c r="C425" s="45">
        <v>46080</v>
      </c>
      <c r="E425" s="72" t="s">
        <v>213</v>
      </c>
      <c r="F425" t="s">
        <v>2895</v>
      </c>
      <c r="G425" s="69">
        <v>700</v>
      </c>
    </row>
    <row r="426" spans="1:7" ht="17.100000000000001" customHeight="1" x14ac:dyDescent="0.25">
      <c r="A426" s="75">
        <f>IF(C426="","",COUNTA($C$4:C426))</f>
        <v>423</v>
      </c>
      <c r="B426" s="68" t="str">
        <f t="shared" si="6"/>
        <v>February</v>
      </c>
      <c r="C426" s="45">
        <v>46081</v>
      </c>
      <c r="E426" s="72" t="s">
        <v>221</v>
      </c>
      <c r="F426" t="s">
        <v>3023</v>
      </c>
      <c r="G426" s="69">
        <v>400</v>
      </c>
    </row>
    <row r="427" spans="1:7" ht="17.100000000000001" customHeight="1" x14ac:dyDescent="0.25">
      <c r="A427" s="75">
        <f>IF(C427="","",COUNTA($C$4:C427))</f>
        <v>424</v>
      </c>
      <c r="B427" s="68" t="str">
        <f t="shared" si="6"/>
        <v>March</v>
      </c>
      <c r="C427" s="45">
        <v>46083</v>
      </c>
      <c r="E427" s="72" t="s">
        <v>213</v>
      </c>
      <c r="F427" t="s">
        <v>2896</v>
      </c>
      <c r="G427" s="69">
        <v>3205</v>
      </c>
    </row>
    <row r="428" spans="1:7" ht="17.100000000000001" customHeight="1" x14ac:dyDescent="0.25">
      <c r="A428" s="75">
        <f>IF(C428="","",COUNTA($C$4:C428))</f>
        <v>425</v>
      </c>
      <c r="B428" s="68" t="str">
        <f t="shared" si="6"/>
        <v>March</v>
      </c>
      <c r="C428" s="45">
        <v>46083</v>
      </c>
      <c r="E428" s="72" t="s">
        <v>213</v>
      </c>
      <c r="F428" t="s">
        <v>2897</v>
      </c>
      <c r="G428" s="69">
        <v>1180</v>
      </c>
    </row>
    <row r="429" spans="1:7" ht="17.100000000000001" customHeight="1" x14ac:dyDescent="0.25">
      <c r="A429" s="75">
        <f>IF(C429="","",COUNTA($C$4:C429))</f>
        <v>426</v>
      </c>
      <c r="B429" s="68" t="str">
        <f t="shared" si="6"/>
        <v>March</v>
      </c>
      <c r="C429" s="45">
        <v>46087</v>
      </c>
      <c r="E429" s="72" t="s">
        <v>213</v>
      </c>
      <c r="F429" t="s">
        <v>2898</v>
      </c>
      <c r="G429" s="69">
        <v>700</v>
      </c>
    </row>
    <row r="430" spans="1:7" ht="17.100000000000001" customHeight="1" x14ac:dyDescent="0.25">
      <c r="A430" s="75">
        <f>IF(C430="","",COUNTA($C$4:C430))</f>
        <v>427</v>
      </c>
      <c r="B430" s="68" t="str">
        <f t="shared" si="6"/>
        <v>March</v>
      </c>
      <c r="C430" s="45">
        <v>46091</v>
      </c>
      <c r="E430" s="72" t="s">
        <v>213</v>
      </c>
      <c r="F430" t="s">
        <v>2899</v>
      </c>
      <c r="G430" s="69">
        <v>4000</v>
      </c>
    </row>
    <row r="431" spans="1:7" ht="17.100000000000001" customHeight="1" x14ac:dyDescent="0.25">
      <c r="A431" s="75">
        <f>IF(C431="","",COUNTA($C$4:C431))</f>
        <v>428</v>
      </c>
      <c r="B431" s="68" t="str">
        <f t="shared" si="6"/>
        <v>March</v>
      </c>
      <c r="C431" s="45">
        <v>46091</v>
      </c>
      <c r="E431" s="72" t="s">
        <v>213</v>
      </c>
      <c r="F431" t="s">
        <v>2900</v>
      </c>
      <c r="G431" s="69">
        <v>550</v>
      </c>
    </row>
    <row r="432" spans="1:7" ht="17.100000000000001" customHeight="1" x14ac:dyDescent="0.25">
      <c r="A432" s="75">
        <f>IF(C432="","",COUNTA($C$4:C432))</f>
        <v>429</v>
      </c>
      <c r="B432" s="68" t="str">
        <f t="shared" si="6"/>
        <v>March</v>
      </c>
      <c r="C432" s="45">
        <v>46092</v>
      </c>
      <c r="E432" s="72" t="s">
        <v>213</v>
      </c>
      <c r="F432" t="s">
        <v>2901</v>
      </c>
      <c r="G432" s="69">
        <v>3300</v>
      </c>
    </row>
    <row r="433" spans="1:7" ht="17.100000000000001" customHeight="1" x14ac:dyDescent="0.25">
      <c r="A433" s="75">
        <f>IF(C433="","",COUNTA($C$4:C433))</f>
        <v>430</v>
      </c>
      <c r="B433" s="68" t="str">
        <f t="shared" si="6"/>
        <v>March</v>
      </c>
      <c r="C433" s="45">
        <v>46093</v>
      </c>
      <c r="E433" s="72" t="s">
        <v>213</v>
      </c>
      <c r="F433" t="s">
        <v>2902</v>
      </c>
      <c r="G433" s="69">
        <v>1650</v>
      </c>
    </row>
    <row r="434" spans="1:7" ht="17.100000000000001" customHeight="1" x14ac:dyDescent="0.25">
      <c r="A434" s="75">
        <f>IF(C434="","",COUNTA($C$4:C434))</f>
        <v>431</v>
      </c>
      <c r="B434" s="68" t="str">
        <f t="shared" si="6"/>
        <v>March</v>
      </c>
      <c r="C434" s="45">
        <v>46094</v>
      </c>
      <c r="E434" s="72" t="s">
        <v>213</v>
      </c>
      <c r="F434" t="s">
        <v>2069</v>
      </c>
      <c r="G434" s="69">
        <v>360</v>
      </c>
    </row>
    <row r="435" spans="1:7" ht="17.100000000000001" customHeight="1" x14ac:dyDescent="0.25">
      <c r="A435" s="75">
        <f>IF(C435="","",COUNTA($C$4:C435))</f>
        <v>432</v>
      </c>
      <c r="B435" s="68" t="str">
        <f t="shared" si="6"/>
        <v>March</v>
      </c>
      <c r="C435" s="97">
        <v>46094</v>
      </c>
      <c r="E435" s="72" t="s">
        <v>213</v>
      </c>
      <c r="F435" t="s">
        <v>2903</v>
      </c>
      <c r="G435" s="69">
        <v>700</v>
      </c>
    </row>
    <row r="436" spans="1:7" ht="17.100000000000001" customHeight="1" x14ac:dyDescent="0.25">
      <c r="A436" s="75">
        <f>IF(C436="","",COUNTA($C$4:C436))</f>
        <v>433</v>
      </c>
      <c r="B436" s="68" t="str">
        <f t="shared" si="6"/>
        <v>March</v>
      </c>
      <c r="C436" s="45">
        <v>46095</v>
      </c>
      <c r="E436" s="72" t="s">
        <v>213</v>
      </c>
      <c r="F436" t="s">
        <v>2904</v>
      </c>
      <c r="G436" s="69">
        <v>5000</v>
      </c>
    </row>
    <row r="437" spans="1:7" ht="17.100000000000001" customHeight="1" x14ac:dyDescent="0.25">
      <c r="A437" s="75">
        <f>IF(C437="","",COUNTA($C$4:C437))</f>
        <v>434</v>
      </c>
      <c r="B437" s="68" t="str">
        <f t="shared" si="6"/>
        <v>March</v>
      </c>
      <c r="C437" s="45">
        <v>46095</v>
      </c>
      <c r="E437" s="72" t="s">
        <v>213</v>
      </c>
      <c r="F437" t="s">
        <v>2905</v>
      </c>
      <c r="G437" s="69">
        <v>1610</v>
      </c>
    </row>
    <row r="438" spans="1:7" ht="17.100000000000001" customHeight="1" x14ac:dyDescent="0.25">
      <c r="A438" s="75">
        <f>IF(C438="","",COUNTA($C$4:C438))</f>
        <v>435</v>
      </c>
      <c r="B438" s="68" t="str">
        <f t="shared" si="6"/>
        <v>March</v>
      </c>
      <c r="C438" s="45">
        <v>46098</v>
      </c>
      <c r="E438" s="72" t="s">
        <v>213</v>
      </c>
      <c r="F438" t="s">
        <v>2906</v>
      </c>
      <c r="G438" s="69">
        <v>1000</v>
      </c>
    </row>
    <row r="439" spans="1:7" ht="17.100000000000001" customHeight="1" x14ac:dyDescent="0.25">
      <c r="A439" s="75">
        <f>IF(C439="","",COUNTA($C$4:C439))</f>
        <v>436</v>
      </c>
      <c r="B439" s="68" t="str">
        <f t="shared" si="6"/>
        <v>March</v>
      </c>
      <c r="C439" s="45">
        <v>46098</v>
      </c>
      <c r="E439" s="72" t="s">
        <v>213</v>
      </c>
      <c r="F439" t="s">
        <v>2907</v>
      </c>
      <c r="G439" s="69">
        <v>450</v>
      </c>
    </row>
    <row r="440" spans="1:7" ht="17.100000000000001" customHeight="1" x14ac:dyDescent="0.25">
      <c r="A440" s="75">
        <f>IF(C440="","",COUNTA($C$4:C440))</f>
        <v>437</v>
      </c>
      <c r="B440" s="68" t="str">
        <f t="shared" si="6"/>
        <v>March</v>
      </c>
      <c r="C440" s="45">
        <v>46098</v>
      </c>
      <c r="E440" s="72" t="s">
        <v>213</v>
      </c>
      <c r="F440" t="s">
        <v>3024</v>
      </c>
      <c r="G440" s="69">
        <v>2100</v>
      </c>
    </row>
    <row r="441" spans="1:7" ht="17.100000000000001" customHeight="1" x14ac:dyDescent="0.25">
      <c r="A441" s="75">
        <f>IF(C441="","",COUNTA($C$4:C441))</f>
        <v>438</v>
      </c>
      <c r="B441" s="68" t="str">
        <f t="shared" si="6"/>
        <v>March</v>
      </c>
      <c r="C441" s="45">
        <v>46099</v>
      </c>
      <c r="E441" s="72" t="s">
        <v>213</v>
      </c>
      <c r="F441" t="s">
        <v>3025</v>
      </c>
      <c r="G441" s="69">
        <v>100</v>
      </c>
    </row>
    <row r="442" spans="1:7" ht="17.100000000000001" customHeight="1" x14ac:dyDescent="0.25">
      <c r="A442" s="75">
        <f>IF(C442="","",COUNTA($C$4:C442))</f>
        <v>439</v>
      </c>
      <c r="B442" s="68" t="str">
        <f t="shared" si="6"/>
        <v>March</v>
      </c>
      <c r="C442" s="45">
        <v>46102</v>
      </c>
      <c r="E442" s="72" t="s">
        <v>213</v>
      </c>
      <c r="F442" t="s">
        <v>3026</v>
      </c>
      <c r="G442" s="69">
        <v>700</v>
      </c>
    </row>
    <row r="443" spans="1:7" ht="17.100000000000001" customHeight="1" x14ac:dyDescent="0.25">
      <c r="A443" s="75">
        <f>IF(C443="","",COUNTA($C$4:C443))</f>
        <v>440</v>
      </c>
      <c r="B443" s="68" t="str">
        <f t="shared" si="6"/>
        <v>March</v>
      </c>
      <c r="C443" s="45">
        <v>46103</v>
      </c>
      <c r="E443" s="72" t="s">
        <v>213</v>
      </c>
      <c r="F443" t="s">
        <v>3027</v>
      </c>
      <c r="G443" s="69">
        <v>1020</v>
      </c>
    </row>
    <row r="444" spans="1:7" ht="17.100000000000001" customHeight="1" x14ac:dyDescent="0.25">
      <c r="A444" s="75">
        <f>IF(C444="","",COUNTA($C$4:C444))</f>
        <v>441</v>
      </c>
      <c r="B444" s="68" t="str">
        <f t="shared" si="6"/>
        <v>March</v>
      </c>
      <c r="C444" s="45">
        <v>46106</v>
      </c>
      <c r="E444" s="72" t="s">
        <v>294</v>
      </c>
      <c r="F444" t="s">
        <v>3028</v>
      </c>
      <c r="G444" s="69">
        <v>850</v>
      </c>
    </row>
    <row r="445" spans="1:7" ht="17.100000000000001" customHeight="1" x14ac:dyDescent="0.25">
      <c r="A445" s="75">
        <f>IF(C445="","",COUNTA($C$4:C445))</f>
        <v>442</v>
      </c>
      <c r="B445" s="68" t="str">
        <f t="shared" si="6"/>
        <v>March</v>
      </c>
      <c r="C445" s="45">
        <v>46106</v>
      </c>
      <c r="E445" s="72" t="s">
        <v>213</v>
      </c>
      <c r="F445" t="s">
        <v>3029</v>
      </c>
      <c r="G445" s="69">
        <v>300</v>
      </c>
    </row>
    <row r="446" spans="1:7" ht="17.100000000000001" customHeight="1" x14ac:dyDescent="0.25">
      <c r="A446" s="75">
        <f>IF(C446="","",COUNTA($C$4:C446))</f>
        <v>443</v>
      </c>
      <c r="B446" s="68" t="str">
        <f t="shared" si="6"/>
        <v>March</v>
      </c>
      <c r="C446" s="45">
        <v>46106</v>
      </c>
      <c r="E446" s="72" t="s">
        <v>213</v>
      </c>
      <c r="F446" t="s">
        <v>3030</v>
      </c>
      <c r="G446" s="69">
        <v>1721</v>
      </c>
    </row>
    <row r="447" spans="1:7" ht="17.100000000000001" customHeight="1" x14ac:dyDescent="0.25">
      <c r="A447" s="75">
        <f>IF(C447="","",COUNTA($C$4:C447))</f>
        <v>444</v>
      </c>
      <c r="B447" s="68" t="str">
        <f t="shared" si="6"/>
        <v>March</v>
      </c>
      <c r="C447" s="45">
        <v>46107</v>
      </c>
      <c r="E447" s="72" t="s">
        <v>213</v>
      </c>
      <c r="F447" t="s">
        <v>3031</v>
      </c>
      <c r="G447" s="69">
        <v>450</v>
      </c>
    </row>
    <row r="448" spans="1:7" ht="17.100000000000001" customHeight="1" x14ac:dyDescent="0.25">
      <c r="A448" s="75">
        <f>IF(C448="","",COUNTA($C$4:C448))</f>
        <v>445</v>
      </c>
      <c r="B448" s="68" t="str">
        <f t="shared" si="6"/>
        <v>March</v>
      </c>
      <c r="C448" s="45">
        <v>46107</v>
      </c>
      <c r="E448" s="72" t="s">
        <v>213</v>
      </c>
      <c r="F448" t="s">
        <v>3032</v>
      </c>
      <c r="G448" s="69">
        <v>150</v>
      </c>
    </row>
    <row r="449" spans="1:7" ht="17.100000000000001" customHeight="1" x14ac:dyDescent="0.25">
      <c r="A449" s="75">
        <f>IF(C449="","",COUNTA($C$4:C449))</f>
        <v>446</v>
      </c>
      <c r="B449" s="68" t="str">
        <f t="shared" si="6"/>
        <v>March</v>
      </c>
      <c r="C449" s="45">
        <v>46108</v>
      </c>
      <c r="E449" s="72" t="s">
        <v>213</v>
      </c>
      <c r="F449" t="s">
        <v>3033</v>
      </c>
      <c r="G449" s="69">
        <v>3350</v>
      </c>
    </row>
    <row r="450" spans="1:7" ht="17.100000000000001" customHeight="1" x14ac:dyDescent="0.25">
      <c r="A450" s="75">
        <f>IF(C450="","",COUNTA($C$4:C450))</f>
        <v>447</v>
      </c>
      <c r="B450" s="68" t="str">
        <f t="shared" si="6"/>
        <v>March</v>
      </c>
      <c r="C450" s="45">
        <v>46108</v>
      </c>
      <c r="E450" s="72" t="s">
        <v>213</v>
      </c>
      <c r="F450" t="s">
        <v>3034</v>
      </c>
      <c r="G450" s="69">
        <v>2650</v>
      </c>
    </row>
    <row r="451" spans="1:7" ht="17.100000000000001" customHeight="1" x14ac:dyDescent="0.25">
      <c r="A451" s="75">
        <f>IF(C451="","",COUNTA($C$4:C451))</f>
        <v>448</v>
      </c>
      <c r="B451" s="68" t="str">
        <f t="shared" si="6"/>
        <v>March</v>
      </c>
      <c r="C451" s="45">
        <v>46109</v>
      </c>
      <c r="E451" s="72" t="s">
        <v>213</v>
      </c>
      <c r="F451" t="s">
        <v>3035</v>
      </c>
      <c r="G451" s="69">
        <v>1386</v>
      </c>
    </row>
    <row r="452" spans="1:7" ht="17.100000000000001" customHeight="1" x14ac:dyDescent="0.25">
      <c r="A452" s="75">
        <f>IF(C452="","",COUNTA($C$4:C452))</f>
        <v>449</v>
      </c>
      <c r="B452" s="68" t="str">
        <f t="shared" si="6"/>
        <v>March</v>
      </c>
      <c r="C452" s="45">
        <v>46109</v>
      </c>
      <c r="E452" s="72" t="s">
        <v>213</v>
      </c>
      <c r="F452" t="s">
        <v>3036</v>
      </c>
      <c r="G452" s="69">
        <v>430</v>
      </c>
    </row>
    <row r="453" spans="1:7" ht="17.100000000000001" customHeight="1" x14ac:dyDescent="0.25">
      <c r="A453" s="75">
        <f>IF(C453="","",COUNTA($C$4:C453))</f>
        <v>450</v>
      </c>
      <c r="B453" s="68" t="str">
        <f t="shared" si="6"/>
        <v>March</v>
      </c>
      <c r="C453" s="45">
        <v>46110</v>
      </c>
      <c r="E453" s="72" t="s">
        <v>213</v>
      </c>
      <c r="F453" t="s">
        <v>3037</v>
      </c>
      <c r="G453" s="69">
        <v>1680</v>
      </c>
    </row>
    <row r="454" spans="1:7" ht="17.100000000000001" customHeight="1" x14ac:dyDescent="0.25">
      <c r="A454" s="75">
        <f>IF(C454="","",COUNTA($C$4:C454))</f>
        <v>451</v>
      </c>
      <c r="B454" s="68" t="str">
        <f t="shared" si="6"/>
        <v>March</v>
      </c>
      <c r="C454" s="45">
        <v>46110</v>
      </c>
      <c r="E454" s="72" t="s">
        <v>296</v>
      </c>
      <c r="F454" t="s">
        <v>3038</v>
      </c>
      <c r="G454" s="69">
        <v>6886</v>
      </c>
    </row>
    <row r="455" spans="1:7" ht="17.100000000000001" customHeight="1" x14ac:dyDescent="0.25">
      <c r="A455" s="75">
        <f>IF(C455="","",COUNTA($C$4:C455))</f>
        <v>452</v>
      </c>
      <c r="B455" s="68" t="str">
        <f t="shared" si="6"/>
        <v>March</v>
      </c>
      <c r="C455" s="45">
        <v>46111</v>
      </c>
      <c r="E455" s="72" t="s">
        <v>296</v>
      </c>
      <c r="F455" t="s">
        <v>3039</v>
      </c>
      <c r="G455" s="69">
        <v>5612</v>
      </c>
    </row>
    <row r="456" spans="1:7" ht="17.100000000000001" customHeight="1" x14ac:dyDescent="0.25">
      <c r="A456" s="75">
        <f>IF(C456="","",COUNTA($C$4:C456))</f>
        <v>453</v>
      </c>
      <c r="B456" s="68" t="str">
        <f t="shared" si="6"/>
        <v>March</v>
      </c>
      <c r="C456" s="45">
        <v>46111</v>
      </c>
      <c r="E456" s="72" t="s">
        <v>296</v>
      </c>
      <c r="F456" t="s">
        <v>3040</v>
      </c>
      <c r="G456" s="69">
        <v>5200</v>
      </c>
    </row>
    <row r="457" spans="1:7" ht="17.100000000000001" customHeight="1" x14ac:dyDescent="0.25">
      <c r="A457" s="75">
        <f>IF(C457="","",COUNTA($C$4:C457))</f>
        <v>454</v>
      </c>
      <c r="B457" s="68" t="str">
        <f t="shared" si="6"/>
        <v>March</v>
      </c>
      <c r="C457" s="45">
        <v>46111</v>
      </c>
      <c r="E457" s="72" t="s">
        <v>296</v>
      </c>
      <c r="F457" t="s">
        <v>3038</v>
      </c>
      <c r="G457" s="69">
        <v>5043</v>
      </c>
    </row>
    <row r="458" spans="1:7" ht="17.100000000000001" customHeight="1" x14ac:dyDescent="0.25">
      <c r="A458" s="75">
        <f>IF(C458="","",COUNTA($C$4:C458))</f>
        <v>455</v>
      </c>
      <c r="B458" s="68" t="str">
        <f t="shared" ref="B458:B521" si="7">IF(C458="","",TEXT(C458,"mmmm"))</f>
        <v>March</v>
      </c>
      <c r="C458" s="45">
        <v>46111</v>
      </c>
      <c r="E458" s="72" t="s">
        <v>296</v>
      </c>
      <c r="F458" t="s">
        <v>3041</v>
      </c>
      <c r="G458" s="69">
        <v>521</v>
      </c>
    </row>
    <row r="459" spans="1:7" ht="17.100000000000001" customHeight="1" x14ac:dyDescent="0.25">
      <c r="A459" s="75">
        <f>IF(C459="","",COUNTA($C$4:C459))</f>
        <v>456</v>
      </c>
      <c r="B459" s="68" t="str">
        <f t="shared" si="7"/>
        <v>March</v>
      </c>
      <c r="C459" s="45">
        <v>46111</v>
      </c>
      <c r="E459" s="72" t="s">
        <v>213</v>
      </c>
      <c r="F459" t="s">
        <v>3042</v>
      </c>
      <c r="G459" s="69">
        <v>500</v>
      </c>
    </row>
    <row r="460" spans="1:7" ht="17.100000000000001" customHeight="1" x14ac:dyDescent="0.25">
      <c r="A460" s="75">
        <f>IF(C460="","",COUNTA($C$4:C460))</f>
        <v>457</v>
      </c>
      <c r="B460" s="68" t="str">
        <f t="shared" si="7"/>
        <v>March</v>
      </c>
      <c r="C460" s="88">
        <v>46112</v>
      </c>
      <c r="E460" s="72" t="s">
        <v>213</v>
      </c>
      <c r="F460" t="s">
        <v>3042</v>
      </c>
      <c r="G460" s="69">
        <v>500</v>
      </c>
    </row>
    <row r="461" spans="1:7" ht="17.100000000000001" customHeight="1" x14ac:dyDescent="0.25">
      <c r="A461" s="75"/>
      <c r="B461" s="68" t="str">
        <f t="shared" si="7"/>
        <v xml:space="preserve"> </v>
      </c>
      <c r="C461" s="45" t="s">
        <v>679</v>
      </c>
    </row>
    <row r="462" spans="1:7" ht="17.100000000000001" customHeight="1" x14ac:dyDescent="0.25">
      <c r="A462" s="75" t="str">
        <f>IF(C462="","",COUNTA($C$4:C462))</f>
        <v/>
      </c>
      <c r="B462" s="68" t="str">
        <f t="shared" si="7"/>
        <v/>
      </c>
      <c r="C462" s="45"/>
    </row>
    <row r="463" spans="1:7" ht="17.100000000000001" customHeight="1" x14ac:dyDescent="0.25">
      <c r="A463" s="75" t="str">
        <f>IF(C463="","",COUNTA($C$4:C463))</f>
        <v/>
      </c>
      <c r="B463" s="68" t="str">
        <f t="shared" si="7"/>
        <v/>
      </c>
      <c r="C463" s="45"/>
    </row>
    <row r="464" spans="1:7" ht="17.100000000000001" customHeight="1" x14ac:dyDescent="0.25">
      <c r="A464" s="75" t="str">
        <f>IF(C464="","",COUNTA($C$4:C464))</f>
        <v/>
      </c>
      <c r="B464" s="68" t="str">
        <f t="shared" si="7"/>
        <v/>
      </c>
      <c r="C464" s="45"/>
    </row>
    <row r="465" spans="1:6" ht="17.100000000000001" customHeight="1" x14ac:dyDescent="0.25">
      <c r="A465" s="75" t="str">
        <f>IF(C465="","",COUNTA($C$4:C465))</f>
        <v/>
      </c>
      <c r="B465" s="68" t="str">
        <f t="shared" si="7"/>
        <v/>
      </c>
      <c r="C465" s="97"/>
      <c r="F465" s="87"/>
    </row>
    <row r="466" spans="1:6" ht="17.100000000000001" customHeight="1" x14ac:dyDescent="0.25">
      <c r="A466" s="75" t="str">
        <f>IF(C466="","",COUNTA($C$4:C466))</f>
        <v/>
      </c>
      <c r="B466" s="68" t="str">
        <f t="shared" si="7"/>
        <v/>
      </c>
      <c r="C466" s="45"/>
    </row>
    <row r="467" spans="1:6" ht="17.100000000000001" customHeight="1" x14ac:dyDescent="0.25">
      <c r="A467" s="75" t="str">
        <f>IF(C467="","",COUNTA($C$4:C467))</f>
        <v/>
      </c>
      <c r="B467" s="68" t="str">
        <f t="shared" si="7"/>
        <v/>
      </c>
      <c r="C467" s="45"/>
    </row>
    <row r="468" spans="1:6" ht="17.100000000000001" customHeight="1" x14ac:dyDescent="0.25">
      <c r="A468" s="75" t="str">
        <f>IF(C468="","",COUNTA($C$4:C468))</f>
        <v/>
      </c>
      <c r="B468" s="68" t="str">
        <f t="shared" si="7"/>
        <v/>
      </c>
      <c r="C468" s="45"/>
    </row>
    <row r="469" spans="1:6" ht="17.100000000000001" customHeight="1" x14ac:dyDescent="0.25">
      <c r="A469" s="75" t="str">
        <f>IF(C469="","",COUNTA($C$4:C469))</f>
        <v/>
      </c>
      <c r="B469" s="68" t="str">
        <f t="shared" si="7"/>
        <v/>
      </c>
      <c r="C469" s="97"/>
    </row>
    <row r="470" spans="1:6" ht="17.100000000000001" customHeight="1" x14ac:dyDescent="0.25">
      <c r="A470" s="75" t="str">
        <f>IF(C470="","",COUNTA($C$4:C470))</f>
        <v/>
      </c>
      <c r="B470" s="68" t="str">
        <f t="shared" si="7"/>
        <v/>
      </c>
      <c r="C470" s="45"/>
    </row>
    <row r="471" spans="1:6" ht="17.100000000000001" customHeight="1" x14ac:dyDescent="0.25">
      <c r="A471" s="75" t="str">
        <f>IF(C471="","",COUNTA($C$4:C471))</f>
        <v/>
      </c>
      <c r="B471" s="68" t="str">
        <f t="shared" si="7"/>
        <v/>
      </c>
      <c r="C471" s="45"/>
    </row>
    <row r="472" spans="1:6" ht="17.100000000000001" customHeight="1" x14ac:dyDescent="0.25">
      <c r="A472" s="75" t="str">
        <f>IF(C472="","",COUNTA($C$4:C472))</f>
        <v/>
      </c>
      <c r="B472" s="68" t="str">
        <f t="shared" si="7"/>
        <v/>
      </c>
      <c r="C472" s="45"/>
    </row>
    <row r="473" spans="1:6" ht="17.100000000000001" customHeight="1" x14ac:dyDescent="0.25">
      <c r="A473" s="75" t="str">
        <f>IF(C473="","",COUNTA($C$4:C473))</f>
        <v/>
      </c>
      <c r="B473" s="68" t="str">
        <f t="shared" si="7"/>
        <v/>
      </c>
      <c r="C473" s="45"/>
    </row>
    <row r="474" spans="1:6" ht="17.100000000000001" customHeight="1" x14ac:dyDescent="0.25">
      <c r="A474" s="75" t="str">
        <f>IF(C474="","",COUNTA($C$4:C474))</f>
        <v/>
      </c>
      <c r="B474" s="68" t="str">
        <f t="shared" si="7"/>
        <v/>
      </c>
      <c r="C474" s="45"/>
    </row>
    <row r="475" spans="1:6" ht="17.100000000000001" customHeight="1" x14ac:dyDescent="0.25">
      <c r="A475" s="75" t="str">
        <f>IF(C475="","",COUNTA($C$4:C475))</f>
        <v/>
      </c>
      <c r="B475" s="68" t="str">
        <f t="shared" si="7"/>
        <v/>
      </c>
      <c r="C475" s="45"/>
    </row>
    <row r="476" spans="1:6" ht="17.100000000000001" customHeight="1" x14ac:dyDescent="0.25">
      <c r="A476" s="75" t="str">
        <f>IF(C476="","",COUNTA($C$4:C476))</f>
        <v/>
      </c>
      <c r="B476" s="68" t="str">
        <f t="shared" si="7"/>
        <v/>
      </c>
      <c r="C476" s="45"/>
    </row>
    <row r="477" spans="1:6" ht="17.100000000000001" customHeight="1" x14ac:dyDescent="0.25">
      <c r="A477" s="75" t="str">
        <f>IF(C477="","",COUNTA($C$4:C477))</f>
        <v/>
      </c>
      <c r="B477" s="68" t="str">
        <f t="shared" si="7"/>
        <v/>
      </c>
      <c r="C477" s="97"/>
    </row>
    <row r="478" spans="1:6" ht="17.100000000000001" customHeight="1" x14ac:dyDescent="0.25">
      <c r="A478" s="75" t="str">
        <f>IF(C478="","",COUNTA($C$4:C478))</f>
        <v/>
      </c>
      <c r="B478" s="68" t="str">
        <f t="shared" si="7"/>
        <v/>
      </c>
      <c r="C478" s="45"/>
    </row>
    <row r="479" spans="1:6" ht="17.100000000000001" customHeight="1" x14ac:dyDescent="0.25">
      <c r="A479" s="75" t="str">
        <f>IF(C479="","",COUNTA($C$4:C479))</f>
        <v/>
      </c>
      <c r="B479" s="68" t="str">
        <f t="shared" si="7"/>
        <v/>
      </c>
      <c r="C479" s="45"/>
    </row>
    <row r="480" spans="1:6" ht="17.100000000000001" customHeight="1" x14ac:dyDescent="0.25">
      <c r="A480" s="75" t="str">
        <f>IF(C480="","",COUNTA($C$4:C480))</f>
        <v/>
      </c>
      <c r="B480" s="68" t="str">
        <f t="shared" si="7"/>
        <v/>
      </c>
      <c r="C480" s="45"/>
    </row>
    <row r="481" spans="1:3" ht="17.100000000000001" customHeight="1" x14ac:dyDescent="0.25">
      <c r="A481" s="75" t="str">
        <f>IF(C481="","",COUNTA($C$4:C481))</f>
        <v/>
      </c>
      <c r="B481" s="68" t="str">
        <f t="shared" si="7"/>
        <v/>
      </c>
      <c r="C481" s="45"/>
    </row>
    <row r="482" spans="1:3" ht="17.100000000000001" customHeight="1" x14ac:dyDescent="0.25">
      <c r="A482" s="75" t="str">
        <f>IF(C482="","",COUNTA($C$4:C482))</f>
        <v/>
      </c>
      <c r="B482" s="68" t="str">
        <f t="shared" si="7"/>
        <v/>
      </c>
      <c r="C482" s="45"/>
    </row>
    <row r="483" spans="1:3" ht="17.100000000000001" customHeight="1" x14ac:dyDescent="0.25">
      <c r="A483" s="75" t="str">
        <f>IF(C483="","",COUNTA($C$4:C483))</f>
        <v/>
      </c>
      <c r="B483" s="68" t="str">
        <f t="shared" si="7"/>
        <v/>
      </c>
      <c r="C483" s="45"/>
    </row>
    <row r="484" spans="1:3" ht="17.100000000000001" customHeight="1" x14ac:dyDescent="0.25">
      <c r="A484" s="75" t="str">
        <f>IF(C484="","",COUNTA($C$4:C484))</f>
        <v/>
      </c>
      <c r="B484" s="68" t="str">
        <f t="shared" si="7"/>
        <v/>
      </c>
      <c r="C484" s="45"/>
    </row>
    <row r="485" spans="1:3" ht="17.100000000000001" customHeight="1" x14ac:dyDescent="0.25">
      <c r="A485" s="75" t="str">
        <f>IF(C485="","",COUNTA($C$4:C485))</f>
        <v/>
      </c>
      <c r="B485" s="68" t="str">
        <f t="shared" si="7"/>
        <v/>
      </c>
      <c r="C485" s="45"/>
    </row>
    <row r="486" spans="1:3" ht="17.100000000000001" customHeight="1" x14ac:dyDescent="0.25">
      <c r="A486" s="75" t="str">
        <f>IF(C486="","",COUNTA($C$4:C486))</f>
        <v/>
      </c>
      <c r="B486" s="68" t="str">
        <f t="shared" si="7"/>
        <v/>
      </c>
      <c r="C486" s="45"/>
    </row>
    <row r="487" spans="1:3" ht="17.100000000000001" customHeight="1" x14ac:dyDescent="0.25">
      <c r="A487" s="75" t="str">
        <f>IF(C487="","",COUNTA($C$4:C487))</f>
        <v/>
      </c>
      <c r="B487" s="68" t="str">
        <f t="shared" si="7"/>
        <v/>
      </c>
      <c r="C487" s="45"/>
    </row>
    <row r="488" spans="1:3" ht="17.100000000000001" customHeight="1" x14ac:dyDescent="0.25">
      <c r="A488" s="75" t="str">
        <f>IF(C488="","",COUNTA($C$4:C488))</f>
        <v/>
      </c>
      <c r="B488" s="68" t="str">
        <f t="shared" si="7"/>
        <v/>
      </c>
      <c r="C488" s="45"/>
    </row>
    <row r="489" spans="1:3" ht="17.100000000000001" customHeight="1" x14ac:dyDescent="0.25">
      <c r="A489" s="75" t="str">
        <f>IF(C489="","",COUNTA($C$4:C489))</f>
        <v/>
      </c>
      <c r="B489" s="68" t="str">
        <f t="shared" si="7"/>
        <v/>
      </c>
      <c r="C489" s="45"/>
    </row>
    <row r="490" spans="1:3" ht="17.100000000000001" customHeight="1" x14ac:dyDescent="0.25">
      <c r="A490" s="75" t="str">
        <f>IF(C490="","",COUNTA($C$4:C490))</f>
        <v/>
      </c>
      <c r="B490" s="68" t="str">
        <f t="shared" si="7"/>
        <v/>
      </c>
      <c r="C490" s="45"/>
    </row>
    <row r="491" spans="1:3" ht="17.100000000000001" customHeight="1" x14ac:dyDescent="0.25">
      <c r="A491" s="75" t="str">
        <f>IF(C491="","",COUNTA($C$4:C491))</f>
        <v/>
      </c>
      <c r="B491" s="68" t="str">
        <f t="shared" si="7"/>
        <v/>
      </c>
      <c r="C491" s="45"/>
    </row>
    <row r="492" spans="1:3" ht="17.100000000000001" customHeight="1" x14ac:dyDescent="0.25">
      <c r="A492" s="75" t="str">
        <f>IF(C492="","",COUNTA($C$4:C492))</f>
        <v/>
      </c>
      <c r="B492" s="68" t="str">
        <f t="shared" si="7"/>
        <v/>
      </c>
      <c r="C492" s="45"/>
    </row>
    <row r="493" spans="1:3" ht="17.100000000000001" customHeight="1" x14ac:dyDescent="0.25">
      <c r="A493" s="75" t="str">
        <f>IF(C493="","",COUNTA($C$4:C493))</f>
        <v/>
      </c>
      <c r="B493" s="68" t="str">
        <f t="shared" si="7"/>
        <v/>
      </c>
      <c r="C493" s="45"/>
    </row>
    <row r="494" spans="1:3" ht="17.100000000000001" customHeight="1" x14ac:dyDescent="0.25">
      <c r="A494" s="75" t="str">
        <f>IF(C494="","",COUNTA($C$4:C494))</f>
        <v/>
      </c>
      <c r="B494" s="68" t="str">
        <f t="shared" si="7"/>
        <v/>
      </c>
      <c r="C494" s="45"/>
    </row>
    <row r="495" spans="1:3" ht="17.100000000000001" customHeight="1" x14ac:dyDescent="0.25">
      <c r="A495" s="75" t="str">
        <f>IF(C495="","",COUNTA($C$4:C495))</f>
        <v/>
      </c>
      <c r="B495" s="68" t="str">
        <f t="shared" si="7"/>
        <v/>
      </c>
      <c r="C495" s="45"/>
    </row>
    <row r="496" spans="1:3" ht="17.100000000000001" customHeight="1" x14ac:dyDescent="0.25">
      <c r="A496" s="75" t="str">
        <f>IF(C496="","",COUNTA($C$4:C496))</f>
        <v/>
      </c>
      <c r="B496" s="68" t="str">
        <f t="shared" si="7"/>
        <v/>
      </c>
      <c r="C496" s="45"/>
    </row>
    <row r="497" spans="1:3" ht="17.100000000000001" customHeight="1" x14ac:dyDescent="0.25">
      <c r="A497" s="75" t="str">
        <f>IF(C497="","",COUNTA($C$4:C497))</f>
        <v/>
      </c>
      <c r="B497" s="68" t="str">
        <f t="shared" si="7"/>
        <v/>
      </c>
      <c r="C497" s="45"/>
    </row>
    <row r="498" spans="1:3" ht="17.100000000000001" customHeight="1" x14ac:dyDescent="0.25">
      <c r="A498" s="75" t="str">
        <f>IF(C498="","",COUNTA($C$4:C498))</f>
        <v/>
      </c>
      <c r="B498" s="68" t="str">
        <f t="shared" si="7"/>
        <v/>
      </c>
      <c r="C498" s="45"/>
    </row>
    <row r="499" spans="1:3" ht="17.100000000000001" customHeight="1" x14ac:dyDescent="0.25">
      <c r="A499" s="75" t="str">
        <f>IF(C499="","",COUNTA($C$4:C499))</f>
        <v/>
      </c>
      <c r="B499" s="68" t="str">
        <f t="shared" si="7"/>
        <v/>
      </c>
      <c r="C499" s="45"/>
    </row>
    <row r="500" spans="1:3" ht="17.100000000000001" customHeight="1" x14ac:dyDescent="0.25">
      <c r="A500" s="75" t="str">
        <f>IF(C500="","",COUNTA($C$4:C500))</f>
        <v/>
      </c>
      <c r="B500" s="68" t="str">
        <f t="shared" si="7"/>
        <v/>
      </c>
      <c r="C500" s="45"/>
    </row>
    <row r="501" spans="1:3" ht="17.100000000000001" customHeight="1" x14ac:dyDescent="0.25">
      <c r="A501" s="75" t="str">
        <f>IF(C501="","",COUNTA($C$4:C501))</f>
        <v/>
      </c>
      <c r="B501" s="68" t="str">
        <f t="shared" si="7"/>
        <v/>
      </c>
      <c r="C501" s="45"/>
    </row>
    <row r="502" spans="1:3" ht="17.100000000000001" customHeight="1" x14ac:dyDescent="0.25">
      <c r="A502" s="75" t="str">
        <f>IF(C502="","",COUNTA($C$4:C502))</f>
        <v/>
      </c>
      <c r="B502" s="68" t="str">
        <f t="shared" si="7"/>
        <v/>
      </c>
      <c r="C502" s="45"/>
    </row>
    <row r="503" spans="1:3" ht="17.100000000000001" customHeight="1" x14ac:dyDescent="0.25">
      <c r="A503" s="75" t="str">
        <f>IF(C503="","",COUNTA($C$4:C503))</f>
        <v/>
      </c>
      <c r="B503" s="68" t="str">
        <f t="shared" si="7"/>
        <v/>
      </c>
      <c r="C503" s="45"/>
    </row>
    <row r="504" spans="1:3" ht="17.100000000000001" customHeight="1" x14ac:dyDescent="0.25">
      <c r="A504" s="75" t="str">
        <f>IF(C504="","",COUNTA($C$4:C504))</f>
        <v/>
      </c>
      <c r="B504" s="68" t="str">
        <f t="shared" si="7"/>
        <v/>
      </c>
      <c r="C504" s="97"/>
    </row>
    <row r="505" spans="1:3" ht="17.100000000000001" customHeight="1" x14ac:dyDescent="0.25">
      <c r="A505" s="75" t="str">
        <f>IF(C505="","",COUNTA($C$4:C505))</f>
        <v/>
      </c>
      <c r="B505" s="68" t="str">
        <f t="shared" si="7"/>
        <v/>
      </c>
      <c r="C505" s="45"/>
    </row>
    <row r="506" spans="1:3" ht="17.100000000000001" customHeight="1" x14ac:dyDescent="0.25">
      <c r="A506" s="75" t="str">
        <f>IF(C506="","",COUNTA($C$4:C506))</f>
        <v/>
      </c>
      <c r="B506" s="68" t="str">
        <f t="shared" si="7"/>
        <v/>
      </c>
      <c r="C506" s="45"/>
    </row>
    <row r="507" spans="1:3" ht="17.100000000000001" customHeight="1" x14ac:dyDescent="0.25">
      <c r="A507" s="75" t="str">
        <f>IF(C507="","",COUNTA($C$4:C507))</f>
        <v/>
      </c>
      <c r="B507" s="68" t="str">
        <f t="shared" si="7"/>
        <v/>
      </c>
      <c r="C507" s="45"/>
    </row>
    <row r="508" spans="1:3" ht="17.100000000000001" customHeight="1" x14ac:dyDescent="0.25">
      <c r="A508" s="75" t="str">
        <f>IF(C508="","",COUNTA($C$4:C508))</f>
        <v/>
      </c>
      <c r="B508" s="68" t="str">
        <f t="shared" si="7"/>
        <v/>
      </c>
      <c r="C508" s="45"/>
    </row>
    <row r="509" spans="1:3" ht="17.100000000000001" customHeight="1" x14ac:dyDescent="0.25">
      <c r="A509" s="75" t="str">
        <f>IF(C509="","",COUNTA($C$4:C509))</f>
        <v/>
      </c>
      <c r="B509" s="68" t="str">
        <f t="shared" si="7"/>
        <v/>
      </c>
      <c r="C509" s="97"/>
    </row>
    <row r="510" spans="1:3" ht="17.100000000000001" customHeight="1" x14ac:dyDescent="0.25">
      <c r="A510" s="75" t="str">
        <f>IF(C510="","",COUNTA($C$4:C510))</f>
        <v/>
      </c>
      <c r="B510" s="68" t="str">
        <f t="shared" si="7"/>
        <v/>
      </c>
      <c r="C510" s="45"/>
    </row>
    <row r="511" spans="1:3" ht="17.100000000000001" customHeight="1" x14ac:dyDescent="0.25">
      <c r="A511" s="75" t="str">
        <f>IF(C511="","",COUNTA($C$4:C511))</f>
        <v/>
      </c>
      <c r="B511" s="68" t="str">
        <f t="shared" si="7"/>
        <v/>
      </c>
      <c r="C511" s="45"/>
    </row>
    <row r="512" spans="1:3" ht="17.100000000000001" customHeight="1" x14ac:dyDescent="0.25">
      <c r="A512" s="75" t="str">
        <f>IF(C512="","",COUNTA($C$4:C512))</f>
        <v/>
      </c>
      <c r="B512" s="68" t="str">
        <f t="shared" si="7"/>
        <v/>
      </c>
      <c r="C512" s="45"/>
    </row>
    <row r="513" spans="1:3" ht="17.100000000000001" customHeight="1" x14ac:dyDescent="0.25">
      <c r="A513" s="75" t="str">
        <f>IF(C513="","",COUNTA($C$4:C513))</f>
        <v/>
      </c>
      <c r="B513" s="68" t="str">
        <f t="shared" si="7"/>
        <v/>
      </c>
      <c r="C513" s="45"/>
    </row>
    <row r="514" spans="1:3" ht="17.100000000000001" customHeight="1" x14ac:dyDescent="0.25">
      <c r="A514" s="75" t="str">
        <f>IF(C514="","",COUNTA($C$4:C514))</f>
        <v/>
      </c>
      <c r="B514" s="68" t="str">
        <f t="shared" si="7"/>
        <v/>
      </c>
      <c r="C514" s="45"/>
    </row>
    <row r="515" spans="1:3" ht="17.100000000000001" customHeight="1" x14ac:dyDescent="0.25">
      <c r="A515" s="75" t="str">
        <f>IF(C515="","",COUNTA($C$4:C515))</f>
        <v/>
      </c>
      <c r="B515" s="68" t="str">
        <f t="shared" si="7"/>
        <v/>
      </c>
      <c r="C515" s="45"/>
    </row>
    <row r="516" spans="1:3" ht="17.100000000000001" customHeight="1" x14ac:dyDescent="0.25">
      <c r="A516" s="75" t="str">
        <f>IF(C516="","",COUNTA($C$4:C516))</f>
        <v/>
      </c>
      <c r="B516" s="68" t="str">
        <f t="shared" si="7"/>
        <v/>
      </c>
      <c r="C516" s="45"/>
    </row>
    <row r="517" spans="1:3" ht="17.100000000000001" customHeight="1" x14ac:dyDescent="0.25">
      <c r="A517" s="75" t="str">
        <f>IF(C517="","",COUNTA($C$4:C517))</f>
        <v/>
      </c>
      <c r="B517" s="68" t="str">
        <f t="shared" si="7"/>
        <v/>
      </c>
      <c r="C517" s="45"/>
    </row>
    <row r="518" spans="1:3" ht="17.100000000000001" customHeight="1" x14ac:dyDescent="0.25">
      <c r="A518" s="75" t="str">
        <f>IF(C518="","",COUNTA($C$4:C518))</f>
        <v/>
      </c>
      <c r="B518" s="68" t="str">
        <f t="shared" si="7"/>
        <v/>
      </c>
      <c r="C518" s="45"/>
    </row>
    <row r="519" spans="1:3" ht="17.100000000000001" customHeight="1" x14ac:dyDescent="0.25">
      <c r="A519" s="75" t="str">
        <f>IF(C519="","",COUNTA($C$4:C519))</f>
        <v/>
      </c>
      <c r="B519" s="68" t="str">
        <f t="shared" si="7"/>
        <v/>
      </c>
      <c r="C519" s="45"/>
    </row>
    <row r="520" spans="1:3" ht="17.100000000000001" customHeight="1" x14ac:dyDescent="0.25">
      <c r="A520" s="75" t="str">
        <f>IF(C520="","",COUNTA($C$4:C520))</f>
        <v/>
      </c>
      <c r="B520" s="68" t="str">
        <f t="shared" si="7"/>
        <v/>
      </c>
      <c r="C520" s="45"/>
    </row>
    <row r="521" spans="1:3" ht="17.100000000000001" customHeight="1" x14ac:dyDescent="0.25">
      <c r="A521" s="75" t="str">
        <f>IF(C521="","",COUNTA($C$4:C521))</f>
        <v/>
      </c>
      <c r="B521" s="68" t="str">
        <f t="shared" si="7"/>
        <v/>
      </c>
      <c r="C521" s="45"/>
    </row>
    <row r="522" spans="1:3" ht="17.100000000000001" customHeight="1" x14ac:dyDescent="0.25">
      <c r="A522" s="75" t="str">
        <f>IF(C522="","",COUNTA($C$4:C522))</f>
        <v/>
      </c>
      <c r="B522" s="68" t="str">
        <f t="shared" ref="B522:B579" si="8">IF(C522="","",TEXT(C522,"mmmm"))</f>
        <v/>
      </c>
      <c r="C522" s="45"/>
    </row>
    <row r="523" spans="1:3" ht="17.100000000000001" customHeight="1" x14ac:dyDescent="0.25">
      <c r="A523" s="75" t="str">
        <f>IF(C523="","",COUNTA($C$4:C523))</f>
        <v/>
      </c>
      <c r="B523" s="68" t="str">
        <f t="shared" si="8"/>
        <v/>
      </c>
      <c r="C523" s="97"/>
    </row>
    <row r="524" spans="1:3" ht="17.100000000000001" customHeight="1" x14ac:dyDescent="0.25">
      <c r="A524" s="75" t="str">
        <f>IF(C524="","",COUNTA($C$4:C524))</f>
        <v/>
      </c>
      <c r="B524" s="68" t="str">
        <f t="shared" si="8"/>
        <v/>
      </c>
      <c r="C524" s="45"/>
    </row>
    <row r="525" spans="1:3" ht="17.100000000000001" customHeight="1" x14ac:dyDescent="0.25">
      <c r="A525" s="75" t="str">
        <f>IF(C525="","",COUNTA($C$4:C525))</f>
        <v/>
      </c>
      <c r="B525" s="68" t="str">
        <f t="shared" si="8"/>
        <v/>
      </c>
      <c r="C525" s="45"/>
    </row>
    <row r="526" spans="1:3" ht="17.100000000000001" customHeight="1" x14ac:dyDescent="0.25">
      <c r="A526" s="75" t="str">
        <f>IF(C526="","",COUNTA($C$4:C526))</f>
        <v/>
      </c>
      <c r="B526" s="68" t="str">
        <f t="shared" si="8"/>
        <v/>
      </c>
      <c r="C526" s="45"/>
    </row>
    <row r="527" spans="1:3" ht="17.100000000000001" customHeight="1" x14ac:dyDescent="0.25">
      <c r="A527" s="75" t="str">
        <f>IF(C527="","",COUNTA($C$4:C527))</f>
        <v/>
      </c>
      <c r="B527" s="68" t="str">
        <f t="shared" si="8"/>
        <v/>
      </c>
      <c r="C527" s="45"/>
    </row>
    <row r="528" spans="1:3" ht="17.100000000000001" customHeight="1" x14ac:dyDescent="0.25">
      <c r="A528" s="75" t="str">
        <f>IF(C528="","",COUNTA($C$4:C528))</f>
        <v/>
      </c>
      <c r="B528" s="68" t="str">
        <f t="shared" si="8"/>
        <v/>
      </c>
      <c r="C528" s="45"/>
    </row>
    <row r="529" spans="1:3" ht="17.100000000000001" customHeight="1" x14ac:dyDescent="0.25">
      <c r="A529" s="75" t="str">
        <f>IF(C529="","",COUNTA($C$4:C529))</f>
        <v/>
      </c>
      <c r="B529" s="68" t="str">
        <f t="shared" si="8"/>
        <v/>
      </c>
      <c r="C529" s="45"/>
    </row>
    <row r="530" spans="1:3" ht="17.100000000000001" customHeight="1" x14ac:dyDescent="0.25">
      <c r="A530" s="75" t="str">
        <f>IF(C530="","",COUNTA($C$4:C530))</f>
        <v/>
      </c>
      <c r="B530" s="68" t="str">
        <f t="shared" si="8"/>
        <v/>
      </c>
      <c r="C530" s="45"/>
    </row>
    <row r="531" spans="1:3" ht="17.100000000000001" customHeight="1" x14ac:dyDescent="0.25">
      <c r="A531" s="75" t="str">
        <f>IF(C531="","",COUNTA($C$4:C531))</f>
        <v/>
      </c>
      <c r="B531" s="68" t="str">
        <f t="shared" si="8"/>
        <v/>
      </c>
      <c r="C531" s="45"/>
    </row>
    <row r="532" spans="1:3" ht="17.100000000000001" customHeight="1" x14ac:dyDescent="0.25">
      <c r="A532" s="75" t="str">
        <f>IF(C532="","",COUNTA($C$4:C532))</f>
        <v/>
      </c>
      <c r="B532" s="68" t="str">
        <f t="shared" si="8"/>
        <v/>
      </c>
      <c r="C532" s="97"/>
    </row>
    <row r="533" spans="1:3" ht="17.100000000000001" customHeight="1" x14ac:dyDescent="0.25">
      <c r="A533" s="75" t="str">
        <f>IF(C533="","",COUNTA($C$4:C533))</f>
        <v/>
      </c>
      <c r="B533" s="68" t="str">
        <f t="shared" si="8"/>
        <v/>
      </c>
      <c r="C533" s="45"/>
    </row>
    <row r="534" spans="1:3" ht="17.100000000000001" customHeight="1" x14ac:dyDescent="0.25">
      <c r="A534" s="75" t="str">
        <f>IF(C534="","",COUNTA($C$4:C534))</f>
        <v/>
      </c>
      <c r="B534" s="68" t="str">
        <f t="shared" si="8"/>
        <v/>
      </c>
      <c r="C534" s="45"/>
    </row>
    <row r="535" spans="1:3" ht="17.100000000000001" customHeight="1" x14ac:dyDescent="0.25">
      <c r="A535" s="75" t="str">
        <f>IF(C535="","",COUNTA($C$4:C535))</f>
        <v/>
      </c>
      <c r="B535" s="68" t="str">
        <f t="shared" si="8"/>
        <v/>
      </c>
      <c r="C535" s="45"/>
    </row>
    <row r="536" spans="1:3" ht="17.100000000000001" customHeight="1" x14ac:dyDescent="0.25">
      <c r="A536" s="75" t="str">
        <f>IF(C536="","",COUNTA($C$4:C536))</f>
        <v/>
      </c>
      <c r="B536" s="68" t="str">
        <f t="shared" si="8"/>
        <v/>
      </c>
      <c r="C536" s="45"/>
    </row>
    <row r="537" spans="1:3" ht="17.100000000000001" customHeight="1" x14ac:dyDescent="0.25">
      <c r="A537" s="75" t="str">
        <f>IF(C537="","",COUNTA($C$4:C537))</f>
        <v/>
      </c>
      <c r="B537" s="68" t="str">
        <f t="shared" si="8"/>
        <v/>
      </c>
      <c r="C537" s="45"/>
    </row>
    <row r="538" spans="1:3" ht="17.100000000000001" customHeight="1" x14ac:dyDescent="0.25">
      <c r="A538" s="75" t="str">
        <f>IF(C538="","",COUNTA($C$4:C538))</f>
        <v/>
      </c>
      <c r="B538" s="68" t="str">
        <f t="shared" si="8"/>
        <v/>
      </c>
      <c r="C538" s="45"/>
    </row>
    <row r="539" spans="1:3" ht="17.100000000000001" customHeight="1" x14ac:dyDescent="0.25">
      <c r="A539" s="75" t="str">
        <f>IF(C539="","",COUNTA($C$4:C539))</f>
        <v/>
      </c>
      <c r="B539" s="68" t="str">
        <f t="shared" si="8"/>
        <v/>
      </c>
      <c r="C539" s="45"/>
    </row>
    <row r="540" spans="1:3" ht="17.100000000000001" customHeight="1" x14ac:dyDescent="0.25">
      <c r="A540" s="75" t="str">
        <f>IF(C540="","",COUNTA($C$4:C540))</f>
        <v/>
      </c>
      <c r="B540" s="68" t="str">
        <f t="shared" si="8"/>
        <v/>
      </c>
      <c r="C540" s="45"/>
    </row>
    <row r="541" spans="1:3" ht="17.100000000000001" customHeight="1" x14ac:dyDescent="0.25">
      <c r="A541" s="75" t="str">
        <f>IF(C541="","",COUNTA($C$4:C541))</f>
        <v/>
      </c>
      <c r="B541" s="68" t="str">
        <f t="shared" si="8"/>
        <v/>
      </c>
      <c r="C541" s="45"/>
    </row>
    <row r="542" spans="1:3" ht="17.100000000000001" customHeight="1" x14ac:dyDescent="0.25">
      <c r="A542" s="75" t="str">
        <f>IF(C542="","",COUNTA($C$4:C542))</f>
        <v/>
      </c>
      <c r="B542" s="68" t="str">
        <f t="shared" si="8"/>
        <v/>
      </c>
      <c r="C542" s="45"/>
    </row>
    <row r="543" spans="1:3" ht="17.100000000000001" customHeight="1" x14ac:dyDescent="0.25">
      <c r="A543" s="75" t="str">
        <f>IF(C543="","",COUNTA($C$4:C543))</f>
        <v/>
      </c>
      <c r="B543" s="68" t="str">
        <f t="shared" si="8"/>
        <v/>
      </c>
      <c r="C543" s="45"/>
    </row>
    <row r="544" spans="1:3" ht="17.100000000000001" customHeight="1" x14ac:dyDescent="0.25">
      <c r="A544" s="75" t="str">
        <f>IF(C544="","",COUNTA($C$4:C544))</f>
        <v/>
      </c>
      <c r="B544" s="68" t="str">
        <f t="shared" si="8"/>
        <v/>
      </c>
      <c r="C544" s="45"/>
    </row>
    <row r="545" spans="1:3" ht="17.100000000000001" customHeight="1" x14ac:dyDescent="0.25">
      <c r="A545" s="75" t="str">
        <f>IF(C545="","",COUNTA($C$4:C545))</f>
        <v/>
      </c>
      <c r="B545" s="68" t="str">
        <f t="shared" si="8"/>
        <v/>
      </c>
      <c r="C545" s="45"/>
    </row>
    <row r="546" spans="1:3" ht="17.100000000000001" customHeight="1" x14ac:dyDescent="0.25">
      <c r="A546" s="75" t="str">
        <f>IF(C546="","",COUNTA($C$4:C546))</f>
        <v/>
      </c>
      <c r="B546" s="68" t="str">
        <f t="shared" si="8"/>
        <v/>
      </c>
      <c r="C546" s="45"/>
    </row>
    <row r="547" spans="1:3" ht="17.100000000000001" customHeight="1" x14ac:dyDescent="0.25">
      <c r="A547" s="75" t="str">
        <f>IF(C547="","",COUNTA($C$4:C547))</f>
        <v/>
      </c>
      <c r="B547" s="68" t="str">
        <f t="shared" si="8"/>
        <v/>
      </c>
      <c r="C547" s="45"/>
    </row>
    <row r="548" spans="1:3" ht="17.100000000000001" customHeight="1" x14ac:dyDescent="0.25">
      <c r="A548" s="75" t="str">
        <f>IF(C548="","",COUNTA($C$4:C548))</f>
        <v/>
      </c>
      <c r="B548" s="68" t="str">
        <f t="shared" si="8"/>
        <v/>
      </c>
      <c r="C548" s="45"/>
    </row>
    <row r="549" spans="1:3" ht="17.100000000000001" customHeight="1" x14ac:dyDescent="0.25">
      <c r="A549" s="75" t="str">
        <f>IF(C549="","",COUNTA($C$4:C549))</f>
        <v/>
      </c>
      <c r="B549" s="68" t="str">
        <f t="shared" si="8"/>
        <v/>
      </c>
      <c r="C549" s="45"/>
    </row>
    <row r="550" spans="1:3" ht="17.100000000000001" customHeight="1" x14ac:dyDescent="0.25">
      <c r="A550" s="75" t="str">
        <f>IF(C550="","",COUNTA($C$4:C550))</f>
        <v/>
      </c>
      <c r="B550" s="68" t="str">
        <f t="shared" si="8"/>
        <v/>
      </c>
      <c r="C550" s="88"/>
    </row>
    <row r="551" spans="1:3" ht="17.100000000000001" customHeight="1" x14ac:dyDescent="0.25">
      <c r="A551" s="75" t="str">
        <f>IF(C551="","",COUNTA($C$4:C551))</f>
        <v/>
      </c>
      <c r="B551" s="68" t="str">
        <f t="shared" si="8"/>
        <v/>
      </c>
    </row>
    <row r="552" spans="1:3" ht="17.100000000000001" customHeight="1" x14ac:dyDescent="0.25">
      <c r="A552" s="75" t="str">
        <f>IF(C552="","",COUNTA($C$4:C552))</f>
        <v/>
      </c>
      <c r="B552" s="68" t="str">
        <f t="shared" si="8"/>
        <v/>
      </c>
    </row>
    <row r="553" spans="1:3" ht="17.100000000000001" customHeight="1" x14ac:dyDescent="0.25">
      <c r="A553" s="75" t="str">
        <f>IF(C553="","",COUNTA($C$4:C553))</f>
        <v/>
      </c>
      <c r="B553" s="68" t="str">
        <f t="shared" si="8"/>
        <v/>
      </c>
    </row>
    <row r="554" spans="1:3" ht="17.100000000000001" customHeight="1" x14ac:dyDescent="0.25">
      <c r="A554" s="75" t="str">
        <f>IF(C554="","",COUNTA($C$4:C554))</f>
        <v/>
      </c>
      <c r="B554" s="68" t="str">
        <f t="shared" si="8"/>
        <v/>
      </c>
    </row>
    <row r="555" spans="1:3" ht="17.100000000000001" customHeight="1" x14ac:dyDescent="0.25">
      <c r="A555" s="75" t="str">
        <f>IF(C555="","",COUNTA($C$4:C555))</f>
        <v/>
      </c>
      <c r="B555" s="68" t="str">
        <f t="shared" si="8"/>
        <v/>
      </c>
    </row>
    <row r="556" spans="1:3" ht="17.100000000000001" customHeight="1" x14ac:dyDescent="0.25">
      <c r="A556" s="75" t="str">
        <f>IF(C556="","",COUNTA($C$4:C556))</f>
        <v/>
      </c>
      <c r="B556" s="68" t="str">
        <f t="shared" si="8"/>
        <v/>
      </c>
    </row>
    <row r="557" spans="1:3" ht="17.100000000000001" customHeight="1" x14ac:dyDescent="0.25">
      <c r="A557" s="75" t="str">
        <f>IF(C557="","",COUNTA($C$4:C557))</f>
        <v/>
      </c>
      <c r="B557" s="68" t="str">
        <f t="shared" si="8"/>
        <v/>
      </c>
    </row>
    <row r="558" spans="1:3" ht="17.100000000000001" customHeight="1" x14ac:dyDescent="0.25">
      <c r="A558" s="75" t="str">
        <f>IF(C558="","",COUNTA($C$4:C558))</f>
        <v/>
      </c>
      <c r="B558" s="68" t="str">
        <f t="shared" si="8"/>
        <v/>
      </c>
    </row>
    <row r="559" spans="1:3" ht="17.100000000000001" customHeight="1" x14ac:dyDescent="0.25">
      <c r="A559" s="75" t="str">
        <f>IF(C559="","",COUNTA($C$4:C559))</f>
        <v/>
      </c>
      <c r="B559" s="68" t="str">
        <f t="shared" si="8"/>
        <v/>
      </c>
    </row>
    <row r="560" spans="1:3" ht="17.100000000000001" customHeight="1" x14ac:dyDescent="0.25">
      <c r="A560" s="75" t="str">
        <f>IF(C560="","",COUNTA($C$4:C560))</f>
        <v/>
      </c>
      <c r="B560" s="68" t="str">
        <f t="shared" si="8"/>
        <v/>
      </c>
    </row>
    <row r="561" spans="1:2" ht="17.100000000000001" customHeight="1" x14ac:dyDescent="0.25">
      <c r="A561" s="75" t="str">
        <f>IF(C561="","",COUNTA($C$4:C561))</f>
        <v/>
      </c>
      <c r="B561" s="68" t="str">
        <f t="shared" si="8"/>
        <v/>
      </c>
    </row>
    <row r="562" spans="1:2" ht="17.100000000000001" customHeight="1" x14ac:dyDescent="0.25">
      <c r="A562" s="75" t="str">
        <f>IF(C562="","",COUNTA($C$4:C562))</f>
        <v/>
      </c>
      <c r="B562" s="68" t="str">
        <f t="shared" si="8"/>
        <v/>
      </c>
    </row>
    <row r="563" spans="1:2" ht="17.100000000000001" customHeight="1" x14ac:dyDescent="0.25">
      <c r="A563" s="75" t="str">
        <f>IF(C563="","",COUNTA($C$4:C563))</f>
        <v/>
      </c>
      <c r="B563" s="68" t="str">
        <f t="shared" si="8"/>
        <v/>
      </c>
    </row>
    <row r="564" spans="1:2" ht="17.100000000000001" customHeight="1" x14ac:dyDescent="0.25">
      <c r="A564" s="75" t="str">
        <f>IF(C564="","",COUNTA($C$4:C564))</f>
        <v/>
      </c>
      <c r="B564" s="68" t="str">
        <f t="shared" si="8"/>
        <v/>
      </c>
    </row>
    <row r="565" spans="1:2" ht="17.100000000000001" customHeight="1" x14ac:dyDescent="0.25">
      <c r="A565" s="75" t="str">
        <f>IF(C565="","",COUNTA($C$4:C565))</f>
        <v/>
      </c>
      <c r="B565" s="68" t="str">
        <f t="shared" si="8"/>
        <v/>
      </c>
    </row>
    <row r="566" spans="1:2" ht="17.100000000000001" customHeight="1" x14ac:dyDescent="0.25">
      <c r="A566" s="75" t="str">
        <f>IF(C566="","",COUNTA($C$4:C566))</f>
        <v/>
      </c>
      <c r="B566" s="68" t="str">
        <f t="shared" si="8"/>
        <v/>
      </c>
    </row>
    <row r="567" spans="1:2" ht="17.100000000000001" customHeight="1" x14ac:dyDescent="0.25">
      <c r="A567" s="75" t="str">
        <f>IF(C567="","",COUNTA($C$4:C567))</f>
        <v/>
      </c>
      <c r="B567" s="68" t="str">
        <f t="shared" si="8"/>
        <v/>
      </c>
    </row>
    <row r="568" spans="1:2" ht="17.100000000000001" customHeight="1" x14ac:dyDescent="0.25">
      <c r="A568" s="75" t="str">
        <f>IF(C568="","",COUNTA($C$4:C568))</f>
        <v/>
      </c>
      <c r="B568" s="68" t="str">
        <f t="shared" si="8"/>
        <v/>
      </c>
    </row>
    <row r="569" spans="1:2" ht="17.100000000000001" customHeight="1" x14ac:dyDescent="0.25">
      <c r="A569" s="75" t="str">
        <f>IF(C569="","",COUNTA($C$4:C569))</f>
        <v/>
      </c>
      <c r="B569" s="68" t="str">
        <f t="shared" si="8"/>
        <v/>
      </c>
    </row>
    <row r="570" spans="1:2" ht="17.100000000000001" customHeight="1" x14ac:dyDescent="0.25">
      <c r="A570" s="75" t="str">
        <f>IF(C570="","",COUNTA($C$4:C570))</f>
        <v/>
      </c>
      <c r="B570" s="68" t="str">
        <f t="shared" si="8"/>
        <v/>
      </c>
    </row>
    <row r="571" spans="1:2" ht="17.100000000000001" customHeight="1" x14ac:dyDescent="0.25">
      <c r="A571" s="75" t="str">
        <f>IF(C571="","",COUNTA($C$4:C571))</f>
        <v/>
      </c>
      <c r="B571" s="68" t="str">
        <f t="shared" si="8"/>
        <v/>
      </c>
    </row>
    <row r="572" spans="1:2" ht="17.100000000000001" customHeight="1" x14ac:dyDescent="0.25">
      <c r="A572" s="75"/>
      <c r="B572" s="68" t="str">
        <f t="shared" si="8"/>
        <v/>
      </c>
    </row>
    <row r="573" spans="1:2" ht="17.100000000000001" customHeight="1" x14ac:dyDescent="0.25">
      <c r="A573" s="75"/>
      <c r="B573" s="68" t="str">
        <f t="shared" si="8"/>
        <v/>
      </c>
    </row>
    <row r="574" spans="1:2" ht="17.100000000000001" customHeight="1" x14ac:dyDescent="0.25">
      <c r="A574" s="75"/>
      <c r="B574" s="68" t="str">
        <f t="shared" si="8"/>
        <v/>
      </c>
    </row>
    <row r="575" spans="1:2" ht="17.100000000000001" customHeight="1" x14ac:dyDescent="0.25">
      <c r="A575" s="75"/>
      <c r="B575" s="68" t="str">
        <f t="shared" si="8"/>
        <v/>
      </c>
    </row>
    <row r="576" spans="1:2" ht="17.100000000000001" customHeight="1" x14ac:dyDescent="0.25">
      <c r="A576" s="75"/>
      <c r="B576" s="68" t="str">
        <f t="shared" si="8"/>
        <v/>
      </c>
    </row>
    <row r="577" spans="1:2" ht="17.100000000000001" customHeight="1" x14ac:dyDescent="0.25">
      <c r="A577" s="75"/>
      <c r="B577" s="68" t="str">
        <f t="shared" si="8"/>
        <v/>
      </c>
    </row>
    <row r="578" spans="1:2" ht="17.100000000000001" customHeight="1" x14ac:dyDescent="0.25">
      <c r="A578" s="75"/>
      <c r="B578" s="68" t="str">
        <f t="shared" si="8"/>
        <v/>
      </c>
    </row>
    <row r="579" spans="1:2" ht="17.100000000000001" customHeight="1" x14ac:dyDescent="0.25">
      <c r="A579" s="75"/>
      <c r="B579" s="68" t="str">
        <f t="shared" si="8"/>
        <v/>
      </c>
    </row>
    <row r="580" spans="1:2" ht="17.100000000000001" customHeight="1" x14ac:dyDescent="0.25">
      <c r="A580" s="75"/>
    </row>
    <row r="581" spans="1:2" ht="17.100000000000001" customHeight="1" x14ac:dyDescent="0.25">
      <c r="A581" s="75"/>
    </row>
    <row r="582" spans="1:2" ht="17.100000000000001" customHeight="1" x14ac:dyDescent="0.25">
      <c r="A582" s="75"/>
    </row>
    <row r="583" spans="1:2" ht="17.100000000000001" customHeight="1" x14ac:dyDescent="0.25">
      <c r="A583" s="75"/>
    </row>
    <row r="584" spans="1:2" ht="17.100000000000001" customHeight="1" x14ac:dyDescent="0.25">
      <c r="A584" s="75"/>
    </row>
    <row r="585" spans="1:2" ht="17.100000000000001" customHeight="1" x14ac:dyDescent="0.25">
      <c r="A585" s="75"/>
    </row>
    <row r="586" spans="1:2" ht="17.100000000000001" customHeight="1" x14ac:dyDescent="0.25">
      <c r="A586" s="75"/>
    </row>
    <row r="587" spans="1:2" ht="17.100000000000001" customHeight="1" x14ac:dyDescent="0.25">
      <c r="A587" s="75"/>
    </row>
    <row r="588" spans="1:2" ht="17.100000000000001" customHeight="1" x14ac:dyDescent="0.25">
      <c r="A588" s="75"/>
    </row>
    <row r="589" spans="1:2" ht="17.100000000000001" customHeight="1" x14ac:dyDescent="0.25">
      <c r="A589" s="75"/>
    </row>
    <row r="590" spans="1:2" ht="17.100000000000001" customHeight="1" x14ac:dyDescent="0.25">
      <c r="A590" s="75"/>
    </row>
    <row r="591" spans="1:2" ht="17.100000000000001" customHeight="1" x14ac:dyDescent="0.25">
      <c r="A591" s="75"/>
    </row>
  </sheetData>
  <autoFilter ref="A3:G591" xr:uid="{27C146A0-91E8-4B8E-B903-EC0C83C0C699}"/>
  <phoneticPr fontId="20" type="noConversion"/>
  <pageMargins left="0.7" right="0.7" top="0.75" bottom="0.75" header="0.3" footer="0.3"/>
  <pageSetup orientation="portrait" r:id="rId1"/>
  <ignoredErrors>
    <ignoredError sqref="A6:A7 A9:A17 A165:A226 A228:A236 A427:A460 A238:A391 A394:A425 A462:A57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40th week</vt:lpstr>
      <vt:lpstr>Home</vt:lpstr>
      <vt:lpstr>IGR</vt:lpstr>
      <vt:lpstr>BPR</vt:lpstr>
      <vt:lpstr>Petty Cash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2026-08-01T09:46:31Z</dcterms:modified>
</cp:coreProperties>
</file>
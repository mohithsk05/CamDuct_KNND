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8DDF567-D65B-4E21-9E5F-9741E31C1B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31.07.2026" sheetId="1" r:id="rId1"/>
    <sheet name="Sheet1" sheetId="2" r:id="rId2"/>
  </sheets>
  <definedNames>
    <definedName name="_xlnm._FilterDatabase" localSheetId="0" hidden="1">'31.07.2026'!$A$4:$H$52</definedName>
  </definedNames>
  <calcPr calcId="191029" calcOnSave="0"/>
</workbook>
</file>

<file path=xl/calcChain.xml><?xml version="1.0" encoding="utf-8"?>
<calcChain xmlns="http://schemas.openxmlformats.org/spreadsheetml/2006/main">
  <c r="G17" i="1" l="1"/>
  <c r="G5" i="1"/>
  <c r="T45" i="1" l="1"/>
  <c r="H36" i="1" l="1"/>
  <c r="H13" i="1" l="1"/>
  <c r="H7" i="1" l="1"/>
  <c r="H16" i="1" l="1"/>
  <c r="H19" i="1" l="1"/>
  <c r="H52" i="1" l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8" i="1"/>
  <c r="H17" i="1"/>
  <c r="H15" i="1"/>
  <c r="H14" i="1"/>
  <c r="H12" i="1"/>
  <c r="H11" i="1"/>
  <c r="H10" i="1"/>
  <c r="H9" i="1"/>
  <c r="H8" i="1"/>
  <c r="H6" i="1"/>
  <c r="H5" i="1"/>
  <c r="H3" i="1" l="1"/>
  <c r="H2" i="1"/>
</calcChain>
</file>

<file path=xl/sharedStrings.xml><?xml version="1.0" encoding="utf-8"?>
<sst xmlns="http://schemas.openxmlformats.org/spreadsheetml/2006/main" count="194" uniqueCount="53">
  <si>
    <t>Sl. No</t>
  </si>
  <si>
    <t>Make</t>
  </si>
  <si>
    <t>Descriptions</t>
  </si>
  <si>
    <t>Type Of Insulation</t>
  </si>
  <si>
    <t>Class</t>
  </si>
  <si>
    <t>Qty Of 1 Roll/Box In Sqm</t>
  </si>
  <si>
    <t>Total Roll/Pack</t>
  </si>
  <si>
    <t xml:space="preserve"> Stock In Sqm</t>
  </si>
  <si>
    <t>Total Stock ( New + Carry Forward Material ) In Sqm</t>
  </si>
  <si>
    <t>K Flex</t>
  </si>
  <si>
    <t>Thermal</t>
  </si>
  <si>
    <t>O</t>
  </si>
  <si>
    <t>9mm</t>
  </si>
  <si>
    <t>13mm</t>
  </si>
  <si>
    <t>25mm</t>
  </si>
  <si>
    <t>32mm</t>
  </si>
  <si>
    <t>Thermal ( Al. Foil )</t>
  </si>
  <si>
    <t>19mm</t>
  </si>
  <si>
    <t>Thermal ( IC-Clad Black )</t>
  </si>
  <si>
    <t>10mm</t>
  </si>
  <si>
    <t>Acoustic</t>
  </si>
  <si>
    <t>15mm</t>
  </si>
  <si>
    <t>Supreme</t>
  </si>
  <si>
    <t>Thermal ( Flange - 150mm Slit )</t>
  </si>
  <si>
    <t>Thermal ( Al. Foil ) - Nitrile Rubber</t>
  </si>
  <si>
    <t>Thermal ( GC-CLOTH )</t>
  </si>
  <si>
    <t>Thermal ( Metalized Al. Foil )</t>
  </si>
  <si>
    <t>20mm</t>
  </si>
  <si>
    <t>Thermobreak</t>
  </si>
  <si>
    <t>Acoustic ( Al. Foil )</t>
  </si>
  <si>
    <t>24mm</t>
  </si>
  <si>
    <t xml:space="preserve">Arma Flex </t>
  </si>
  <si>
    <t>Armasound</t>
  </si>
  <si>
    <t>Paramount</t>
  </si>
  <si>
    <t xml:space="preserve">Aerocell </t>
  </si>
  <si>
    <t>Aeroflex</t>
  </si>
  <si>
    <t>Thermal  ( Al.Foil)</t>
  </si>
  <si>
    <t xml:space="preserve">Thermal </t>
  </si>
  <si>
    <t>Total</t>
  </si>
  <si>
    <t>Thermal+AM</t>
  </si>
  <si>
    <t>Insulation Tape</t>
  </si>
  <si>
    <t>Thermobreak Tape</t>
  </si>
  <si>
    <t>Kflex Thermal Tape</t>
  </si>
  <si>
    <t>Armaflex Thermal Tape</t>
  </si>
  <si>
    <t>Nos</t>
  </si>
  <si>
    <t>Carry Forward Material Stock In Sqm</t>
  </si>
  <si>
    <t>Aerolam</t>
  </si>
  <si>
    <t>1bandle-10 nos/29bandles</t>
  </si>
  <si>
    <t>12/14 BOX</t>
  </si>
  <si>
    <t>TOTAL</t>
  </si>
  <si>
    <t>KG</t>
  </si>
  <si>
    <t>1 CORNER</t>
  </si>
  <si>
    <t>Insulation Material Stock As On 31.07.2026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</si>
</sst>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Arial Black"/>
      <family val="2"/>
    </font>
    <font>
      <b/>
      <sz val="14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15" xfId="0" applyFont="1" applyBorder="1"/>
    <xf numFmtId="0" fontId="1" fillId="0" borderId="15" xfId="0" applyFont="1" applyBorder="1" applyAlignment="1">
      <alignment horizontal="center"/>
    </xf>
    <xf numFmtId="0" fontId="1" fillId="4" borderId="15" xfId="0" applyFont="1" applyFill="1" applyBorder="1"/>
    <xf numFmtId="0" fontId="1" fillId="4" borderId="15" xfId="0" applyFont="1" applyFill="1" applyBorder="1" applyAlignment="1">
      <alignment horizontal="center"/>
    </xf>
    <xf numFmtId="0" fontId="1" fillId="0" borderId="16" xfId="0" applyFont="1" applyBorder="1"/>
    <xf numFmtId="0" fontId="1" fillId="0" borderId="16" xfId="0" applyFont="1" applyBorder="1" applyAlignment="1">
      <alignment horizontal="center"/>
    </xf>
    <xf numFmtId="0" fontId="1" fillId="0" borderId="13" xfId="0" applyFont="1" applyBorder="1"/>
    <xf numFmtId="0" fontId="4" fillId="0" borderId="17" xfId="0" applyFont="1" applyBorder="1"/>
    <xf numFmtId="0" fontId="1" fillId="4" borderId="15" xfId="0" applyFont="1" applyFill="1" applyBorder="1" applyAlignment="1">
      <alignment horizontal="left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4" borderId="16" xfId="0" applyFont="1" applyFill="1" applyBorder="1"/>
    <xf numFmtId="0" fontId="1" fillId="4" borderId="16" xfId="0" applyFont="1" applyFill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1" fillId="0" borderId="13" xfId="0" applyFont="1" applyBorder="1" applyAlignment="1">
      <alignment horizontal="center"/>
    </xf>
    <xf numFmtId="0" fontId="1" fillId="4" borderId="17" xfId="0" applyFont="1" applyFill="1" applyBorder="1"/>
    <xf numFmtId="0" fontId="1" fillId="4" borderId="17" xfId="0" applyFont="1" applyFill="1" applyBorder="1" applyAlignment="1">
      <alignment horizontal="center"/>
    </xf>
    <xf numFmtId="0" fontId="1" fillId="0" borderId="17" xfId="0" applyFont="1" applyBorder="1"/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2" fontId="5" fillId="4" borderId="11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left"/>
    </xf>
    <xf numFmtId="0" fontId="1" fillId="0" borderId="14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24" xfId="0" applyFont="1" applyBorder="1"/>
    <xf numFmtId="0" fontId="1" fillId="0" borderId="25" xfId="0" applyFont="1" applyBorder="1"/>
    <xf numFmtId="0" fontId="6" fillId="2" borderId="5" xfId="0" applyFont="1" applyFill="1" applyBorder="1" applyAlignment="1">
      <alignment horizontal="center"/>
    </xf>
    <xf numFmtId="2" fontId="5" fillId="3" borderId="9" xfId="0" applyNumberFormat="1" applyFont="1" applyFill="1" applyBorder="1" applyAlignment="1">
      <alignment horizontal="center" vertical="center"/>
    </xf>
    <xf numFmtId="0" fontId="1" fillId="0" borderId="18" xfId="0" applyFont="1" applyBorder="1"/>
    <xf numFmtId="0" fontId="1" fillId="0" borderId="27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4" borderId="5" xfId="0" applyFont="1" applyFill="1" applyBorder="1"/>
    <xf numFmtId="0" fontId="1" fillId="4" borderId="5" xfId="0" applyFont="1" applyFill="1" applyBorder="1" applyAlignment="1">
      <alignment horizontal="left"/>
    </xf>
    <xf numFmtId="0" fontId="1" fillId="4" borderId="5" xfId="0" applyFont="1" applyFill="1" applyBorder="1" applyAlignment="1">
      <alignment horizontal="center"/>
    </xf>
    <xf numFmtId="0" fontId="1" fillId="4" borderId="30" xfId="0" applyFont="1" applyFill="1" applyBorder="1" applyAlignment="1">
      <alignment horizontal="center"/>
    </xf>
    <xf numFmtId="0" fontId="1" fillId="0" borderId="28" xfId="0" applyFont="1" applyBorder="1"/>
    <xf numFmtId="0" fontId="1" fillId="0" borderId="31" xfId="0" applyFont="1" applyBorder="1"/>
    <xf numFmtId="0" fontId="1" fillId="0" borderId="32" xfId="0" applyFont="1" applyBorder="1"/>
    <xf numFmtId="0" fontId="1" fillId="4" borderId="33" xfId="0" applyFont="1" applyFill="1" applyBorder="1"/>
    <xf numFmtId="0" fontId="1" fillId="4" borderId="32" xfId="0" applyFont="1" applyFill="1" applyBorder="1"/>
    <xf numFmtId="0" fontId="1" fillId="4" borderId="34" xfId="0" applyFont="1" applyFill="1" applyBorder="1"/>
    <xf numFmtId="0" fontId="1" fillId="4" borderId="17" xfId="0" applyFont="1" applyFill="1" applyBorder="1" applyAlignment="1">
      <alignment horizontal="left"/>
    </xf>
    <xf numFmtId="0" fontId="1" fillId="6" borderId="32" xfId="0" applyFont="1" applyFill="1" applyBorder="1"/>
    <xf numFmtId="0" fontId="1" fillId="6" borderId="15" xfId="0" applyFont="1" applyFill="1" applyBorder="1" applyAlignment="1">
      <alignment horizontal="center"/>
    </xf>
    <xf numFmtId="0" fontId="1" fillId="0" borderId="0" xfId="0" applyFont="1"/>
    <xf numFmtId="0" fontId="1" fillId="0" borderId="35" xfId="0" applyFont="1" applyBorder="1" applyAlignment="1">
      <alignment horizontal="center"/>
    </xf>
    <xf numFmtId="0" fontId="0" fillId="4" borderId="0" xfId="0" applyFill="1"/>
    <xf numFmtId="0" fontId="1" fillId="7" borderId="13" xfId="0" applyFont="1" applyFill="1" applyBorder="1"/>
    <xf numFmtId="0" fontId="1" fillId="7" borderId="31" xfId="0" applyFont="1" applyFill="1" applyBorder="1"/>
    <xf numFmtId="0" fontId="1" fillId="7" borderId="13" xfId="0" applyFont="1" applyFill="1" applyBorder="1" applyAlignment="1">
      <alignment horizontal="left"/>
    </xf>
    <xf numFmtId="0" fontId="1" fillId="7" borderId="13" xfId="0" applyFont="1" applyFill="1" applyBorder="1" applyAlignment="1">
      <alignment horizontal="center"/>
    </xf>
    <xf numFmtId="0" fontId="1" fillId="7" borderId="19" xfId="0" applyFont="1" applyFill="1" applyBorder="1" applyAlignment="1">
      <alignment horizontal="center"/>
    </xf>
    <xf numFmtId="0" fontId="1" fillId="7" borderId="17" xfId="0" applyFont="1" applyFill="1" applyBorder="1"/>
    <xf numFmtId="0" fontId="1" fillId="7" borderId="9" xfId="0" applyFont="1" applyFill="1" applyBorder="1"/>
    <xf numFmtId="0" fontId="1" fillId="7" borderId="17" xfId="0" applyFont="1" applyFill="1" applyBorder="1" applyAlignment="1">
      <alignment horizontal="left"/>
    </xf>
    <xf numFmtId="0" fontId="1" fillId="7" borderId="9" xfId="0" applyFont="1" applyFill="1" applyBorder="1" applyAlignment="1">
      <alignment horizontal="center"/>
    </xf>
    <xf numFmtId="0" fontId="1" fillId="7" borderId="3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5" borderId="6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1"/>
  <sheetViews>
    <sheetView showGridLines="0" tabSelected="1" workbookViewId="0">
      <pane ySplit="4" topLeftCell="A5" activePane="bottomLeft" state="frozen"/>
      <selection pane="bottomLeft" activeCell="L23" sqref="L22:L23"/>
    </sheetView>
  </sheetViews>
  <sheetFormatPr defaultRowHeight="15" x14ac:dyDescent="0.25"/>
  <cols>
    <col min="1" max="1" width="8.5703125" bestFit="1" customWidth="1"/>
    <col min="2" max="2" width="14.42578125" customWidth="1"/>
    <col min="3" max="3" width="18.140625" customWidth="1"/>
    <col min="4" max="4" width="32" bestFit="1" customWidth="1"/>
    <col min="5" max="5" width="7.28515625" bestFit="1" customWidth="1"/>
    <col min="6" max="6" width="16.85546875" customWidth="1"/>
    <col min="7" max="7" width="12.7109375" customWidth="1"/>
    <col min="8" max="8" width="14.7109375" customWidth="1"/>
  </cols>
  <sheetData>
    <row r="1" spans="1:8" ht="27.75" thickBot="1" x14ac:dyDescent="0.55000000000000004">
      <c r="A1" s="76" t="s">
        <v>52</v>
      </c>
      <c r="B1" s="77"/>
      <c r="C1" s="77"/>
      <c r="D1" s="77"/>
      <c r="E1" s="77"/>
      <c r="F1" s="77"/>
      <c r="G1" s="78"/>
      <c r="H1" s="41" t="s">
        <v>38</v>
      </c>
    </row>
    <row r="2" spans="1:8" ht="23.25" customHeight="1" thickBot="1" x14ac:dyDescent="0.35">
      <c r="A2" s="73" t="s">
        <v>8</v>
      </c>
      <c r="B2" s="74"/>
      <c r="C2" s="74"/>
      <c r="D2" s="74"/>
      <c r="E2" s="74"/>
      <c r="F2" s="74"/>
      <c r="G2" s="75"/>
      <c r="H2" s="42">
        <f>SUM(H5:H53)</f>
        <v>27882.899999999998</v>
      </c>
    </row>
    <row r="3" spans="1:8" ht="19.5" thickBot="1" x14ac:dyDescent="0.35">
      <c r="A3" s="79" t="s">
        <v>45</v>
      </c>
      <c r="B3" s="80"/>
      <c r="C3" s="80"/>
      <c r="D3" s="80"/>
      <c r="E3" s="80"/>
      <c r="F3" s="80"/>
      <c r="G3" s="81"/>
      <c r="H3" s="21">
        <f>H9+H25+H26+H32+H33+H34+H35+H43+H47+H50</f>
        <v>1534.3</v>
      </c>
    </row>
    <row r="4" spans="1:8" ht="57" thickBot="1" x14ac:dyDescent="0.3">
      <c r="A4" s="19" t="s">
        <v>0</v>
      </c>
      <c r="B4" s="20" t="s">
        <v>1</v>
      </c>
      <c r="C4" s="20" t="s">
        <v>2</v>
      </c>
      <c r="D4" s="20" t="s">
        <v>3</v>
      </c>
      <c r="E4" s="20" t="s">
        <v>4</v>
      </c>
      <c r="F4" s="20" t="s">
        <v>5</v>
      </c>
      <c r="G4" s="20" t="s">
        <v>6</v>
      </c>
      <c r="H4" s="20" t="s">
        <v>7</v>
      </c>
    </row>
    <row r="5" spans="1:8" x14ac:dyDescent="0.25">
      <c r="A5" s="22">
        <v>1</v>
      </c>
      <c r="B5" s="7" t="s">
        <v>9</v>
      </c>
      <c r="C5" s="7" t="s">
        <v>12</v>
      </c>
      <c r="D5" s="7" t="s">
        <v>10</v>
      </c>
      <c r="E5" s="15" t="s">
        <v>11</v>
      </c>
      <c r="F5" s="15">
        <v>24</v>
      </c>
      <c r="G5" s="15">
        <f>62+105</f>
        <v>167</v>
      </c>
      <c r="H5" s="23">
        <f t="shared" ref="H5:H52" si="0">F5*G5</f>
        <v>4008</v>
      </c>
    </row>
    <row r="6" spans="1:8" x14ac:dyDescent="0.25">
      <c r="A6" s="28">
        <v>2</v>
      </c>
      <c r="B6" s="1" t="s">
        <v>9</v>
      </c>
      <c r="C6" s="1" t="s">
        <v>13</v>
      </c>
      <c r="D6" s="1" t="s">
        <v>10</v>
      </c>
      <c r="E6" s="2" t="s">
        <v>11</v>
      </c>
      <c r="F6" s="2">
        <v>16.8</v>
      </c>
      <c r="G6" s="2">
        <v>42</v>
      </c>
      <c r="H6" s="29">
        <f t="shared" si="0"/>
        <v>705.6</v>
      </c>
    </row>
    <row r="7" spans="1:8" x14ac:dyDescent="0.25">
      <c r="A7" s="28">
        <v>3</v>
      </c>
      <c r="B7" s="1" t="s">
        <v>9</v>
      </c>
      <c r="C7" s="1" t="s">
        <v>13</v>
      </c>
      <c r="D7" s="1" t="s">
        <v>39</v>
      </c>
      <c r="E7" s="2" t="s">
        <v>11</v>
      </c>
      <c r="F7" s="2">
        <v>16.8</v>
      </c>
      <c r="G7" s="2">
        <v>0</v>
      </c>
      <c r="H7" s="29">
        <f t="shared" si="0"/>
        <v>0</v>
      </c>
    </row>
    <row r="8" spans="1:8" x14ac:dyDescent="0.25">
      <c r="A8" s="28">
        <v>4</v>
      </c>
      <c r="B8" s="1" t="s">
        <v>9</v>
      </c>
      <c r="C8" s="1" t="s">
        <v>14</v>
      </c>
      <c r="D8" s="1" t="s">
        <v>10</v>
      </c>
      <c r="E8" s="2" t="s">
        <v>11</v>
      </c>
      <c r="F8" s="2">
        <v>9.6</v>
      </c>
      <c r="G8" s="2">
        <v>3</v>
      </c>
      <c r="H8" s="29">
        <f t="shared" si="0"/>
        <v>28.799999999999997</v>
      </c>
    </row>
    <row r="9" spans="1:8" x14ac:dyDescent="0.25">
      <c r="A9" s="28">
        <v>5</v>
      </c>
      <c r="B9" s="3" t="s">
        <v>9</v>
      </c>
      <c r="C9" s="3" t="s">
        <v>15</v>
      </c>
      <c r="D9" s="3" t="s">
        <v>10</v>
      </c>
      <c r="E9" s="4" t="s">
        <v>11</v>
      </c>
      <c r="F9" s="4">
        <v>7.2</v>
      </c>
      <c r="G9" s="4"/>
      <c r="H9" s="24">
        <f t="shared" si="0"/>
        <v>0</v>
      </c>
    </row>
    <row r="10" spans="1:8" x14ac:dyDescent="0.25">
      <c r="A10" s="28">
        <v>6</v>
      </c>
      <c r="B10" s="1" t="s">
        <v>9</v>
      </c>
      <c r="C10" s="1" t="s">
        <v>12</v>
      </c>
      <c r="D10" s="1" t="s">
        <v>16</v>
      </c>
      <c r="E10" s="2" t="s">
        <v>11</v>
      </c>
      <c r="F10" s="2">
        <v>24</v>
      </c>
      <c r="G10" s="2">
        <v>83</v>
      </c>
      <c r="H10" s="29">
        <f t="shared" si="0"/>
        <v>1992</v>
      </c>
    </row>
    <row r="11" spans="1:8" x14ac:dyDescent="0.25">
      <c r="A11" s="28">
        <v>7</v>
      </c>
      <c r="B11" s="1" t="s">
        <v>9</v>
      </c>
      <c r="C11" s="1" t="s">
        <v>13</v>
      </c>
      <c r="D11" s="1" t="s">
        <v>16</v>
      </c>
      <c r="E11" s="2" t="s">
        <v>11</v>
      </c>
      <c r="F11" s="2">
        <v>16.8</v>
      </c>
      <c r="G11" s="2">
        <v>66</v>
      </c>
      <c r="H11" s="29">
        <f t="shared" si="0"/>
        <v>1108.8</v>
      </c>
    </row>
    <row r="12" spans="1:8" x14ac:dyDescent="0.25">
      <c r="A12" s="28">
        <v>8</v>
      </c>
      <c r="B12" s="1" t="s">
        <v>9</v>
      </c>
      <c r="C12" s="1" t="s">
        <v>17</v>
      </c>
      <c r="D12" s="1" t="s">
        <v>16</v>
      </c>
      <c r="E12" s="2" t="s">
        <v>11</v>
      </c>
      <c r="F12" s="2">
        <v>12</v>
      </c>
      <c r="G12" s="2">
        <v>98</v>
      </c>
      <c r="H12" s="29">
        <f t="shared" si="0"/>
        <v>1176</v>
      </c>
    </row>
    <row r="13" spans="1:8" x14ac:dyDescent="0.25">
      <c r="A13" s="28">
        <v>9</v>
      </c>
      <c r="B13" s="1" t="s">
        <v>9</v>
      </c>
      <c r="C13" s="1" t="s">
        <v>14</v>
      </c>
      <c r="D13" s="1" t="s">
        <v>36</v>
      </c>
      <c r="E13" s="2" t="s">
        <v>11</v>
      </c>
      <c r="F13" s="2">
        <v>8</v>
      </c>
      <c r="G13" s="2">
        <v>16</v>
      </c>
      <c r="H13" s="29">
        <f>F13*G13</f>
        <v>128</v>
      </c>
    </row>
    <row r="14" spans="1:8" x14ac:dyDescent="0.25">
      <c r="A14" s="28">
        <v>10</v>
      </c>
      <c r="B14" s="1" t="s">
        <v>9</v>
      </c>
      <c r="C14" s="1" t="s">
        <v>17</v>
      </c>
      <c r="D14" s="1" t="s">
        <v>18</v>
      </c>
      <c r="E14" s="2" t="s">
        <v>11</v>
      </c>
      <c r="F14" s="2">
        <v>12</v>
      </c>
      <c r="G14" s="2">
        <v>10</v>
      </c>
      <c r="H14" s="29">
        <f t="shared" si="0"/>
        <v>120</v>
      </c>
    </row>
    <row r="15" spans="1:8" x14ac:dyDescent="0.25">
      <c r="A15" s="28">
        <v>11</v>
      </c>
      <c r="B15" s="1" t="s">
        <v>9</v>
      </c>
      <c r="C15" s="1" t="s">
        <v>19</v>
      </c>
      <c r="D15" s="1" t="s">
        <v>20</v>
      </c>
      <c r="E15" s="2">
        <v>1</v>
      </c>
      <c r="F15" s="2">
        <v>20</v>
      </c>
      <c r="G15" s="2">
        <v>15</v>
      </c>
      <c r="H15" s="29">
        <f t="shared" si="0"/>
        <v>300</v>
      </c>
    </row>
    <row r="16" spans="1:8" x14ac:dyDescent="0.25">
      <c r="A16" s="28">
        <v>12</v>
      </c>
      <c r="B16" s="1" t="s">
        <v>9</v>
      </c>
      <c r="C16" s="43" t="s">
        <v>14</v>
      </c>
      <c r="D16" s="1" t="s">
        <v>20</v>
      </c>
      <c r="E16" s="11">
        <v>1</v>
      </c>
      <c r="F16" s="11">
        <v>8</v>
      </c>
      <c r="G16" s="11">
        <v>18</v>
      </c>
      <c r="H16" s="44">
        <f t="shared" si="0"/>
        <v>144</v>
      </c>
    </row>
    <row r="17" spans="1:8" ht="15.75" thickBot="1" x14ac:dyDescent="0.3">
      <c r="A17" s="30">
        <v>13</v>
      </c>
      <c r="B17" s="5" t="s">
        <v>9</v>
      </c>
      <c r="C17" s="5" t="s">
        <v>21</v>
      </c>
      <c r="D17" s="5" t="s">
        <v>20</v>
      </c>
      <c r="E17" s="6">
        <v>1</v>
      </c>
      <c r="F17" s="6">
        <v>12</v>
      </c>
      <c r="G17" s="6">
        <f>10+50</f>
        <v>60</v>
      </c>
      <c r="H17" s="31">
        <f t="shared" si="0"/>
        <v>720</v>
      </c>
    </row>
    <row r="18" spans="1:8" x14ac:dyDescent="0.25">
      <c r="A18" s="22">
        <v>14</v>
      </c>
      <c r="B18" s="7" t="s">
        <v>22</v>
      </c>
      <c r="C18" s="7" t="s">
        <v>12</v>
      </c>
      <c r="D18" s="7" t="s">
        <v>10</v>
      </c>
      <c r="E18" s="15" t="s">
        <v>11</v>
      </c>
      <c r="F18" s="15">
        <v>24</v>
      </c>
      <c r="G18" s="15">
        <v>35</v>
      </c>
      <c r="H18" s="23">
        <f t="shared" si="0"/>
        <v>840</v>
      </c>
    </row>
    <row r="19" spans="1:8" x14ac:dyDescent="0.25">
      <c r="A19" s="28">
        <v>15</v>
      </c>
      <c r="B19" s="8" t="s">
        <v>22</v>
      </c>
      <c r="C19" s="8" t="s">
        <v>12</v>
      </c>
      <c r="D19" s="8" t="s">
        <v>23</v>
      </c>
      <c r="E19" s="32" t="s">
        <v>11</v>
      </c>
      <c r="F19" s="32">
        <v>24</v>
      </c>
      <c r="G19" s="32">
        <v>8</v>
      </c>
      <c r="H19" s="33">
        <f>G19*F19</f>
        <v>192</v>
      </c>
    </row>
    <row r="20" spans="1:8" x14ac:dyDescent="0.25">
      <c r="A20" s="28">
        <v>16</v>
      </c>
      <c r="B20" s="1" t="s">
        <v>22</v>
      </c>
      <c r="C20" s="1" t="s">
        <v>13</v>
      </c>
      <c r="D20" s="1" t="s">
        <v>37</v>
      </c>
      <c r="E20" s="2" t="s">
        <v>11</v>
      </c>
      <c r="F20" s="2">
        <v>16.8</v>
      </c>
      <c r="G20" s="2">
        <v>0</v>
      </c>
      <c r="H20" s="29">
        <f>F20*G20</f>
        <v>0</v>
      </c>
    </row>
    <row r="21" spans="1:8" x14ac:dyDescent="0.25">
      <c r="A21" s="28">
        <v>17</v>
      </c>
      <c r="B21" s="1" t="s">
        <v>22</v>
      </c>
      <c r="C21" s="1" t="s">
        <v>13</v>
      </c>
      <c r="D21" s="1" t="s">
        <v>24</v>
      </c>
      <c r="E21" s="2" t="s">
        <v>11</v>
      </c>
      <c r="F21" s="2">
        <v>16.8</v>
      </c>
      <c r="G21" s="2">
        <v>201</v>
      </c>
      <c r="H21" s="29">
        <f t="shared" si="0"/>
        <v>3376.8</v>
      </c>
    </row>
    <row r="22" spans="1:8" x14ac:dyDescent="0.25">
      <c r="A22" s="28">
        <v>18</v>
      </c>
      <c r="B22" s="1" t="s">
        <v>22</v>
      </c>
      <c r="C22" s="1" t="s">
        <v>13</v>
      </c>
      <c r="D22" s="1" t="s">
        <v>25</v>
      </c>
      <c r="E22" s="2" t="s">
        <v>11</v>
      </c>
      <c r="F22" s="2">
        <v>16.8</v>
      </c>
      <c r="G22" s="2">
        <v>246</v>
      </c>
      <c r="H22" s="29">
        <f t="shared" si="0"/>
        <v>4132.8</v>
      </c>
    </row>
    <row r="23" spans="1:8" x14ac:dyDescent="0.25">
      <c r="A23" s="28">
        <v>19</v>
      </c>
      <c r="B23" s="1" t="s">
        <v>22</v>
      </c>
      <c r="C23" s="1" t="s">
        <v>17</v>
      </c>
      <c r="D23" s="1" t="s">
        <v>24</v>
      </c>
      <c r="E23" s="2" t="s">
        <v>11</v>
      </c>
      <c r="F23" s="2">
        <v>12</v>
      </c>
      <c r="G23" s="2">
        <v>57</v>
      </c>
      <c r="H23" s="29">
        <f t="shared" si="0"/>
        <v>684</v>
      </c>
    </row>
    <row r="24" spans="1:8" x14ac:dyDescent="0.25">
      <c r="A24" s="28">
        <v>20</v>
      </c>
      <c r="B24" s="1" t="s">
        <v>22</v>
      </c>
      <c r="C24" s="1" t="s">
        <v>17</v>
      </c>
      <c r="D24" s="1" t="s">
        <v>25</v>
      </c>
      <c r="E24" s="2" t="s">
        <v>11</v>
      </c>
      <c r="F24" s="2">
        <v>12</v>
      </c>
      <c r="G24" s="2">
        <v>267</v>
      </c>
      <c r="H24" s="29">
        <f t="shared" si="0"/>
        <v>3204</v>
      </c>
    </row>
    <row r="25" spans="1:8" x14ac:dyDescent="0.25">
      <c r="A25" s="28">
        <v>21</v>
      </c>
      <c r="B25" s="1" t="s">
        <v>22</v>
      </c>
      <c r="C25" s="1" t="s">
        <v>17</v>
      </c>
      <c r="D25" s="14" t="s">
        <v>26</v>
      </c>
      <c r="E25" s="2" t="s">
        <v>11</v>
      </c>
      <c r="F25" s="2">
        <v>24.4</v>
      </c>
      <c r="G25" s="2"/>
      <c r="H25" s="29">
        <f t="shared" si="0"/>
        <v>0</v>
      </c>
    </row>
    <row r="26" spans="1:8" x14ac:dyDescent="0.25">
      <c r="A26" s="28">
        <v>22</v>
      </c>
      <c r="B26" s="3" t="s">
        <v>22</v>
      </c>
      <c r="C26" s="9" t="s">
        <v>14</v>
      </c>
      <c r="D26" s="3" t="s">
        <v>16</v>
      </c>
      <c r="E26" s="4" t="s">
        <v>11</v>
      </c>
      <c r="F26" s="4">
        <v>18.3</v>
      </c>
      <c r="G26" s="4">
        <v>2</v>
      </c>
      <c r="H26" s="24">
        <f t="shared" si="0"/>
        <v>36.6</v>
      </c>
    </row>
    <row r="27" spans="1:8" x14ac:dyDescent="0.25">
      <c r="A27" s="28">
        <v>23</v>
      </c>
      <c r="B27" s="18" t="s">
        <v>22</v>
      </c>
      <c r="C27" s="38" t="s">
        <v>19</v>
      </c>
      <c r="D27" s="38" t="s">
        <v>20</v>
      </c>
      <c r="E27" s="10">
        <v>1</v>
      </c>
      <c r="F27" s="10">
        <v>12</v>
      </c>
      <c r="G27" s="10">
        <v>4</v>
      </c>
      <c r="H27" s="36">
        <f>F27*G27</f>
        <v>48</v>
      </c>
    </row>
    <row r="28" spans="1:8" x14ac:dyDescent="0.25">
      <c r="A28" s="28">
        <v>24</v>
      </c>
      <c r="B28" s="1" t="s">
        <v>22</v>
      </c>
      <c r="C28" s="35" t="s">
        <v>21</v>
      </c>
      <c r="D28" s="14" t="s">
        <v>20</v>
      </c>
      <c r="E28" s="11">
        <v>1</v>
      </c>
      <c r="F28" s="11">
        <v>8</v>
      </c>
      <c r="G28" s="11">
        <v>0</v>
      </c>
      <c r="H28" s="36">
        <f>F28*G28</f>
        <v>0</v>
      </c>
    </row>
    <row r="29" spans="1:8" ht="15.75" thickBot="1" x14ac:dyDescent="0.3">
      <c r="A29" s="30">
        <v>25</v>
      </c>
      <c r="B29" s="5" t="s">
        <v>22</v>
      </c>
      <c r="C29" s="37" t="s">
        <v>27</v>
      </c>
      <c r="D29" s="37" t="s">
        <v>20</v>
      </c>
      <c r="E29" s="6">
        <v>1</v>
      </c>
      <c r="F29" s="6">
        <v>6</v>
      </c>
      <c r="G29" s="6"/>
      <c r="H29" s="31">
        <f>F29*G29</f>
        <v>0</v>
      </c>
    </row>
    <row r="30" spans="1:8" x14ac:dyDescent="0.25">
      <c r="A30" s="22">
        <v>26</v>
      </c>
      <c r="B30" s="7" t="s">
        <v>28</v>
      </c>
      <c r="C30" s="51" t="s">
        <v>13</v>
      </c>
      <c r="D30" s="34" t="s">
        <v>16</v>
      </c>
      <c r="E30" s="15"/>
      <c r="F30" s="15">
        <v>24</v>
      </c>
      <c r="G30" s="15">
        <v>14</v>
      </c>
      <c r="H30" s="23">
        <f t="shared" si="0"/>
        <v>336</v>
      </c>
    </row>
    <row r="31" spans="1:8" x14ac:dyDescent="0.25">
      <c r="A31" s="28">
        <v>27</v>
      </c>
      <c r="B31" s="1" t="s">
        <v>28</v>
      </c>
      <c r="C31" s="52" t="s">
        <v>12</v>
      </c>
      <c r="D31" s="14" t="s">
        <v>16</v>
      </c>
      <c r="E31" s="2"/>
      <c r="F31" s="2">
        <v>60</v>
      </c>
      <c r="G31" s="2">
        <v>0</v>
      </c>
      <c r="H31" s="29">
        <f t="shared" si="0"/>
        <v>0</v>
      </c>
    </row>
    <row r="32" spans="1:8" x14ac:dyDescent="0.25">
      <c r="A32" s="28">
        <v>28</v>
      </c>
      <c r="B32" s="16" t="s">
        <v>28</v>
      </c>
      <c r="C32" s="53" t="s">
        <v>17</v>
      </c>
      <c r="D32" s="56" t="s">
        <v>16</v>
      </c>
      <c r="E32" s="17"/>
      <c r="F32" s="17">
        <v>24</v>
      </c>
      <c r="G32" s="17">
        <v>3</v>
      </c>
      <c r="H32" s="26">
        <f t="shared" si="0"/>
        <v>72</v>
      </c>
    </row>
    <row r="33" spans="1:20" x14ac:dyDescent="0.25">
      <c r="A33" s="28">
        <v>29</v>
      </c>
      <c r="B33" s="3" t="s">
        <v>28</v>
      </c>
      <c r="C33" s="54" t="s">
        <v>19</v>
      </c>
      <c r="D33" s="3" t="s">
        <v>29</v>
      </c>
      <c r="E33" s="4"/>
      <c r="F33" s="4">
        <v>24</v>
      </c>
      <c r="G33" s="4">
        <v>11</v>
      </c>
      <c r="H33" s="24">
        <f t="shared" si="0"/>
        <v>264</v>
      </c>
    </row>
    <row r="34" spans="1:20" x14ac:dyDescent="0.25">
      <c r="A34" s="28">
        <v>30</v>
      </c>
      <c r="B34" s="3" t="s">
        <v>28</v>
      </c>
      <c r="C34" s="54" t="s">
        <v>21</v>
      </c>
      <c r="D34" s="3" t="s">
        <v>29</v>
      </c>
      <c r="E34" s="4"/>
      <c r="F34" s="4">
        <v>2.76</v>
      </c>
      <c r="G34" s="4">
        <v>105</v>
      </c>
      <c r="H34" s="24">
        <f t="shared" si="0"/>
        <v>289.79999999999995</v>
      </c>
    </row>
    <row r="35" spans="1:20" ht="15.75" thickBot="1" x14ac:dyDescent="0.3">
      <c r="A35" s="30">
        <v>31</v>
      </c>
      <c r="B35" s="12" t="s">
        <v>28</v>
      </c>
      <c r="C35" s="55" t="s">
        <v>30</v>
      </c>
      <c r="D35" s="12" t="s">
        <v>29</v>
      </c>
      <c r="E35" s="13"/>
      <c r="F35" s="13">
        <v>2.76</v>
      </c>
      <c r="G35" s="13">
        <v>40</v>
      </c>
      <c r="H35" s="25">
        <f t="shared" si="0"/>
        <v>110.39999999999999</v>
      </c>
    </row>
    <row r="36" spans="1:20" x14ac:dyDescent="0.25">
      <c r="A36" s="22">
        <v>32</v>
      </c>
      <c r="B36" s="62" t="s">
        <v>46</v>
      </c>
      <c r="C36" s="63" t="s">
        <v>14</v>
      </c>
      <c r="D36" s="64" t="s">
        <v>10</v>
      </c>
      <c r="E36" s="65">
        <v>0</v>
      </c>
      <c r="F36" s="65">
        <v>19.2</v>
      </c>
      <c r="G36" s="65">
        <v>4</v>
      </c>
      <c r="H36" s="66">
        <f t="shared" si="0"/>
        <v>76.8</v>
      </c>
    </row>
    <row r="37" spans="1:20" ht="15.75" thickBot="1" x14ac:dyDescent="0.3">
      <c r="A37" s="60">
        <v>33</v>
      </c>
      <c r="B37" s="67" t="s">
        <v>46</v>
      </c>
      <c r="C37" s="68" t="s">
        <v>15</v>
      </c>
      <c r="D37" s="69" t="s">
        <v>10</v>
      </c>
      <c r="E37" s="70">
        <v>0</v>
      </c>
      <c r="F37" s="70">
        <v>2.4</v>
      </c>
      <c r="G37" s="70">
        <v>55</v>
      </c>
      <c r="H37" s="71">
        <f t="shared" si="0"/>
        <v>132</v>
      </c>
      <c r="I37" s="61" t="s">
        <v>47</v>
      </c>
      <c r="J37" s="61"/>
      <c r="K37" s="61"/>
    </row>
    <row r="38" spans="1:20" x14ac:dyDescent="0.25">
      <c r="A38" s="22">
        <v>33</v>
      </c>
      <c r="B38" s="7" t="s">
        <v>31</v>
      </c>
      <c r="C38" s="7" t="s">
        <v>12</v>
      </c>
      <c r="D38" s="34" t="s">
        <v>10</v>
      </c>
      <c r="E38" s="15" t="s">
        <v>11</v>
      </c>
      <c r="F38" s="15">
        <v>24</v>
      </c>
      <c r="G38" s="15">
        <v>5</v>
      </c>
      <c r="H38" s="23">
        <f t="shared" si="0"/>
        <v>120</v>
      </c>
    </row>
    <row r="39" spans="1:20" x14ac:dyDescent="0.25">
      <c r="A39" s="28">
        <v>34</v>
      </c>
      <c r="B39" s="1" t="s">
        <v>31</v>
      </c>
      <c r="C39" s="1" t="s">
        <v>13</v>
      </c>
      <c r="D39" s="14" t="s">
        <v>10</v>
      </c>
      <c r="E39" s="2" t="s">
        <v>11</v>
      </c>
      <c r="F39" s="2">
        <v>17</v>
      </c>
      <c r="G39" s="2"/>
      <c r="H39" s="29">
        <f t="shared" si="0"/>
        <v>0</v>
      </c>
    </row>
    <row r="40" spans="1:20" x14ac:dyDescent="0.25">
      <c r="A40" s="28">
        <v>35</v>
      </c>
      <c r="B40" s="1" t="s">
        <v>31</v>
      </c>
      <c r="C40" s="1" t="s">
        <v>13</v>
      </c>
      <c r="D40" s="14" t="s">
        <v>16</v>
      </c>
      <c r="E40" s="2" t="s">
        <v>11</v>
      </c>
      <c r="F40" s="2">
        <v>17</v>
      </c>
      <c r="G40" s="2"/>
      <c r="H40" s="29">
        <f t="shared" si="0"/>
        <v>0</v>
      </c>
    </row>
    <row r="41" spans="1:20" x14ac:dyDescent="0.25">
      <c r="A41" s="28">
        <v>36</v>
      </c>
      <c r="B41" s="1" t="s">
        <v>31</v>
      </c>
      <c r="C41" s="1" t="s">
        <v>17</v>
      </c>
      <c r="D41" s="14" t="s">
        <v>10</v>
      </c>
      <c r="E41" s="2" t="s">
        <v>11</v>
      </c>
      <c r="F41" s="2">
        <v>12</v>
      </c>
      <c r="G41" s="2">
        <v>40</v>
      </c>
      <c r="H41" s="29">
        <f t="shared" si="0"/>
        <v>480</v>
      </c>
    </row>
    <row r="42" spans="1:20" x14ac:dyDescent="0.25">
      <c r="A42" s="28">
        <v>37</v>
      </c>
      <c r="B42" s="1" t="s">
        <v>31</v>
      </c>
      <c r="C42" s="1" t="s">
        <v>17</v>
      </c>
      <c r="D42" s="14" t="s">
        <v>25</v>
      </c>
      <c r="E42" s="2" t="s">
        <v>11</v>
      </c>
      <c r="F42" s="2">
        <v>12</v>
      </c>
      <c r="G42" s="2">
        <v>7</v>
      </c>
      <c r="H42" s="29">
        <f t="shared" si="0"/>
        <v>84</v>
      </c>
    </row>
    <row r="43" spans="1:20" ht="15.75" thickBot="1" x14ac:dyDescent="0.3">
      <c r="A43" s="30">
        <v>38</v>
      </c>
      <c r="B43" s="12" t="s">
        <v>31</v>
      </c>
      <c r="C43" s="12" t="s">
        <v>14</v>
      </c>
      <c r="D43" s="27" t="s">
        <v>16</v>
      </c>
      <c r="E43" s="13" t="s">
        <v>11</v>
      </c>
      <c r="F43" s="13">
        <v>9</v>
      </c>
      <c r="G43" s="13"/>
      <c r="H43" s="25">
        <f t="shared" si="0"/>
        <v>0</v>
      </c>
    </row>
    <row r="44" spans="1:20" x14ac:dyDescent="0.25">
      <c r="A44" s="22">
        <v>39</v>
      </c>
      <c r="B44" s="50" t="s">
        <v>32</v>
      </c>
      <c r="C44" s="7" t="s">
        <v>19</v>
      </c>
      <c r="D44" s="7" t="s">
        <v>20</v>
      </c>
      <c r="E44" s="15">
        <v>1</v>
      </c>
      <c r="F44" s="15">
        <v>17</v>
      </c>
      <c r="G44" s="15">
        <v>3</v>
      </c>
      <c r="H44" s="23">
        <f t="shared" si="0"/>
        <v>51</v>
      </c>
      <c r="R44" s="72" t="s">
        <v>51</v>
      </c>
      <c r="S44" s="72" t="s">
        <v>49</v>
      </c>
      <c r="T44" s="72" t="s">
        <v>50</v>
      </c>
    </row>
    <row r="45" spans="1:20" x14ac:dyDescent="0.25">
      <c r="A45" s="28">
        <v>40</v>
      </c>
      <c r="B45" s="39" t="s">
        <v>32</v>
      </c>
      <c r="C45" s="1" t="s">
        <v>21</v>
      </c>
      <c r="D45" s="1" t="s">
        <v>20</v>
      </c>
      <c r="E45" s="2">
        <v>1</v>
      </c>
      <c r="F45" s="2">
        <v>12</v>
      </c>
      <c r="G45" s="2">
        <v>81</v>
      </c>
      <c r="H45" s="36">
        <f t="shared" si="0"/>
        <v>972</v>
      </c>
      <c r="R45" s="72">
        <v>0.06</v>
      </c>
      <c r="S45" s="72">
        <v>500</v>
      </c>
      <c r="T45" s="72">
        <f>S45*R45</f>
        <v>30</v>
      </c>
    </row>
    <row r="46" spans="1:20" ht="15.75" thickBot="1" x14ac:dyDescent="0.3">
      <c r="A46" s="30">
        <v>41</v>
      </c>
      <c r="B46" s="40" t="s">
        <v>32</v>
      </c>
      <c r="C46" s="5" t="s">
        <v>14</v>
      </c>
      <c r="D46" s="5" t="s">
        <v>20</v>
      </c>
      <c r="E46" s="6">
        <v>1</v>
      </c>
      <c r="F46" s="6">
        <v>7</v>
      </c>
      <c r="G46" s="6">
        <v>0</v>
      </c>
      <c r="H46" s="31">
        <f t="shared" si="0"/>
        <v>0</v>
      </c>
    </row>
    <row r="47" spans="1:20" ht="15.75" thickBot="1" x14ac:dyDescent="0.3">
      <c r="A47" s="45">
        <v>42</v>
      </c>
      <c r="B47" s="46" t="s">
        <v>33</v>
      </c>
      <c r="C47" s="46" t="s">
        <v>13</v>
      </c>
      <c r="D47" s="47" t="s">
        <v>16</v>
      </c>
      <c r="E47" s="48" t="s">
        <v>11</v>
      </c>
      <c r="F47" s="48">
        <v>37.5</v>
      </c>
      <c r="G47" s="48">
        <v>9</v>
      </c>
      <c r="H47" s="49">
        <f t="shared" si="0"/>
        <v>337.5</v>
      </c>
    </row>
    <row r="48" spans="1:20" x14ac:dyDescent="0.25">
      <c r="A48" s="22">
        <v>43</v>
      </c>
      <c r="B48" s="7" t="s">
        <v>34</v>
      </c>
      <c r="C48" s="7" t="s">
        <v>12</v>
      </c>
      <c r="D48" s="34" t="s">
        <v>10</v>
      </c>
      <c r="E48" s="15" t="s">
        <v>11</v>
      </c>
      <c r="F48" s="15">
        <v>36</v>
      </c>
      <c r="G48" s="15">
        <v>33</v>
      </c>
      <c r="H48" s="23">
        <f t="shared" si="0"/>
        <v>1188</v>
      </c>
    </row>
    <row r="49" spans="1:8" x14ac:dyDescent="0.25">
      <c r="A49" s="28">
        <v>44</v>
      </c>
      <c r="B49" s="18" t="s">
        <v>34</v>
      </c>
      <c r="C49" s="18" t="s">
        <v>13</v>
      </c>
      <c r="D49" s="14" t="s">
        <v>10</v>
      </c>
      <c r="E49" s="10" t="s">
        <v>11</v>
      </c>
      <c r="F49" s="10">
        <v>30</v>
      </c>
      <c r="G49" s="10"/>
      <c r="H49" s="36">
        <f t="shared" si="0"/>
        <v>0</v>
      </c>
    </row>
    <row r="50" spans="1:8" x14ac:dyDescent="0.25">
      <c r="A50" s="28">
        <v>45</v>
      </c>
      <c r="B50" s="3" t="s">
        <v>34</v>
      </c>
      <c r="C50" s="3" t="s">
        <v>15</v>
      </c>
      <c r="D50" s="9" t="s">
        <v>25</v>
      </c>
      <c r="E50" s="4">
        <v>0</v>
      </c>
      <c r="F50" s="4">
        <v>8</v>
      </c>
      <c r="G50" s="4">
        <v>53</v>
      </c>
      <c r="H50" s="24">
        <f t="shared" si="0"/>
        <v>424</v>
      </c>
    </row>
    <row r="51" spans="1:8" x14ac:dyDescent="0.25">
      <c r="A51" s="28">
        <v>46</v>
      </c>
      <c r="B51" s="1" t="s">
        <v>35</v>
      </c>
      <c r="C51" s="1" t="s">
        <v>19</v>
      </c>
      <c r="D51" s="1" t="s">
        <v>20</v>
      </c>
      <c r="E51" s="2">
        <v>1</v>
      </c>
      <c r="F51" s="2">
        <v>10</v>
      </c>
      <c r="G51" s="2"/>
      <c r="H51" s="36">
        <f t="shared" si="0"/>
        <v>0</v>
      </c>
    </row>
    <row r="52" spans="1:8" ht="15.75" thickBot="1" x14ac:dyDescent="0.3">
      <c r="A52" s="30">
        <v>47</v>
      </c>
      <c r="B52" s="5" t="s">
        <v>35</v>
      </c>
      <c r="C52" s="5" t="s">
        <v>21</v>
      </c>
      <c r="D52" s="5" t="s">
        <v>20</v>
      </c>
      <c r="E52" s="6">
        <v>1</v>
      </c>
      <c r="F52" s="6">
        <v>7</v>
      </c>
      <c r="G52" s="6"/>
      <c r="H52" s="31">
        <f t="shared" si="0"/>
        <v>0</v>
      </c>
    </row>
    <row r="55" spans="1:8" x14ac:dyDescent="0.25">
      <c r="D55" s="57" t="s">
        <v>40</v>
      </c>
      <c r="E55" s="58" t="s">
        <v>44</v>
      </c>
    </row>
    <row r="56" spans="1:8" x14ac:dyDescent="0.25">
      <c r="D56" s="1" t="s">
        <v>41</v>
      </c>
      <c r="E56" s="2">
        <v>18</v>
      </c>
    </row>
    <row r="57" spans="1:8" x14ac:dyDescent="0.25">
      <c r="D57" s="1" t="s">
        <v>42</v>
      </c>
      <c r="E57" s="2">
        <v>0</v>
      </c>
    </row>
    <row r="58" spans="1:8" x14ac:dyDescent="0.25">
      <c r="D58" s="1" t="s">
        <v>43</v>
      </c>
      <c r="E58" s="2">
        <v>168</v>
      </c>
      <c r="F58" t="s">
        <v>48</v>
      </c>
    </row>
    <row r="59" spans="1:8" x14ac:dyDescent="0.25">
      <c r="D59" s="1"/>
      <c r="E59" s="2"/>
    </row>
    <row r="60" spans="1:8" x14ac:dyDescent="0.25">
      <c r="D60" s="1"/>
      <c r="E60" s="2"/>
    </row>
    <row r="66" spans="4:6" x14ac:dyDescent="0.25">
      <c r="D66" s="59"/>
      <c r="E66" s="59"/>
    </row>
    <row r="67" spans="4:6" x14ac:dyDescent="0.25">
      <c r="D67" s="59"/>
      <c r="E67" s="59"/>
      <c r="F67" s="59"/>
    </row>
    <row r="68" spans="4:6" x14ac:dyDescent="0.25">
      <c r="D68" s="59"/>
      <c r="E68" s="59"/>
      <c r="F68" s="59"/>
    </row>
    <row r="69" spans="4:6" x14ac:dyDescent="0.25">
      <c r="D69" s="59"/>
      <c r="E69" s="59"/>
      <c r="F69" s="59"/>
    </row>
    <row r="70" spans="4:6" x14ac:dyDescent="0.25">
      <c r="D70" s="59"/>
      <c r="E70" s="59"/>
      <c r="F70" s="59"/>
    </row>
    <row r="71" spans="4:6" x14ac:dyDescent="0.25">
      <c r="D71" s="59"/>
      <c r="E71" s="59"/>
      <c r="F71" s="59"/>
    </row>
  </sheetData>
  <autoFilter ref="A4:H52" xr:uid="{00000000-0009-0000-0000-000000000000}"/>
  <mergeCells count="3">
    <mergeCell ref="A2:G2"/>
    <mergeCell ref="A3:G3"/>
    <mergeCell ref="A1:G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6" sqref="B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31.07.2026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2026-07-31T06:45:43Z</dcterms:modified>
</cp:coreProperties>
</file>
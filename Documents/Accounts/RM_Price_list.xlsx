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C9AAEBC-DF62-4ADC-AC86-119A371A35DE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Mar 2026" sheetId="38" state="hidden" r:id="rId1"/>
    <sheet name="Apr 2026" sheetId="40" r:id="rId2"/>
    <sheet name="July 2026" sheetId="41" r:id="rId3"/>
  </sheets>
  <calcPr calcId="191029"/>
</workbook>
</file>

<file path=xl/calcChain.xml><?xml version="1.0" encoding="utf-8"?>
<calcChain xmlns="http://schemas.openxmlformats.org/spreadsheetml/2006/main">
  <c r="F15" i="41" l="1"/>
  <c r="D28" i="41" s="1"/>
  <c r="F14" i="41"/>
  <c r="D27" i="41" s="1"/>
  <c r="F13" i="41"/>
  <c r="D26" i="41" s="1"/>
  <c r="F12" i="41"/>
  <c r="D25" i="41" s="1"/>
  <c r="F10" i="41"/>
  <c r="D32" i="41" s="1"/>
  <c r="F9" i="41"/>
  <c r="D31" i="41" s="1"/>
  <c r="F8" i="41"/>
  <c r="D30" i="41" s="1"/>
  <c r="F6" i="41"/>
  <c r="D23" i="41" s="1"/>
  <c r="F5" i="41"/>
  <c r="D22" i="41" s="1"/>
  <c r="F4" i="41"/>
  <c r="D21" i="41" s="1"/>
  <c r="F3" i="41"/>
  <c r="D20" i="41" s="1"/>
  <c r="F2" i="41"/>
  <c r="D19" i="41" s="1"/>
  <c r="D28" i="40"/>
  <c r="D26" i="40"/>
  <c r="D25" i="40"/>
  <c r="D23" i="40"/>
  <c r="D22" i="40"/>
  <c r="D21" i="40"/>
  <c r="D20" i="40"/>
  <c r="D19" i="40"/>
  <c r="D32" i="40"/>
  <c r="F15" i="40"/>
  <c r="F14" i="40"/>
  <c r="D27" i="40" s="1"/>
  <c r="F13" i="40"/>
  <c r="F12" i="40"/>
  <c r="N10" i="40"/>
  <c r="F10" i="40"/>
  <c r="N9" i="40"/>
  <c r="F9" i="40"/>
  <c r="D31" i="40" s="1"/>
  <c r="N8" i="40"/>
  <c r="F8" i="40"/>
  <c r="D30" i="40" s="1"/>
  <c r="F6" i="40"/>
  <c r="N5" i="40"/>
  <c r="F5" i="40"/>
  <c r="N4" i="40"/>
  <c r="F4" i="40"/>
  <c r="N3" i="40"/>
  <c r="F3" i="40"/>
  <c r="N2" i="40"/>
  <c r="F2" i="40"/>
  <c r="D23" i="38"/>
  <c r="D22" i="38"/>
  <c r="D21" i="38"/>
  <c r="D20" i="38"/>
  <c r="D19" i="38"/>
  <c r="F15" i="38"/>
  <c r="D28" i="38" s="1"/>
  <c r="F14" i="38"/>
  <c r="D27" i="38" s="1"/>
  <c r="F13" i="38"/>
  <c r="D26" i="38" s="1"/>
  <c r="F12" i="38"/>
  <c r="D25" i="38" s="1"/>
  <c r="N10" i="38"/>
  <c r="F10" i="38"/>
  <c r="D32" i="38" s="1"/>
  <c r="N9" i="38"/>
  <c r="F9" i="38"/>
  <c r="D31" i="38" s="1"/>
  <c r="N8" i="38"/>
  <c r="F8" i="38"/>
  <c r="D30" i="38" s="1"/>
  <c r="F6" i="38"/>
  <c r="N5" i="38"/>
  <c r="F5" i="38"/>
  <c r="N4" i="38"/>
  <c r="F4" i="38"/>
  <c r="N3" i="38"/>
  <c r="F3" i="38"/>
  <c r="N2" i="38"/>
  <c r="F2" i="38"/>
</calcChain>
</file>

<file path=xl/sharedStrings.xml><?xml version="1.0" encoding="utf-8"?>
<sst xmlns="http://schemas.openxmlformats.org/spreadsheetml/2006/main" count="136" uniqueCount="14">
  <si>
    <t>GSS</t>
  </si>
  <si>
    <t>24G</t>
  </si>
  <si>
    <t>22G</t>
  </si>
  <si>
    <t>20G</t>
  </si>
  <si>
    <t>18G</t>
  </si>
  <si>
    <t>AL.</t>
  </si>
  <si>
    <t>Date</t>
  </si>
  <si>
    <t>Freight</t>
  </si>
  <si>
    <t>Gauge</t>
  </si>
  <si>
    <t>Average</t>
  </si>
  <si>
    <t>Total</t>
  </si>
  <si>
    <t>Gsm</t>
  </si>
  <si>
    <t>Slit</t>
  </si>
  <si>
    <t>26G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</si>
</sst>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3" tint="0.399975585192419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EE8AC-19C9-42E5-AB76-C7DB62370810}">
  <dimension ref="A1:N32"/>
  <sheetViews>
    <sheetView workbookViewId="0">
      <selection activeCell="I26" sqref="I26"/>
    </sheetView>
  </sheetViews>
  <sheetFormatPr defaultRowHeight="15" x14ac:dyDescent="0.25"/>
  <cols>
    <col min="1" max="1" width="8.28515625" bestFit="1" customWidth="1"/>
    <col min="2" max="2" width="6.7109375" bestFit="1" customWidth="1"/>
    <col min="3" max="3" width="6.7109375" customWidth="1"/>
    <col min="4" max="4" width="10.28515625" bestFit="1" customWidth="1"/>
    <col min="12" max="12" width="9.85546875" bestFit="1" customWidth="1"/>
  </cols>
  <sheetData>
    <row r="1" spans="1:14" x14ac:dyDescent="0.25">
      <c r="A1" s="3" t="s">
        <v>6</v>
      </c>
      <c r="B1" s="3" t="s">
        <v>8</v>
      </c>
      <c r="C1" s="3" t="s">
        <v>11</v>
      </c>
      <c r="D1" s="4">
        <v>46032</v>
      </c>
      <c r="E1" s="3" t="s">
        <v>7</v>
      </c>
      <c r="F1" s="3" t="s">
        <v>10</v>
      </c>
      <c r="G1" s="1"/>
      <c r="I1" s="3" t="s">
        <v>6</v>
      </c>
      <c r="J1" s="3" t="s">
        <v>8</v>
      </c>
      <c r="K1" s="3" t="s">
        <v>11</v>
      </c>
      <c r="L1" s="4">
        <v>45954</v>
      </c>
      <c r="M1" s="3" t="s">
        <v>7</v>
      </c>
      <c r="N1" s="3" t="s">
        <v>10</v>
      </c>
    </row>
    <row r="2" spans="1:14" x14ac:dyDescent="0.25">
      <c r="A2" s="5" t="s">
        <v>0</v>
      </c>
      <c r="B2" s="2" t="s">
        <v>13</v>
      </c>
      <c r="C2" s="2">
        <v>120</v>
      </c>
      <c r="D2" s="2">
        <v>82600</v>
      </c>
      <c r="E2" s="2">
        <v>700</v>
      </c>
      <c r="F2" s="2">
        <f>D2+E2</f>
        <v>83300</v>
      </c>
      <c r="G2" s="1"/>
      <c r="I2" s="5" t="s">
        <v>0</v>
      </c>
      <c r="J2" s="2" t="s">
        <v>1</v>
      </c>
      <c r="K2" s="2">
        <v>180</v>
      </c>
      <c r="L2" s="2">
        <v>73500</v>
      </c>
      <c r="M2" s="2">
        <v>1100</v>
      </c>
      <c r="N2" s="2">
        <f>L2+M2</f>
        <v>74600</v>
      </c>
    </row>
    <row r="3" spans="1:14" x14ac:dyDescent="0.25">
      <c r="B3" s="2" t="s">
        <v>1</v>
      </c>
      <c r="C3" s="2">
        <v>120</v>
      </c>
      <c r="D3" s="2">
        <v>80550</v>
      </c>
      <c r="E3" s="2">
        <v>700</v>
      </c>
      <c r="F3" s="2">
        <f>D3+E3</f>
        <v>81250</v>
      </c>
      <c r="G3" s="2"/>
      <c r="H3" s="2"/>
      <c r="J3" s="2" t="s">
        <v>2</v>
      </c>
      <c r="K3" s="2">
        <v>180</v>
      </c>
      <c r="L3" s="2">
        <v>71500</v>
      </c>
      <c r="M3" s="2">
        <v>1100</v>
      </c>
      <c r="N3" s="2">
        <f>L3+M3</f>
        <v>72600</v>
      </c>
    </row>
    <row r="4" spans="1:14" x14ac:dyDescent="0.25">
      <c r="A4" s="5"/>
      <c r="B4" s="2" t="s">
        <v>2</v>
      </c>
      <c r="C4" s="2">
        <v>120</v>
      </c>
      <c r="D4" s="2">
        <v>78500</v>
      </c>
      <c r="E4" s="2">
        <v>700</v>
      </c>
      <c r="F4" s="2">
        <f>D4+E4</f>
        <v>79200</v>
      </c>
      <c r="G4" s="2"/>
      <c r="H4" s="2"/>
      <c r="I4" s="5"/>
      <c r="J4" s="2" t="s">
        <v>3</v>
      </c>
      <c r="K4" s="2">
        <v>180</v>
      </c>
      <c r="L4" s="2">
        <v>71500</v>
      </c>
      <c r="M4" s="2">
        <v>1100</v>
      </c>
      <c r="N4" s="2">
        <f>L4+M4</f>
        <v>72600</v>
      </c>
    </row>
    <row r="5" spans="1:14" x14ac:dyDescent="0.25">
      <c r="A5" s="5"/>
      <c r="B5" s="2" t="s">
        <v>3</v>
      </c>
      <c r="C5" s="2">
        <v>120</v>
      </c>
      <c r="D5" s="2">
        <v>78500</v>
      </c>
      <c r="E5" s="2">
        <v>700</v>
      </c>
      <c r="F5" s="2">
        <f>D5+E5</f>
        <v>79200</v>
      </c>
      <c r="G5" s="2"/>
      <c r="H5" s="2"/>
      <c r="I5" s="5"/>
      <c r="J5" s="2" t="s">
        <v>4</v>
      </c>
      <c r="K5" s="2">
        <v>180</v>
      </c>
      <c r="L5" s="2">
        <v>71500</v>
      </c>
      <c r="M5" s="2">
        <v>1100</v>
      </c>
      <c r="N5" s="2">
        <f>L5+M5</f>
        <v>72600</v>
      </c>
    </row>
    <row r="6" spans="1:14" x14ac:dyDescent="0.25">
      <c r="A6" s="5"/>
      <c r="B6" s="2" t="s">
        <v>4</v>
      </c>
      <c r="C6" s="2">
        <v>120</v>
      </c>
      <c r="D6" s="2">
        <v>78500</v>
      </c>
      <c r="E6" s="2">
        <v>700</v>
      </c>
      <c r="F6" s="2">
        <f>D6+E6</f>
        <v>79200</v>
      </c>
      <c r="G6" s="2"/>
      <c r="H6" s="2"/>
      <c r="I6" s="5"/>
      <c r="J6" s="2"/>
      <c r="K6" s="2"/>
      <c r="L6" s="2"/>
      <c r="M6" s="2"/>
      <c r="N6" s="2"/>
    </row>
    <row r="7" spans="1:14" x14ac:dyDescent="0.25">
      <c r="A7" s="5"/>
      <c r="B7" s="2"/>
      <c r="C7" s="2"/>
      <c r="D7" s="2"/>
      <c r="E7" s="2"/>
      <c r="F7" s="2"/>
      <c r="G7" s="2"/>
      <c r="H7" s="2"/>
      <c r="I7" s="5"/>
      <c r="J7" s="2"/>
      <c r="K7" s="2"/>
      <c r="L7" s="2"/>
      <c r="M7" s="2"/>
      <c r="N7" s="2"/>
    </row>
    <row r="8" spans="1:14" x14ac:dyDescent="0.25">
      <c r="A8" s="5" t="s">
        <v>5</v>
      </c>
      <c r="B8" s="2" t="s">
        <v>2</v>
      </c>
      <c r="C8" s="2"/>
      <c r="D8" s="2">
        <v>370000</v>
      </c>
      <c r="E8" s="2">
        <v>1838</v>
      </c>
      <c r="F8" s="2">
        <f>D8+E8</f>
        <v>371838</v>
      </c>
      <c r="G8" s="2"/>
      <c r="H8" s="2"/>
      <c r="I8" s="5" t="s">
        <v>12</v>
      </c>
      <c r="J8" s="2" t="s">
        <v>1</v>
      </c>
      <c r="K8" s="2">
        <v>180</v>
      </c>
      <c r="L8" s="2">
        <v>75500</v>
      </c>
      <c r="M8" s="2">
        <v>710</v>
      </c>
      <c r="N8" s="2">
        <f>L8+M8</f>
        <v>76210</v>
      </c>
    </row>
    <row r="9" spans="1:14" x14ac:dyDescent="0.25">
      <c r="A9" s="5"/>
      <c r="B9" s="2" t="s">
        <v>3</v>
      </c>
      <c r="C9" s="2"/>
      <c r="D9" s="2">
        <v>345000</v>
      </c>
      <c r="E9" s="2">
        <v>600</v>
      </c>
      <c r="F9" s="2">
        <f>D9+E9</f>
        <v>345600</v>
      </c>
      <c r="G9" s="2"/>
      <c r="H9" s="2"/>
      <c r="I9" s="5"/>
      <c r="J9" s="2" t="s">
        <v>2</v>
      </c>
      <c r="K9" s="2">
        <v>180</v>
      </c>
      <c r="L9" s="2">
        <v>73500</v>
      </c>
      <c r="M9" s="2">
        <v>710</v>
      </c>
      <c r="N9" s="2">
        <f>L9+M9</f>
        <v>74210</v>
      </c>
    </row>
    <row r="10" spans="1:14" x14ac:dyDescent="0.25">
      <c r="A10" s="5"/>
      <c r="B10" s="2" t="s">
        <v>4</v>
      </c>
      <c r="C10" s="2"/>
      <c r="D10" s="2">
        <v>310000</v>
      </c>
      <c r="E10" s="2">
        <v>1500</v>
      </c>
      <c r="F10" s="2">
        <f t="shared" ref="F10" si="0">D10+E10</f>
        <v>311500</v>
      </c>
      <c r="G10" s="2"/>
      <c r="H10" s="2"/>
      <c r="I10" s="5"/>
      <c r="J10" s="2" t="s">
        <v>3</v>
      </c>
      <c r="K10" s="2">
        <v>180</v>
      </c>
      <c r="L10" s="2">
        <v>73550</v>
      </c>
      <c r="M10" s="2">
        <v>710</v>
      </c>
      <c r="N10" s="2">
        <f>L10+M10</f>
        <v>74260</v>
      </c>
    </row>
    <row r="11" spans="1:14" x14ac:dyDescent="0.25">
      <c r="A11" s="5"/>
      <c r="B11" s="2"/>
      <c r="C11" s="2"/>
      <c r="D11" s="2"/>
      <c r="E11" s="2"/>
      <c r="F11" s="2"/>
      <c r="G11" s="2"/>
      <c r="H11" s="2"/>
      <c r="I11" s="5"/>
    </row>
    <row r="12" spans="1:14" x14ac:dyDescent="0.25">
      <c r="A12" s="5" t="s">
        <v>12</v>
      </c>
      <c r="B12" s="2" t="s">
        <v>13</v>
      </c>
      <c r="C12" s="2">
        <v>120</v>
      </c>
      <c r="D12" s="2">
        <v>83000</v>
      </c>
      <c r="E12" s="2">
        <v>600</v>
      </c>
      <c r="F12" s="2">
        <f>D12+E12</f>
        <v>83600</v>
      </c>
      <c r="G12" s="2"/>
      <c r="H12" s="2"/>
    </row>
    <row r="13" spans="1:14" x14ac:dyDescent="0.25">
      <c r="A13" s="5"/>
      <c r="B13" s="2" t="s">
        <v>1</v>
      </c>
      <c r="C13" s="2">
        <v>120</v>
      </c>
      <c r="D13" s="2">
        <v>79000</v>
      </c>
      <c r="E13" s="2">
        <v>600</v>
      </c>
      <c r="F13" s="2">
        <f>D13+E13</f>
        <v>79600</v>
      </c>
      <c r="G13" s="2"/>
      <c r="H13" s="2"/>
    </row>
    <row r="14" spans="1:14" x14ac:dyDescent="0.25">
      <c r="A14" s="5"/>
      <c r="B14" s="2" t="s">
        <v>2</v>
      </c>
      <c r="C14" s="2">
        <v>120</v>
      </c>
      <c r="D14" s="2">
        <v>78000</v>
      </c>
      <c r="E14" s="2">
        <v>600</v>
      </c>
      <c r="F14" s="2">
        <f>D14+E14</f>
        <v>78600</v>
      </c>
      <c r="G14" s="2"/>
      <c r="H14" s="2"/>
    </row>
    <row r="15" spans="1:14" x14ac:dyDescent="0.25">
      <c r="A15" s="5"/>
      <c r="B15" s="2" t="s">
        <v>3</v>
      </c>
      <c r="C15" s="2">
        <v>120</v>
      </c>
      <c r="D15" s="2">
        <v>78000</v>
      </c>
      <c r="E15" s="2">
        <v>600</v>
      </c>
      <c r="F15" s="2">
        <f>D15+E15</f>
        <v>78600</v>
      </c>
      <c r="G15" s="2"/>
      <c r="H15" s="2"/>
      <c r="I15" s="2"/>
      <c r="J15" s="2"/>
      <c r="K15" s="2"/>
    </row>
    <row r="16" spans="1:14" x14ac:dyDescent="0.25">
      <c r="A16" s="5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8" x14ac:dyDescent="0.25">
      <c r="A17" s="1"/>
      <c r="B17" s="2"/>
      <c r="C17" s="2"/>
      <c r="D17" s="2"/>
      <c r="E17" s="2"/>
      <c r="F17" s="2"/>
      <c r="G17" s="2"/>
      <c r="H17" s="2"/>
    </row>
    <row r="18" spans="1:8" x14ac:dyDescent="0.25">
      <c r="A18" s="4" t="s">
        <v>9</v>
      </c>
      <c r="B18" s="4"/>
      <c r="C18" s="4"/>
      <c r="D18" s="2"/>
      <c r="E18" s="2"/>
      <c r="F18" s="2"/>
      <c r="G18" s="2"/>
      <c r="H18" s="7"/>
    </row>
    <row r="19" spans="1:8" x14ac:dyDescent="0.25">
      <c r="A19" s="5" t="s">
        <v>0</v>
      </c>
      <c r="B19" s="2" t="s">
        <v>13</v>
      </c>
      <c r="C19" s="4"/>
      <c r="D19" s="8" t="e">
        <f>(F2+#REF!)/2</f>
        <v>#REF!</v>
      </c>
      <c r="E19" s="2"/>
      <c r="F19" s="2"/>
      <c r="G19" s="2"/>
      <c r="H19" s="5"/>
    </row>
    <row r="20" spans="1:8" x14ac:dyDescent="0.25">
      <c r="B20" s="2" t="s">
        <v>1</v>
      </c>
      <c r="C20" s="2"/>
      <c r="D20" s="8" t="e">
        <f>(F3+#REF!)/2</f>
        <v>#REF!</v>
      </c>
      <c r="E20" s="2"/>
      <c r="F20" s="2"/>
      <c r="G20" s="5"/>
      <c r="H20" s="2"/>
    </row>
    <row r="21" spans="1:8" x14ac:dyDescent="0.25">
      <c r="A21" s="5"/>
      <c r="B21" s="2" t="s">
        <v>2</v>
      </c>
      <c r="C21" s="2"/>
      <c r="D21" s="8" t="e">
        <f>(F4+#REF!)/2</f>
        <v>#REF!</v>
      </c>
      <c r="E21" s="2"/>
      <c r="F21" s="2"/>
      <c r="G21" s="5"/>
      <c r="H21" s="2"/>
    </row>
    <row r="22" spans="1:8" x14ac:dyDescent="0.25">
      <c r="A22" s="5"/>
      <c r="B22" s="2" t="s">
        <v>3</v>
      </c>
      <c r="C22" s="2"/>
      <c r="D22" s="8">
        <f>F5</f>
        <v>79200</v>
      </c>
      <c r="E22" s="2"/>
      <c r="F22" s="2"/>
      <c r="G22" s="5"/>
      <c r="H22" s="2"/>
    </row>
    <row r="23" spans="1:8" x14ac:dyDescent="0.25">
      <c r="A23" s="5"/>
      <c r="B23" s="2" t="s">
        <v>4</v>
      </c>
      <c r="C23" s="2"/>
      <c r="D23" s="8" t="e">
        <f>(F6+#REF!)/2</f>
        <v>#REF!</v>
      </c>
      <c r="E23" s="2"/>
      <c r="F23" s="2"/>
      <c r="G23" s="5"/>
      <c r="H23" s="2"/>
    </row>
    <row r="24" spans="1:8" x14ac:dyDescent="0.25">
      <c r="A24" s="5"/>
      <c r="B24" s="2"/>
      <c r="C24" s="2"/>
      <c r="D24" s="8"/>
      <c r="E24" s="2"/>
      <c r="F24" s="2"/>
      <c r="G24" s="2"/>
      <c r="H24" s="2"/>
    </row>
    <row r="25" spans="1:8" x14ac:dyDescent="0.25">
      <c r="A25" s="5" t="s">
        <v>12</v>
      </c>
      <c r="B25" s="2" t="s">
        <v>13</v>
      </c>
      <c r="C25" s="2"/>
      <c r="D25" s="8" t="e">
        <f>(F12+#REF!)/2</f>
        <v>#REF!</v>
      </c>
      <c r="E25" s="2"/>
      <c r="F25" s="2"/>
      <c r="G25" s="2"/>
      <c r="H25" s="2"/>
    </row>
    <row r="26" spans="1:8" x14ac:dyDescent="0.25">
      <c r="A26" s="5"/>
      <c r="B26" s="2" t="s">
        <v>1</v>
      </c>
      <c r="C26" s="2"/>
      <c r="D26" s="8" t="e">
        <f>(F13+#REF!)/2</f>
        <v>#REF!</v>
      </c>
      <c r="E26" s="2"/>
      <c r="F26" s="2"/>
      <c r="G26" s="2"/>
      <c r="H26" s="2"/>
    </row>
    <row r="27" spans="1:8" x14ac:dyDescent="0.25">
      <c r="A27" s="5"/>
      <c r="B27" s="2" t="s">
        <v>2</v>
      </c>
      <c r="C27" s="2"/>
      <c r="D27" s="8" t="e">
        <f>(F14+#REF!)/2</f>
        <v>#REF!</v>
      </c>
      <c r="E27" s="2"/>
      <c r="F27" s="2"/>
      <c r="G27" s="2"/>
      <c r="H27" s="2"/>
    </row>
    <row r="28" spans="1:8" x14ac:dyDescent="0.25">
      <c r="A28" s="5"/>
      <c r="B28" s="2" t="s">
        <v>3</v>
      </c>
      <c r="C28" s="2"/>
      <c r="D28" s="8" t="e">
        <f>(F15+#REF!)/2</f>
        <v>#REF!</v>
      </c>
      <c r="E28" s="2"/>
      <c r="F28" s="2"/>
      <c r="G28" s="2"/>
      <c r="H28" s="2"/>
    </row>
    <row r="29" spans="1:8" x14ac:dyDescent="0.25">
      <c r="A29" s="5"/>
      <c r="B29" s="2"/>
      <c r="C29" s="2"/>
      <c r="D29" s="9"/>
      <c r="E29" s="2"/>
      <c r="F29" s="2"/>
      <c r="G29" s="2"/>
      <c r="H29" s="2"/>
    </row>
    <row r="30" spans="1:8" x14ac:dyDescent="0.25">
      <c r="A30" s="5" t="s">
        <v>5</v>
      </c>
      <c r="B30" s="2" t="s">
        <v>2</v>
      </c>
      <c r="C30" s="2"/>
      <c r="D30" s="8">
        <f>F8</f>
        <v>371838</v>
      </c>
      <c r="E30" s="2"/>
      <c r="F30" s="6"/>
      <c r="G30" s="2"/>
      <c r="H30" s="2"/>
    </row>
    <row r="31" spans="1:8" x14ac:dyDescent="0.25">
      <c r="A31" s="5"/>
      <c r="B31" s="2" t="s">
        <v>3</v>
      </c>
      <c r="C31" s="2"/>
      <c r="D31" s="8">
        <f>F9</f>
        <v>345600</v>
      </c>
      <c r="E31" s="2"/>
      <c r="F31" s="6"/>
      <c r="G31" s="2"/>
      <c r="H31" s="2"/>
    </row>
    <row r="32" spans="1:8" x14ac:dyDescent="0.25">
      <c r="A32" s="2"/>
      <c r="B32" s="2" t="s">
        <v>4</v>
      </c>
      <c r="C32" s="2"/>
      <c r="D32" s="8">
        <f>F10</f>
        <v>311500</v>
      </c>
      <c r="E32" s="2"/>
      <c r="F32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A1C6-2C14-4193-B818-B402BC7B4112}">
  <dimension ref="A1:N32"/>
  <sheetViews>
    <sheetView workbookViewId="0">
      <selection activeCell="F15" sqref="F15"/>
    </sheetView>
  </sheetViews>
  <sheetFormatPr defaultRowHeight="15" x14ac:dyDescent="0.25"/>
  <cols>
    <col min="1" max="1" width="8.28515625" bestFit="1" customWidth="1"/>
    <col min="2" max="2" width="6.7109375" bestFit="1" customWidth="1"/>
    <col min="3" max="3" width="6.7109375" customWidth="1"/>
    <col min="4" max="4" width="10.28515625" bestFit="1" customWidth="1"/>
    <col min="12" max="12" width="9.85546875" bestFit="1" customWidth="1"/>
  </cols>
  <sheetData>
    <row r="1" spans="1:14" x14ac:dyDescent="0.25">
      <c r="A1" s="3" t="s">
        <v>6</v>
      </c>
      <c r="B1" s="3" t="s">
        <v>8</v>
      </c>
      <c r="C1" s="3" t="s">
        <v>11</v>
      </c>
      <c r="D1" s="4">
        <v>46032</v>
      </c>
      <c r="E1" s="3" t="s">
        <v>7</v>
      </c>
      <c r="F1" s="3" t="s">
        <v>10</v>
      </c>
      <c r="G1" s="1"/>
      <c r="I1" s="3" t="s">
        <v>6</v>
      </c>
      <c r="J1" s="3" t="s">
        <v>8</v>
      </c>
      <c r="K1" s="3" t="s">
        <v>11</v>
      </c>
      <c r="L1" s="4">
        <v>45954</v>
      </c>
      <c r="M1" s="3" t="s">
        <v>7</v>
      </c>
      <c r="N1" s="3" t="s">
        <v>10</v>
      </c>
    </row>
    <row r="2" spans="1:14" x14ac:dyDescent="0.25">
      <c r="A2" s="5" t="s">
        <v>0</v>
      </c>
      <c r="B2" s="2" t="s">
        <v>13</v>
      </c>
      <c r="C2" s="2">
        <v>120</v>
      </c>
      <c r="D2" s="2">
        <v>88000</v>
      </c>
      <c r="E2" s="2">
        <v>600</v>
      </c>
      <c r="F2" s="2">
        <f>D2+E2</f>
        <v>88600</v>
      </c>
      <c r="G2" s="1"/>
      <c r="I2" s="5" t="s">
        <v>0</v>
      </c>
      <c r="J2" s="2" t="s">
        <v>1</v>
      </c>
      <c r="K2" s="2">
        <v>180</v>
      </c>
      <c r="L2" s="2">
        <v>73500</v>
      </c>
      <c r="M2" s="2">
        <v>1100</v>
      </c>
      <c r="N2" s="2">
        <f>L2+M2</f>
        <v>74600</v>
      </c>
    </row>
    <row r="3" spans="1:14" x14ac:dyDescent="0.25">
      <c r="B3" s="2" t="s">
        <v>1</v>
      </c>
      <c r="C3" s="2">
        <v>120</v>
      </c>
      <c r="D3" s="2">
        <v>87000</v>
      </c>
      <c r="E3" s="2">
        <v>600</v>
      </c>
      <c r="F3" s="2">
        <f>D3+E3</f>
        <v>87600</v>
      </c>
      <c r="G3" s="2"/>
      <c r="H3" s="2"/>
      <c r="J3" s="2" t="s">
        <v>2</v>
      </c>
      <c r="K3" s="2">
        <v>180</v>
      </c>
      <c r="L3" s="2">
        <v>71500</v>
      </c>
      <c r="M3" s="2">
        <v>1100</v>
      </c>
      <c r="N3" s="2">
        <f>L3+M3</f>
        <v>72600</v>
      </c>
    </row>
    <row r="4" spans="1:14" x14ac:dyDescent="0.25">
      <c r="A4" s="5"/>
      <c r="B4" s="2" t="s">
        <v>2</v>
      </c>
      <c r="C4" s="2">
        <v>120</v>
      </c>
      <c r="D4" s="2">
        <v>85000</v>
      </c>
      <c r="E4" s="2">
        <v>600</v>
      </c>
      <c r="F4" s="2">
        <f>D4+E4</f>
        <v>85600</v>
      </c>
      <c r="G4" s="2"/>
      <c r="H4" s="2"/>
      <c r="I4" s="5"/>
      <c r="J4" s="2" t="s">
        <v>3</v>
      </c>
      <c r="K4" s="2">
        <v>180</v>
      </c>
      <c r="L4" s="2">
        <v>71500</v>
      </c>
      <c r="M4" s="2">
        <v>1100</v>
      </c>
      <c r="N4" s="2">
        <f>L4+M4</f>
        <v>72600</v>
      </c>
    </row>
    <row r="5" spans="1:14" x14ac:dyDescent="0.25">
      <c r="A5" s="5"/>
      <c r="B5" s="2" t="s">
        <v>3</v>
      </c>
      <c r="C5" s="2">
        <v>120</v>
      </c>
      <c r="D5" s="2">
        <v>85000</v>
      </c>
      <c r="E5" s="2">
        <v>600</v>
      </c>
      <c r="F5" s="2">
        <f>D5+E5</f>
        <v>85600</v>
      </c>
      <c r="G5" s="2"/>
      <c r="H5" s="2"/>
      <c r="I5" s="5"/>
      <c r="J5" s="2" t="s">
        <v>4</v>
      </c>
      <c r="K5" s="2">
        <v>180</v>
      </c>
      <c r="L5" s="2">
        <v>71500</v>
      </c>
      <c r="M5" s="2">
        <v>1100</v>
      </c>
      <c r="N5" s="2">
        <f>L5+M5</f>
        <v>72600</v>
      </c>
    </row>
    <row r="6" spans="1:14" x14ac:dyDescent="0.25">
      <c r="A6" s="5"/>
      <c r="B6" s="2" t="s">
        <v>4</v>
      </c>
      <c r="C6" s="2">
        <v>120</v>
      </c>
      <c r="D6" s="2">
        <v>85000</v>
      </c>
      <c r="E6" s="2">
        <v>600</v>
      </c>
      <c r="F6" s="2">
        <f>D6+E6</f>
        <v>85600</v>
      </c>
      <c r="G6" s="2"/>
      <c r="H6" s="2"/>
      <c r="I6" s="5"/>
      <c r="J6" s="2"/>
      <c r="K6" s="2"/>
      <c r="L6" s="2"/>
      <c r="M6" s="2"/>
      <c r="N6" s="2"/>
    </row>
    <row r="7" spans="1:14" x14ac:dyDescent="0.25">
      <c r="A7" s="5"/>
      <c r="B7" s="2"/>
      <c r="C7" s="2"/>
      <c r="D7" s="2"/>
      <c r="E7" s="2"/>
      <c r="F7" s="2"/>
      <c r="G7" s="2"/>
      <c r="H7" s="2"/>
      <c r="I7" s="5"/>
      <c r="J7" s="2"/>
      <c r="K7" s="2"/>
      <c r="L7" s="2"/>
      <c r="M7" s="2"/>
      <c r="N7" s="2"/>
    </row>
    <row r="8" spans="1:14" x14ac:dyDescent="0.25">
      <c r="A8" s="5" t="s">
        <v>5</v>
      </c>
      <c r="B8" s="2" t="s">
        <v>2</v>
      </c>
      <c r="C8" s="2"/>
      <c r="D8" s="2">
        <v>370000</v>
      </c>
      <c r="E8" s="2">
        <v>1838</v>
      </c>
      <c r="F8" s="2">
        <f>D8+E8</f>
        <v>371838</v>
      </c>
      <c r="G8" s="2"/>
      <c r="H8" s="2"/>
      <c r="I8" s="5" t="s">
        <v>12</v>
      </c>
      <c r="J8" s="2" t="s">
        <v>1</v>
      </c>
      <c r="K8" s="2">
        <v>180</v>
      </c>
      <c r="L8" s="2">
        <v>75500</v>
      </c>
      <c r="M8" s="2">
        <v>710</v>
      </c>
      <c r="N8" s="2">
        <f>L8+M8</f>
        <v>76210</v>
      </c>
    </row>
    <row r="9" spans="1:14" x14ac:dyDescent="0.25">
      <c r="A9" s="5"/>
      <c r="B9" s="2" t="s">
        <v>3</v>
      </c>
      <c r="C9" s="2"/>
      <c r="D9" s="2">
        <v>345000</v>
      </c>
      <c r="E9" s="2">
        <v>600</v>
      </c>
      <c r="F9" s="2">
        <f>D9+E9</f>
        <v>345600</v>
      </c>
      <c r="G9" s="2"/>
      <c r="H9" s="2"/>
      <c r="I9" s="5"/>
      <c r="J9" s="2" t="s">
        <v>2</v>
      </c>
      <c r="K9" s="2">
        <v>180</v>
      </c>
      <c r="L9" s="2">
        <v>73500</v>
      </c>
      <c r="M9" s="2">
        <v>710</v>
      </c>
      <c r="N9" s="2">
        <f>L9+M9</f>
        <v>74210</v>
      </c>
    </row>
    <row r="10" spans="1:14" x14ac:dyDescent="0.25">
      <c r="A10" s="5"/>
      <c r="B10" s="2" t="s">
        <v>4</v>
      </c>
      <c r="C10" s="2"/>
      <c r="D10" s="2">
        <v>310000</v>
      </c>
      <c r="E10" s="2">
        <v>1500</v>
      </c>
      <c r="F10" s="2">
        <f t="shared" ref="F10" si="0">D10+E10</f>
        <v>311500</v>
      </c>
      <c r="G10" s="2"/>
      <c r="H10" s="2"/>
      <c r="I10" s="5"/>
      <c r="J10" s="2" t="s">
        <v>3</v>
      </c>
      <c r="K10" s="2">
        <v>180</v>
      </c>
      <c r="L10" s="2">
        <v>73550</v>
      </c>
      <c r="M10" s="2">
        <v>710</v>
      </c>
      <c r="N10" s="2">
        <f>L10+M10</f>
        <v>74260</v>
      </c>
    </row>
    <row r="11" spans="1:14" x14ac:dyDescent="0.25">
      <c r="A11" s="5"/>
      <c r="B11" s="2"/>
      <c r="C11" s="2"/>
      <c r="D11" s="2"/>
      <c r="E11" s="2"/>
      <c r="F11" s="2"/>
      <c r="G11" s="2"/>
      <c r="H11" s="2"/>
      <c r="I11" s="5"/>
    </row>
    <row r="12" spans="1:14" x14ac:dyDescent="0.25">
      <c r="A12" s="5" t="s">
        <v>12</v>
      </c>
      <c r="B12" s="2" t="s">
        <v>13</v>
      </c>
      <c r="C12" s="2">
        <v>120</v>
      </c>
      <c r="D12" s="2">
        <v>83000</v>
      </c>
      <c r="E12" s="2">
        <v>600</v>
      </c>
      <c r="F12" s="2">
        <f>D12+E12</f>
        <v>83600</v>
      </c>
      <c r="G12" s="2"/>
      <c r="H12" s="2"/>
    </row>
    <row r="13" spans="1:14" x14ac:dyDescent="0.25">
      <c r="A13" s="5"/>
      <c r="B13" s="2" t="s">
        <v>1</v>
      </c>
      <c r="C13" s="2">
        <v>120</v>
      </c>
      <c r="D13" s="2">
        <v>88000</v>
      </c>
      <c r="E13" s="2">
        <v>600</v>
      </c>
      <c r="F13" s="2">
        <f>D13+E13</f>
        <v>88600</v>
      </c>
      <c r="G13" s="2"/>
      <c r="H13" s="2"/>
    </row>
    <row r="14" spans="1:14" x14ac:dyDescent="0.25">
      <c r="A14" s="5"/>
      <c r="B14" s="2" t="s">
        <v>2</v>
      </c>
      <c r="C14" s="2">
        <v>120</v>
      </c>
      <c r="D14" s="2">
        <v>86000</v>
      </c>
      <c r="E14" s="2">
        <v>600</v>
      </c>
      <c r="F14" s="2">
        <f>D14+E14</f>
        <v>86600</v>
      </c>
      <c r="G14" s="2"/>
      <c r="H14" s="2"/>
    </row>
    <row r="15" spans="1:14" x14ac:dyDescent="0.25">
      <c r="A15" s="5"/>
      <c r="B15" s="2" t="s">
        <v>3</v>
      </c>
      <c r="C15" s="2">
        <v>120</v>
      </c>
      <c r="D15" s="2">
        <v>86000</v>
      </c>
      <c r="E15" s="2">
        <v>600</v>
      </c>
      <c r="F15" s="2">
        <f>D15+E15</f>
        <v>86600</v>
      </c>
      <c r="G15" s="2"/>
      <c r="H15" s="2"/>
      <c r="I15" s="2"/>
      <c r="J15" s="2"/>
      <c r="K15" s="2"/>
    </row>
    <row r="16" spans="1:14" x14ac:dyDescent="0.25">
      <c r="A16" s="5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8" x14ac:dyDescent="0.25">
      <c r="A17" s="1"/>
      <c r="B17" s="2"/>
      <c r="C17" s="2"/>
      <c r="D17" s="2"/>
      <c r="E17" s="2"/>
      <c r="F17" s="2"/>
      <c r="G17" s="2"/>
      <c r="H17" s="2"/>
    </row>
    <row r="18" spans="1:8" x14ac:dyDescent="0.25">
      <c r="A18" s="4" t="s">
        <v>9</v>
      </c>
      <c r="B18" s="4"/>
      <c r="C18" s="4"/>
      <c r="D18" s="2"/>
      <c r="E18" s="2"/>
      <c r="F18" s="2"/>
      <c r="G18" s="2"/>
      <c r="H18" s="7"/>
    </row>
    <row r="19" spans="1:8" x14ac:dyDescent="0.25">
      <c r="A19" s="5" t="s">
        <v>0</v>
      </c>
      <c r="B19" s="2" t="s">
        <v>13</v>
      </c>
      <c r="C19" s="4"/>
      <c r="D19" s="8">
        <f>('Mar 2026'!F2+F2)/2</f>
        <v>85950</v>
      </c>
      <c r="E19" s="2"/>
      <c r="F19" s="2"/>
      <c r="G19" s="2"/>
      <c r="H19" s="5"/>
    </row>
    <row r="20" spans="1:8" x14ac:dyDescent="0.25">
      <c r="B20" s="2" t="s">
        <v>1</v>
      </c>
      <c r="C20" s="2"/>
      <c r="D20" s="8">
        <f>F3</f>
        <v>87600</v>
      </c>
      <c r="E20" s="2"/>
      <c r="F20" s="2"/>
      <c r="G20" s="5"/>
      <c r="H20" s="2"/>
    </row>
    <row r="21" spans="1:8" x14ac:dyDescent="0.25">
      <c r="A21" s="5"/>
      <c r="B21" s="2" t="s">
        <v>2</v>
      </c>
      <c r="C21" s="2"/>
      <c r="D21" s="8">
        <f>F4</f>
        <v>85600</v>
      </c>
      <c r="E21" s="2"/>
      <c r="F21" s="2"/>
      <c r="G21" s="5"/>
      <c r="H21" s="2"/>
    </row>
    <row r="22" spans="1:8" x14ac:dyDescent="0.25">
      <c r="A22" s="5"/>
      <c r="B22" s="2" t="s">
        <v>3</v>
      </c>
      <c r="C22" s="2"/>
      <c r="D22" s="8">
        <f>F5</f>
        <v>85600</v>
      </c>
      <c r="E22" s="2"/>
      <c r="F22" s="2"/>
      <c r="G22" s="5"/>
      <c r="H22" s="2"/>
    </row>
    <row r="23" spans="1:8" x14ac:dyDescent="0.25">
      <c r="A23" s="5"/>
      <c r="B23" s="2" t="s">
        <v>4</v>
      </c>
      <c r="C23" s="2"/>
      <c r="D23" s="8">
        <f>('Mar 2026'!F6+'Apr 2026'!F6)/2</f>
        <v>82400</v>
      </c>
      <c r="E23" s="2"/>
      <c r="F23" s="2"/>
      <c r="G23" s="5"/>
      <c r="H23" s="2"/>
    </row>
    <row r="24" spans="1:8" x14ac:dyDescent="0.25">
      <c r="A24" s="5"/>
      <c r="B24" s="2"/>
      <c r="C24" s="2"/>
      <c r="D24" s="8"/>
      <c r="E24" s="2"/>
      <c r="F24" s="2"/>
      <c r="G24" s="2"/>
      <c r="H24" s="2"/>
    </row>
    <row r="25" spans="1:8" x14ac:dyDescent="0.25">
      <c r="A25" s="5" t="s">
        <v>12</v>
      </c>
      <c r="B25" s="2" t="s">
        <v>13</v>
      </c>
      <c r="C25" s="2"/>
      <c r="D25" s="8">
        <f>(F12+'Mar 2026'!F12)/2</f>
        <v>83600</v>
      </c>
      <c r="E25" s="2"/>
      <c r="F25" s="2"/>
      <c r="G25" s="2"/>
      <c r="H25" s="2"/>
    </row>
    <row r="26" spans="1:8" x14ac:dyDescent="0.25">
      <c r="A26" s="5"/>
      <c r="B26" s="2" t="s">
        <v>1</v>
      </c>
      <c r="C26" s="2"/>
      <c r="D26" s="8">
        <f>(F13+'Mar 2026'!F13)/2</f>
        <v>84100</v>
      </c>
      <c r="E26" s="2"/>
      <c r="F26" s="2"/>
      <c r="G26" s="2"/>
      <c r="H26" s="2"/>
    </row>
    <row r="27" spans="1:8" x14ac:dyDescent="0.25">
      <c r="A27" s="5"/>
      <c r="B27" s="2" t="s">
        <v>2</v>
      </c>
      <c r="C27" s="2"/>
      <c r="D27" s="8">
        <f>(F14+'Mar 2026'!F14)/2</f>
        <v>82600</v>
      </c>
      <c r="E27" s="2"/>
      <c r="F27" s="2"/>
      <c r="G27" s="2"/>
      <c r="H27" s="2"/>
    </row>
    <row r="28" spans="1:8" x14ac:dyDescent="0.25">
      <c r="A28" s="5"/>
      <c r="B28" s="2" t="s">
        <v>3</v>
      </c>
      <c r="C28" s="2"/>
      <c r="D28" s="8">
        <f>(F15+'Mar 2026'!F15)/2</f>
        <v>82600</v>
      </c>
      <c r="E28" s="2"/>
      <c r="F28" s="2"/>
      <c r="G28" s="2"/>
      <c r="H28" s="2"/>
    </row>
    <row r="29" spans="1:8" x14ac:dyDescent="0.25">
      <c r="A29" s="5"/>
      <c r="B29" s="2"/>
      <c r="C29" s="2"/>
      <c r="D29" s="9"/>
      <c r="E29" s="2"/>
      <c r="F29" s="2"/>
      <c r="G29" s="2"/>
      <c r="H29" s="2"/>
    </row>
    <row r="30" spans="1:8" x14ac:dyDescent="0.25">
      <c r="A30" s="5" t="s">
        <v>5</v>
      </c>
      <c r="B30" s="2" t="s">
        <v>2</v>
      </c>
      <c r="C30" s="2"/>
      <c r="D30" s="8">
        <f>F8</f>
        <v>371838</v>
      </c>
      <c r="E30" s="2"/>
      <c r="F30" s="6"/>
      <c r="G30" s="2"/>
      <c r="H30" s="2"/>
    </row>
    <row r="31" spans="1:8" x14ac:dyDescent="0.25">
      <c r="A31" s="5"/>
      <c r="B31" s="2" t="s">
        <v>3</v>
      </c>
      <c r="C31" s="2"/>
      <c r="D31" s="8">
        <f>F9</f>
        <v>345600</v>
      </c>
      <c r="E31" s="2"/>
      <c r="F31" s="6"/>
      <c r="G31" s="2"/>
      <c r="H31" s="2"/>
    </row>
    <row r="32" spans="1:8" x14ac:dyDescent="0.25">
      <c r="A32" s="2"/>
      <c r="B32" s="2" t="s">
        <v>4</v>
      </c>
      <c r="C32" s="2"/>
      <c r="D32" s="8">
        <f>F10</f>
        <v>311500</v>
      </c>
      <c r="E32" s="2"/>
      <c r="F32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0720E-0AD1-4128-93B1-6DC646922339}">
  <dimension ref="A1:H32"/>
  <sheetViews>
    <sheetView tabSelected="1" workbookViewId="0">
      <selection activeCell="E9" sqref="E9"/>
    </sheetView>
  </sheetViews>
  <sheetFormatPr defaultRowHeight="15" x14ac:dyDescent="0.25"/>
  <cols>
    <col min="1" max="1" width="8.28515625" bestFit="1" customWidth="1"/>
    <col min="2" max="2" width="6.7109375" bestFit="1" customWidth="1"/>
    <col min="3" max="3" width="6.7109375" customWidth="1"/>
    <col min="4" max="4" width="10.28515625" bestFit="1" customWidth="1"/>
  </cols>
  <sheetData>
    <row r="1" spans="1:8" x14ac:dyDescent="0.25">
      <c r="A1" s="3" t="s">
        <v>6</v>
      </c>
      <c r="B1" s="3" t="s">
        <v>8</v>
      </c>
      <c r="C1" s="3" t="s">
        <v>11</v>
      </c>
      <c r="D1" s="4">
        <v>46032</v>
      </c>
      <c r="E1" s="3" t="s">
        <v>7</v>
      </c>
      <c r="F1" s="3" t="s">
        <v>10</v>
      </c>
      <c r="G1" s="1"/>
    </row>
    <row r="2" spans="1:8" x14ac:dyDescent="0.25">
      <c r="A2" s="5" t="s">
        <v>0</v>
      </c>
      <c r="B2" s="2" t="s">
        <v>13</v>
      </c>
      <c r="C2" s="2">
        <v>120</v>
      </c>
      <c r="D2" s="2">
        <v>88000</v>
      </c>
      <c r="E2" s="2">
        <v>600</v>
      </c>
      <c r="F2" s="2">
        <f>D2+E2</f>
        <v>88600</v>
      </c>
      <c r="G2" s="1"/>
    </row>
    <row r="3" spans="1:8" x14ac:dyDescent="0.25">
      <c r="B3" s="2" t="s">
        <v>1</v>
      </c>
      <c r="C3" s="2">
        <v>120</v>
      </c>
      <c r="D3" s="2">
        <v>84000</v>
      </c>
      <c r="E3" s="2">
        <v>500</v>
      </c>
      <c r="F3" s="2">
        <f>D3+E3</f>
        <v>84500</v>
      </c>
      <c r="G3" s="2"/>
      <c r="H3" s="2"/>
    </row>
    <row r="4" spans="1:8" x14ac:dyDescent="0.25">
      <c r="A4" s="5"/>
      <c r="B4" s="2" t="s">
        <v>2</v>
      </c>
      <c r="C4" s="2">
        <v>120</v>
      </c>
      <c r="D4" s="2">
        <v>82000</v>
      </c>
      <c r="E4" s="2">
        <v>500</v>
      </c>
      <c r="F4" s="2">
        <f>D4+E4</f>
        <v>82500</v>
      </c>
      <c r="G4" s="2"/>
      <c r="H4" s="2"/>
    </row>
    <row r="5" spans="1:8" x14ac:dyDescent="0.25">
      <c r="A5" s="5"/>
      <c r="B5" s="2" t="s">
        <v>3</v>
      </c>
      <c r="C5" s="2">
        <v>120</v>
      </c>
      <c r="D5" s="2">
        <v>85000</v>
      </c>
      <c r="E5" s="2">
        <v>600</v>
      </c>
      <c r="F5" s="2">
        <f>D5+E5</f>
        <v>85600</v>
      </c>
      <c r="G5" s="2"/>
      <c r="H5" s="2"/>
    </row>
    <row r="6" spans="1:8" x14ac:dyDescent="0.25">
      <c r="A6" s="5"/>
      <c r="B6" s="2" t="s">
        <v>4</v>
      </c>
      <c r="C6" s="2">
        <v>120</v>
      </c>
      <c r="D6" s="2">
        <v>85000</v>
      </c>
      <c r="E6" s="2">
        <v>600</v>
      </c>
      <c r="F6" s="2">
        <f>D6+E6</f>
        <v>85600</v>
      </c>
      <c r="G6" s="2"/>
      <c r="H6" s="2"/>
    </row>
    <row r="7" spans="1:8" x14ac:dyDescent="0.25">
      <c r="A7" s="5"/>
      <c r="B7" s="2"/>
      <c r="C7" s="2"/>
      <c r="D7" s="2"/>
      <c r="E7" s="2"/>
      <c r="F7" s="2"/>
      <c r="G7" s="2"/>
      <c r="H7" s="2"/>
    </row>
    <row r="8" spans="1:8" x14ac:dyDescent="0.25">
      <c r="A8" s="5" t="s">
        <v>5</v>
      </c>
      <c r="B8" s="2" t="s">
        <v>2</v>
      </c>
      <c r="C8" s="2"/>
      <c r="D8" s="2">
        <v>455000</v>
      </c>
      <c r="E8" s="2">
        <v>1630</v>
      </c>
      <c r="F8" s="2">
        <f>D8+E8</f>
        <v>456630</v>
      </c>
      <c r="G8" s="2"/>
      <c r="H8" s="2"/>
    </row>
    <row r="9" spans="1:8" x14ac:dyDescent="0.25">
      <c r="A9" s="5"/>
      <c r="B9" s="2" t="s">
        <v>3</v>
      </c>
      <c r="C9" s="2"/>
      <c r="D9" s="2">
        <v>345000</v>
      </c>
      <c r="E9" s="2">
        <v>600</v>
      </c>
      <c r="F9" s="2">
        <f>D9+E9</f>
        <v>345600</v>
      </c>
      <c r="G9" s="2"/>
      <c r="H9" s="2"/>
    </row>
    <row r="10" spans="1:8" x14ac:dyDescent="0.25">
      <c r="A10" s="5"/>
      <c r="B10" s="2" t="s">
        <v>4</v>
      </c>
      <c r="C10" s="2"/>
      <c r="D10" s="2">
        <v>310000</v>
      </c>
      <c r="E10" s="2">
        <v>1500</v>
      </c>
      <c r="F10" s="2">
        <f t="shared" ref="F10" si="0">D10+E10</f>
        <v>311500</v>
      </c>
      <c r="G10" s="2"/>
      <c r="H10" s="2"/>
    </row>
    <row r="11" spans="1:8" x14ac:dyDescent="0.25">
      <c r="A11" s="5"/>
      <c r="B11" s="2"/>
      <c r="C11" s="2"/>
      <c r="D11" s="2"/>
      <c r="E11" s="2"/>
      <c r="F11" s="2"/>
      <c r="G11" s="2"/>
      <c r="H11" s="2"/>
    </row>
    <row r="12" spans="1:8" x14ac:dyDescent="0.25">
      <c r="A12" s="5" t="s">
        <v>12</v>
      </c>
      <c r="B12" s="2" t="s">
        <v>13</v>
      </c>
      <c r="C12" s="2">
        <v>120</v>
      </c>
      <c r="D12" s="2">
        <v>83000</v>
      </c>
      <c r="E12" s="2">
        <v>600</v>
      </c>
      <c r="F12" s="2">
        <f>D12+E12</f>
        <v>83600</v>
      </c>
      <c r="G12" s="2"/>
      <c r="H12" s="2"/>
    </row>
    <row r="13" spans="1:8" x14ac:dyDescent="0.25">
      <c r="A13" s="5"/>
      <c r="B13" s="2" t="s">
        <v>1</v>
      </c>
      <c r="C13" s="2">
        <v>120</v>
      </c>
      <c r="D13" s="2">
        <v>85000</v>
      </c>
      <c r="E13" s="2">
        <v>500</v>
      </c>
      <c r="F13" s="2">
        <f>D13+E13</f>
        <v>85500</v>
      </c>
      <c r="G13" s="2"/>
      <c r="H13" s="2"/>
    </row>
    <row r="14" spans="1:8" x14ac:dyDescent="0.25">
      <c r="A14" s="5"/>
      <c r="B14" s="2" t="s">
        <v>2</v>
      </c>
      <c r="C14" s="2">
        <v>120</v>
      </c>
      <c r="D14" s="2">
        <v>86000</v>
      </c>
      <c r="E14" s="2">
        <v>600</v>
      </c>
      <c r="F14" s="2">
        <f>D14+E14</f>
        <v>86600</v>
      </c>
      <c r="G14" s="2"/>
      <c r="H14" s="2"/>
    </row>
    <row r="15" spans="1:8" x14ac:dyDescent="0.25">
      <c r="A15" s="5"/>
      <c r="B15" s="2" t="s">
        <v>3</v>
      </c>
      <c r="C15" s="2">
        <v>120</v>
      </c>
      <c r="D15" s="2">
        <v>86000</v>
      </c>
      <c r="E15" s="2">
        <v>600</v>
      </c>
      <c r="F15" s="2">
        <f>D15+E15</f>
        <v>86600</v>
      </c>
      <c r="G15" s="2"/>
      <c r="H15" s="2"/>
    </row>
    <row r="16" spans="1:8" x14ac:dyDescent="0.25">
      <c r="A16" s="5"/>
      <c r="B16" s="2"/>
      <c r="C16" s="2"/>
      <c r="D16" s="2"/>
      <c r="E16" s="2"/>
      <c r="F16" s="2"/>
      <c r="G16" s="2"/>
      <c r="H16" s="2"/>
    </row>
    <row r="17" spans="1:8" x14ac:dyDescent="0.25">
      <c r="A17" s="1"/>
      <c r="B17" s="2"/>
      <c r="C17" s="2"/>
      <c r="D17" s="2"/>
      <c r="E17" s="2"/>
      <c r="F17" s="2"/>
      <c r="G17" s="2"/>
      <c r="H17" s="2"/>
    </row>
    <row r="18" spans="1:8" x14ac:dyDescent="0.25">
      <c r="A18" s="4" t="s">
        <v>9</v>
      </c>
      <c r="B18" s="4"/>
      <c r="C18" s="4"/>
      <c r="D18" s="2"/>
      <c r="E18" s="2"/>
      <c r="F18" s="2"/>
      <c r="G18" s="2"/>
      <c r="H18" s="7"/>
    </row>
    <row r="19" spans="1:8" x14ac:dyDescent="0.25">
      <c r="A19" s="5" t="s">
        <v>0</v>
      </c>
      <c r="B19" s="2" t="s">
        <v>13</v>
      </c>
      <c r="C19" s="4"/>
      <c r="D19" s="8">
        <f>('Mar 2026'!F2+F2)/2</f>
        <v>85950</v>
      </c>
      <c r="E19" s="2"/>
      <c r="F19" s="2"/>
      <c r="G19" s="2"/>
      <c r="H19" s="5"/>
    </row>
    <row r="20" spans="1:8" x14ac:dyDescent="0.25">
      <c r="B20" s="2" t="s">
        <v>1</v>
      </c>
      <c r="C20" s="2"/>
      <c r="D20" s="8">
        <f>F3</f>
        <v>84500</v>
      </c>
      <c r="E20" s="2"/>
      <c r="F20" s="2"/>
      <c r="G20" s="5"/>
      <c r="H20" s="2"/>
    </row>
    <row r="21" spans="1:8" x14ac:dyDescent="0.25">
      <c r="A21" s="5"/>
      <c r="B21" s="2" t="s">
        <v>2</v>
      </c>
      <c r="C21" s="2"/>
      <c r="D21" s="8">
        <f>F4</f>
        <v>82500</v>
      </c>
      <c r="E21" s="2"/>
      <c r="F21" s="2"/>
      <c r="G21" s="5"/>
      <c r="H21" s="2"/>
    </row>
    <row r="22" spans="1:8" x14ac:dyDescent="0.25">
      <c r="A22" s="5"/>
      <c r="B22" s="2" t="s">
        <v>3</v>
      </c>
      <c r="C22" s="2"/>
      <c r="D22" s="8">
        <f>F5</f>
        <v>85600</v>
      </c>
      <c r="E22" s="2"/>
      <c r="F22" s="2"/>
      <c r="G22" s="5"/>
      <c r="H22" s="2"/>
    </row>
    <row r="23" spans="1:8" x14ac:dyDescent="0.25">
      <c r="A23" s="5"/>
      <c r="B23" s="2" t="s">
        <v>4</v>
      </c>
      <c r="C23" s="2"/>
      <c r="D23" s="8">
        <f>('Mar 2026'!F6+'July 2026'!F6)/2</f>
        <v>82400</v>
      </c>
      <c r="E23" s="2"/>
      <c r="F23" s="2"/>
      <c r="G23" s="5"/>
      <c r="H23" s="2"/>
    </row>
    <row r="24" spans="1:8" x14ac:dyDescent="0.25">
      <c r="A24" s="5"/>
      <c r="B24" s="2"/>
      <c r="C24" s="2"/>
      <c r="D24" s="8"/>
      <c r="E24" s="2"/>
      <c r="F24" s="2"/>
      <c r="G24" s="2"/>
      <c r="H24" s="2"/>
    </row>
    <row r="25" spans="1:8" x14ac:dyDescent="0.25">
      <c r="A25" s="5" t="s">
        <v>12</v>
      </c>
      <c r="B25" s="2" t="s">
        <v>13</v>
      </c>
      <c r="C25" s="2"/>
      <c r="D25" s="8">
        <f>(F12+'Mar 2026'!F12)/2</f>
        <v>83600</v>
      </c>
      <c r="E25" s="2"/>
      <c r="F25" s="2"/>
      <c r="G25" s="2"/>
      <c r="H25" s="2"/>
    </row>
    <row r="26" spans="1:8" x14ac:dyDescent="0.25">
      <c r="A26" s="5"/>
      <c r="B26" s="2" t="s">
        <v>1</v>
      </c>
      <c r="C26" s="2"/>
      <c r="D26" s="8">
        <f>(F13+'Mar 2026'!F13)/2</f>
        <v>82550</v>
      </c>
      <c r="E26" s="2"/>
      <c r="F26" s="2"/>
      <c r="G26" s="2"/>
      <c r="H26" s="2"/>
    </row>
    <row r="27" spans="1:8" x14ac:dyDescent="0.25">
      <c r="A27" s="5"/>
      <c r="B27" s="2" t="s">
        <v>2</v>
      </c>
      <c r="C27" s="2"/>
      <c r="D27" s="8">
        <f>(F14+'Mar 2026'!F14)/2</f>
        <v>82600</v>
      </c>
      <c r="E27" s="2"/>
      <c r="F27" s="2"/>
      <c r="G27" s="2"/>
      <c r="H27" s="2"/>
    </row>
    <row r="28" spans="1:8" x14ac:dyDescent="0.25">
      <c r="A28" s="5"/>
      <c r="B28" s="2" t="s">
        <v>3</v>
      </c>
      <c r="C28" s="2"/>
      <c r="D28" s="8">
        <f>(F15+'Mar 2026'!F15)/2</f>
        <v>82600</v>
      </c>
      <c r="E28" s="2"/>
      <c r="F28" s="2"/>
      <c r="G28" s="2"/>
      <c r="H28" s="2"/>
    </row>
    <row r="29" spans="1:8" x14ac:dyDescent="0.25">
      <c r="A29" s="5"/>
      <c r="B29" s="2"/>
      <c r="C29" s="2"/>
      <c r="D29" s="9"/>
      <c r="E29" s="2"/>
      <c r="F29" s="2"/>
      <c r="G29" s="2"/>
      <c r="H29" s="2"/>
    </row>
    <row r="30" spans="1:8" x14ac:dyDescent="0.25">
      <c r="A30" s="5" t="s">
        <v>5</v>
      </c>
      <c r="B30" s="2" t="s">
        <v>2</v>
      </c>
      <c r="C30" s="2"/>
      <c r="D30" s="8">
        <f>F8</f>
        <v>456630</v>
      </c>
      <c r="E30" s="2"/>
      <c r="F30" s="6"/>
      <c r="G30" s="2"/>
      <c r="H30" s="2"/>
    </row>
    <row r="31" spans="1:8" x14ac:dyDescent="0.25">
      <c r="A31" s="5"/>
      <c r="B31" s="2" t="s">
        <v>3</v>
      </c>
      <c r="C31" s="2"/>
      <c r="D31" s="8">
        <f>F9</f>
        <v>345600</v>
      </c>
      <c r="E31" s="2"/>
      <c r="F31" s="6"/>
      <c r="G31" s="2"/>
      <c r="H31" s="2"/>
    </row>
    <row r="32" spans="1:8" x14ac:dyDescent="0.25">
      <c r="A32" s="2"/>
      <c r="B32" s="2" t="s">
        <v>4</v>
      </c>
      <c r="C32" s="2"/>
      <c r="D32" s="8">
        <f>F10</f>
        <v>311500</v>
      </c>
      <c r="E32" s="2"/>
      <c r="F32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 2026</vt:lpstr>
      <vt:lpstr>Apr 2026</vt:lpstr>
      <vt:lpstr>July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2026-07-06T09:18:43Z</dcterms:modified>
</cp:coreProperties>
</file>